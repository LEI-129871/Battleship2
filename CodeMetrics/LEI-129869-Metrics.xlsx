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"/>
    </mc:Choice>
  </mc:AlternateContent>
  <xr:revisionPtr revIDLastSave="0" documentId="8_{3CEB539F-8AC2-4B7F-B3BE-11AD3F18ACA2}" xr6:coauthVersionLast="47" xr6:coauthVersionMax="47" xr10:uidLastSave="{00000000-0000-0000-0000-000000000000}"/>
  <bookViews>
    <workbookView xWindow="-120" yWindow="-120" windowWidth="29040" windowHeight="16440" activeTab="5" xr2:uid="{03E2688F-3190-415F-A18C-40CEDA098B58}"/>
  </bookViews>
  <sheets>
    <sheet name="System" sheetId="2" r:id="rId1"/>
    <sheet name="Package" sheetId="3" r:id="rId2"/>
    <sheet name="Class" sheetId="4" r:id="rId3"/>
    <sheet name="Method" sheetId="5" r:id="rId4"/>
    <sheet name="Metodo_limpo" sheetId="6" r:id="rId5"/>
    <sheet name="Metricas Final" sheetId="7" r:id="rId6"/>
  </sheets>
  <calcPr calcId="0"/>
</workbook>
</file>

<file path=xl/calcChain.xml><?xml version="1.0" encoding="utf-8"?>
<calcChain xmlns="http://schemas.openxmlformats.org/spreadsheetml/2006/main">
  <c r="I2" i="7" l="1"/>
  <c r="E15" i="7"/>
  <c r="E16" i="7"/>
  <c r="E65" i="7"/>
  <c r="E34" i="7"/>
  <c r="E102" i="7"/>
  <c r="E99" i="7"/>
  <c r="E100" i="7"/>
  <c r="E76" i="7"/>
  <c r="E134" i="7"/>
  <c r="E104" i="7"/>
  <c r="E47" i="7"/>
  <c r="E51" i="7"/>
  <c r="E70" i="7"/>
  <c r="E88" i="7"/>
  <c r="E101" i="7"/>
  <c r="E49" i="7"/>
  <c r="E89" i="7"/>
  <c r="E105" i="7"/>
  <c r="E106" i="7"/>
  <c r="E58" i="7"/>
  <c r="E64" i="7"/>
  <c r="E97" i="7"/>
  <c r="E50" i="7"/>
  <c r="E17" i="7"/>
  <c r="E23" i="7"/>
  <c r="E54" i="7"/>
  <c r="E55" i="7"/>
  <c r="E52" i="7"/>
  <c r="E56" i="7"/>
  <c r="E61" i="7"/>
  <c r="E44" i="7"/>
  <c r="E20" i="7"/>
  <c r="E110" i="7"/>
  <c r="E111" i="7"/>
  <c r="E112" i="7"/>
  <c r="E113" i="7"/>
  <c r="E114" i="7"/>
  <c r="E115" i="7"/>
  <c r="E107" i="7"/>
  <c r="E116" i="7"/>
  <c r="E117" i="7"/>
  <c r="E37" i="7"/>
  <c r="E108" i="7"/>
  <c r="E41" i="7"/>
  <c r="E3" i="7"/>
  <c r="E39" i="7"/>
  <c r="E25" i="7"/>
  <c r="E42" i="7"/>
  <c r="E28" i="7"/>
  <c r="E35" i="7"/>
  <c r="E26" i="7"/>
  <c r="E57" i="7"/>
  <c r="E92" i="7"/>
  <c r="E13" i="7"/>
  <c r="E98" i="7"/>
  <c r="E18" i="7"/>
  <c r="E75" i="7"/>
  <c r="E121" i="7"/>
  <c r="E122" i="7"/>
  <c r="E67" i="7"/>
  <c r="E94" i="7"/>
  <c r="E118" i="7"/>
  <c r="E45" i="7"/>
  <c r="E135" i="7"/>
  <c r="E136" i="7"/>
  <c r="E137" i="7"/>
  <c r="E138" i="7"/>
  <c r="E139" i="7"/>
  <c r="E140" i="7"/>
  <c r="E141" i="7"/>
  <c r="E142" i="7"/>
  <c r="E143" i="7"/>
  <c r="E144" i="7"/>
  <c r="E145" i="7"/>
  <c r="E77" i="7"/>
  <c r="E31" i="7"/>
  <c r="E146" i="7"/>
  <c r="E78" i="7"/>
  <c r="E147" i="7"/>
  <c r="E148" i="7"/>
  <c r="E149" i="7"/>
  <c r="E150" i="7"/>
  <c r="E79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80" i="7"/>
  <c r="E81" i="7"/>
  <c r="E167" i="7"/>
  <c r="E168" i="7"/>
  <c r="E82" i="7"/>
  <c r="E83" i="7"/>
  <c r="E27" i="7"/>
  <c r="E19" i="7"/>
  <c r="E2" i="7"/>
  <c r="E32" i="7"/>
  <c r="E33" i="7"/>
  <c r="E72" i="7"/>
  <c r="E48" i="7"/>
  <c r="E103" i="7"/>
  <c r="E93" i="7"/>
  <c r="E71" i="7"/>
  <c r="E91" i="7"/>
  <c r="E30" i="7"/>
  <c r="E8" i="7"/>
  <c r="E5" i="7"/>
  <c r="E59" i="7"/>
  <c r="E66" i="7"/>
  <c r="E53" i="7"/>
  <c r="E74" i="7"/>
  <c r="E62" i="7"/>
  <c r="E169" i="7"/>
  <c r="E86" i="7"/>
  <c r="E84" i="7"/>
  <c r="E95" i="7"/>
  <c r="E90" i="7"/>
  <c r="E87" i="7"/>
  <c r="E85" i="7"/>
  <c r="E46" i="7"/>
  <c r="E10" i="7"/>
  <c r="E96" i="7"/>
  <c r="E29" i="7"/>
  <c r="E63" i="7"/>
  <c r="E60" i="7"/>
  <c r="E24" i="7"/>
  <c r="E9" i="7"/>
  <c r="E14" i="7"/>
  <c r="E109" i="7"/>
  <c r="E12" i="7"/>
  <c r="E6" i="7"/>
  <c r="E22" i="7"/>
  <c r="E43" i="7"/>
  <c r="E7" i="7"/>
  <c r="E4" i="7"/>
  <c r="E38" i="7"/>
  <c r="E40" i="7"/>
  <c r="E68" i="7"/>
  <c r="E69" i="7"/>
  <c r="E21" i="7"/>
  <c r="E123" i="7"/>
  <c r="E124" i="7"/>
  <c r="E125" i="7"/>
  <c r="E126" i="7"/>
  <c r="E127" i="7"/>
  <c r="E128" i="7"/>
  <c r="E129" i="7"/>
  <c r="E119" i="7"/>
  <c r="E120" i="7"/>
  <c r="E11" i="7"/>
  <c r="E130" i="7"/>
  <c r="E131" i="7"/>
  <c r="E132" i="7"/>
  <c r="E133" i="7"/>
  <c r="E73" i="7"/>
  <c r="E36" i="7"/>
  <c r="D15" i="7"/>
  <c r="D16" i="7"/>
  <c r="D65" i="7"/>
  <c r="D34" i="7"/>
  <c r="D102" i="7"/>
  <c r="D99" i="7"/>
  <c r="D100" i="7"/>
  <c r="D76" i="7"/>
  <c r="D134" i="7"/>
  <c r="D104" i="7"/>
  <c r="D47" i="7"/>
  <c r="D51" i="7"/>
  <c r="D70" i="7"/>
  <c r="D88" i="7"/>
  <c r="D101" i="7"/>
  <c r="D49" i="7"/>
  <c r="D89" i="7"/>
  <c r="D105" i="7"/>
  <c r="D106" i="7"/>
  <c r="D58" i="7"/>
  <c r="D64" i="7"/>
  <c r="D97" i="7"/>
  <c r="D50" i="7"/>
  <c r="D17" i="7"/>
  <c r="D23" i="7"/>
  <c r="D54" i="7"/>
  <c r="D55" i="7"/>
  <c r="D52" i="7"/>
  <c r="D56" i="7"/>
  <c r="D61" i="7"/>
  <c r="D44" i="7"/>
  <c r="D20" i="7"/>
  <c r="D110" i="7"/>
  <c r="D111" i="7"/>
  <c r="D112" i="7"/>
  <c r="D113" i="7"/>
  <c r="D114" i="7"/>
  <c r="D115" i="7"/>
  <c r="D107" i="7"/>
  <c r="D116" i="7"/>
  <c r="D117" i="7"/>
  <c r="D37" i="7"/>
  <c r="D108" i="7"/>
  <c r="D41" i="7"/>
  <c r="D3" i="7"/>
  <c r="D39" i="7"/>
  <c r="D25" i="7"/>
  <c r="D42" i="7"/>
  <c r="D28" i="7"/>
  <c r="D35" i="7"/>
  <c r="D26" i="7"/>
  <c r="D57" i="7"/>
  <c r="D92" i="7"/>
  <c r="D13" i="7"/>
  <c r="D98" i="7"/>
  <c r="D18" i="7"/>
  <c r="D75" i="7"/>
  <c r="D121" i="7"/>
  <c r="D122" i="7"/>
  <c r="D67" i="7"/>
  <c r="D94" i="7"/>
  <c r="D118" i="7"/>
  <c r="D45" i="7"/>
  <c r="D135" i="7"/>
  <c r="D136" i="7"/>
  <c r="D137" i="7"/>
  <c r="D138" i="7"/>
  <c r="D139" i="7"/>
  <c r="D140" i="7"/>
  <c r="D141" i="7"/>
  <c r="D142" i="7"/>
  <c r="D143" i="7"/>
  <c r="D144" i="7"/>
  <c r="D145" i="7"/>
  <c r="D77" i="7"/>
  <c r="D31" i="7"/>
  <c r="D146" i="7"/>
  <c r="D78" i="7"/>
  <c r="D147" i="7"/>
  <c r="D148" i="7"/>
  <c r="D149" i="7"/>
  <c r="D150" i="7"/>
  <c r="D79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80" i="7"/>
  <c r="D81" i="7"/>
  <c r="D167" i="7"/>
  <c r="D168" i="7"/>
  <c r="D82" i="7"/>
  <c r="D83" i="7"/>
  <c r="D27" i="7"/>
  <c r="D19" i="7"/>
  <c r="D2" i="7"/>
  <c r="D32" i="7"/>
  <c r="D33" i="7"/>
  <c r="D72" i="7"/>
  <c r="D48" i="7"/>
  <c r="D103" i="7"/>
  <c r="D93" i="7"/>
  <c r="D71" i="7"/>
  <c r="D91" i="7"/>
  <c r="D30" i="7"/>
  <c r="D8" i="7"/>
  <c r="D5" i="7"/>
  <c r="D59" i="7"/>
  <c r="D66" i="7"/>
  <c r="D53" i="7"/>
  <c r="D74" i="7"/>
  <c r="D62" i="7"/>
  <c r="D169" i="7"/>
  <c r="D86" i="7"/>
  <c r="D84" i="7"/>
  <c r="D95" i="7"/>
  <c r="D90" i="7"/>
  <c r="D87" i="7"/>
  <c r="D85" i="7"/>
  <c r="D46" i="7"/>
  <c r="D10" i="7"/>
  <c r="D96" i="7"/>
  <c r="D29" i="7"/>
  <c r="D63" i="7"/>
  <c r="D60" i="7"/>
  <c r="D24" i="7"/>
  <c r="D9" i="7"/>
  <c r="D14" i="7"/>
  <c r="D109" i="7"/>
  <c r="D12" i="7"/>
  <c r="D6" i="7"/>
  <c r="D22" i="7"/>
  <c r="D43" i="7"/>
  <c r="D7" i="7"/>
  <c r="D4" i="7"/>
  <c r="D38" i="7"/>
  <c r="D40" i="7"/>
  <c r="D68" i="7"/>
  <c r="D69" i="7"/>
  <c r="D21" i="7"/>
  <c r="D123" i="7"/>
  <c r="D124" i="7"/>
  <c r="D125" i="7"/>
  <c r="D126" i="7"/>
  <c r="D127" i="7"/>
  <c r="D128" i="7"/>
  <c r="D129" i="7"/>
  <c r="D119" i="7"/>
  <c r="D120" i="7"/>
  <c r="D11" i="7"/>
  <c r="D130" i="7"/>
  <c r="D131" i="7"/>
  <c r="D132" i="7"/>
  <c r="D133" i="7"/>
  <c r="D73" i="7"/>
  <c r="D36" i="7"/>
  <c r="C49" i="7"/>
  <c r="C89" i="7"/>
  <c r="C105" i="7"/>
  <c r="C106" i="7"/>
  <c r="C58" i="7"/>
  <c r="C64" i="7"/>
  <c r="C97" i="7"/>
  <c r="C50" i="7"/>
  <c r="C17" i="7"/>
  <c r="C23" i="7"/>
  <c r="C54" i="7"/>
  <c r="C55" i="7"/>
  <c r="C52" i="7"/>
  <c r="C56" i="7"/>
  <c r="C61" i="7"/>
  <c r="C44" i="7"/>
  <c r="C20" i="7"/>
  <c r="C110" i="7"/>
  <c r="C111" i="7"/>
  <c r="C112" i="7"/>
  <c r="C113" i="7"/>
  <c r="C114" i="7"/>
  <c r="C115" i="7"/>
  <c r="C107" i="7"/>
  <c r="C116" i="7"/>
  <c r="C117" i="7"/>
  <c r="C37" i="7"/>
  <c r="C108" i="7"/>
  <c r="C41" i="7"/>
  <c r="C3" i="7"/>
  <c r="C39" i="7"/>
  <c r="C25" i="7"/>
  <c r="C42" i="7"/>
  <c r="C28" i="7"/>
  <c r="C35" i="7"/>
  <c r="C26" i="7"/>
  <c r="C57" i="7"/>
  <c r="C92" i="7"/>
  <c r="C13" i="7"/>
  <c r="C98" i="7"/>
  <c r="C18" i="7"/>
  <c r="C75" i="7"/>
  <c r="C121" i="7"/>
  <c r="C122" i="7"/>
  <c r="C67" i="7"/>
  <c r="C94" i="7"/>
  <c r="C118" i="7"/>
  <c r="C45" i="7"/>
  <c r="C135" i="7"/>
  <c r="C136" i="7"/>
  <c r="C137" i="7"/>
  <c r="C138" i="7"/>
  <c r="C139" i="7"/>
  <c r="C140" i="7"/>
  <c r="C141" i="7"/>
  <c r="C142" i="7"/>
  <c r="C143" i="7"/>
  <c r="C144" i="7"/>
  <c r="C145" i="7"/>
  <c r="C77" i="7"/>
  <c r="C31" i="7"/>
  <c r="C146" i="7"/>
  <c r="C78" i="7"/>
  <c r="C147" i="7"/>
  <c r="C148" i="7"/>
  <c r="C149" i="7"/>
  <c r="C150" i="7"/>
  <c r="C79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80" i="7"/>
  <c r="C81" i="7"/>
  <c r="C167" i="7"/>
  <c r="C168" i="7"/>
  <c r="C82" i="7"/>
  <c r="C83" i="7"/>
  <c r="C27" i="7"/>
  <c r="C19" i="7"/>
  <c r="C2" i="7"/>
  <c r="C32" i="7"/>
  <c r="C33" i="7"/>
  <c r="C72" i="7"/>
  <c r="C48" i="7"/>
  <c r="C103" i="7"/>
  <c r="C93" i="7"/>
  <c r="C71" i="7"/>
  <c r="C91" i="7"/>
  <c r="C30" i="7"/>
  <c r="C8" i="7"/>
  <c r="C5" i="7"/>
  <c r="C59" i="7"/>
  <c r="C66" i="7"/>
  <c r="C53" i="7"/>
  <c r="C74" i="7"/>
  <c r="C62" i="7"/>
  <c r="C169" i="7"/>
  <c r="C86" i="7"/>
  <c r="C84" i="7"/>
  <c r="C95" i="7"/>
  <c r="C90" i="7"/>
  <c r="C87" i="7"/>
  <c r="C85" i="7"/>
  <c r="C46" i="7"/>
  <c r="C10" i="7"/>
  <c r="C96" i="7"/>
  <c r="C29" i="7"/>
  <c r="C63" i="7"/>
  <c r="C60" i="7"/>
  <c r="C24" i="7"/>
  <c r="C9" i="7"/>
  <c r="C14" i="7"/>
  <c r="C109" i="7"/>
  <c r="C12" i="7"/>
  <c r="C6" i="7"/>
  <c r="C22" i="7"/>
  <c r="C43" i="7"/>
  <c r="C7" i="7"/>
  <c r="C4" i="7"/>
  <c r="C38" i="7"/>
  <c r="C40" i="7"/>
  <c r="C68" i="7"/>
  <c r="C69" i="7"/>
  <c r="C21" i="7"/>
  <c r="C123" i="7"/>
  <c r="C124" i="7"/>
  <c r="C125" i="7"/>
  <c r="C126" i="7"/>
  <c r="C127" i="7"/>
  <c r="C128" i="7"/>
  <c r="C129" i="7"/>
  <c r="C119" i="7"/>
  <c r="C120" i="7"/>
  <c r="C11" i="7"/>
  <c r="C130" i="7"/>
  <c r="C131" i="7"/>
  <c r="C132" i="7"/>
  <c r="C133" i="7"/>
  <c r="C73" i="7"/>
  <c r="C65" i="7"/>
  <c r="C34" i="7"/>
  <c r="C102" i="7"/>
  <c r="C99" i="7"/>
  <c r="C100" i="7"/>
  <c r="C76" i="7"/>
  <c r="C134" i="7"/>
  <c r="C104" i="7"/>
  <c r="C47" i="7"/>
  <c r="C51" i="7"/>
  <c r="C70" i="7"/>
  <c r="C88" i="7"/>
  <c r="C101" i="7"/>
  <c r="C15" i="7"/>
  <c r="C16" i="7"/>
  <c r="C36" i="7"/>
  <c r="B15" i="7"/>
  <c r="B16" i="7"/>
  <c r="B65" i="7"/>
  <c r="B34" i="7"/>
  <c r="B102" i="7"/>
  <c r="B99" i="7"/>
  <c r="B100" i="7"/>
  <c r="B76" i="7"/>
  <c r="B134" i="7"/>
  <c r="B104" i="7"/>
  <c r="B47" i="7"/>
  <c r="B51" i="7"/>
  <c r="B70" i="7"/>
  <c r="B88" i="7"/>
  <c r="B101" i="7"/>
  <c r="B49" i="7"/>
  <c r="B89" i="7"/>
  <c r="B105" i="7"/>
  <c r="B106" i="7"/>
  <c r="B58" i="7"/>
  <c r="B64" i="7"/>
  <c r="B97" i="7"/>
  <c r="B50" i="7"/>
  <c r="B17" i="7"/>
  <c r="B23" i="7"/>
  <c r="B54" i="7"/>
  <c r="B55" i="7"/>
  <c r="B52" i="7"/>
  <c r="B56" i="7"/>
  <c r="B61" i="7"/>
  <c r="B44" i="7"/>
  <c r="B20" i="7"/>
  <c r="B110" i="7"/>
  <c r="B111" i="7"/>
  <c r="B112" i="7"/>
  <c r="B113" i="7"/>
  <c r="B114" i="7"/>
  <c r="B115" i="7"/>
  <c r="B107" i="7"/>
  <c r="B116" i="7"/>
  <c r="B117" i="7"/>
  <c r="B37" i="7"/>
  <c r="B108" i="7"/>
  <c r="B41" i="7"/>
  <c r="B3" i="7"/>
  <c r="B39" i="7"/>
  <c r="B25" i="7"/>
  <c r="B42" i="7"/>
  <c r="B28" i="7"/>
  <c r="B35" i="7"/>
  <c r="B26" i="7"/>
  <c r="B57" i="7"/>
  <c r="B92" i="7"/>
  <c r="B13" i="7"/>
  <c r="B98" i="7"/>
  <c r="B18" i="7"/>
  <c r="B75" i="7"/>
  <c r="B121" i="7"/>
  <c r="B122" i="7"/>
  <c r="B67" i="7"/>
  <c r="B94" i="7"/>
  <c r="B118" i="7"/>
  <c r="B45" i="7"/>
  <c r="B135" i="7"/>
  <c r="B136" i="7"/>
  <c r="B137" i="7"/>
  <c r="B138" i="7"/>
  <c r="B139" i="7"/>
  <c r="B140" i="7"/>
  <c r="B141" i="7"/>
  <c r="B142" i="7"/>
  <c r="B143" i="7"/>
  <c r="B144" i="7"/>
  <c r="B145" i="7"/>
  <c r="B77" i="7"/>
  <c r="B31" i="7"/>
  <c r="B146" i="7"/>
  <c r="B78" i="7"/>
  <c r="B147" i="7"/>
  <c r="B148" i="7"/>
  <c r="B149" i="7"/>
  <c r="B150" i="7"/>
  <c r="B79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80" i="7"/>
  <c r="B81" i="7"/>
  <c r="B167" i="7"/>
  <c r="B168" i="7"/>
  <c r="B82" i="7"/>
  <c r="B83" i="7"/>
  <c r="B27" i="7"/>
  <c r="B19" i="7"/>
  <c r="B2" i="7"/>
  <c r="B32" i="7"/>
  <c r="B33" i="7"/>
  <c r="B72" i="7"/>
  <c r="B48" i="7"/>
  <c r="B103" i="7"/>
  <c r="B93" i="7"/>
  <c r="B71" i="7"/>
  <c r="B91" i="7"/>
  <c r="B30" i="7"/>
  <c r="B8" i="7"/>
  <c r="B5" i="7"/>
  <c r="B59" i="7"/>
  <c r="B66" i="7"/>
  <c r="B53" i="7"/>
  <c r="B74" i="7"/>
  <c r="B62" i="7"/>
  <c r="B169" i="7"/>
  <c r="B86" i="7"/>
  <c r="B84" i="7"/>
  <c r="B95" i="7"/>
  <c r="B90" i="7"/>
  <c r="B87" i="7"/>
  <c r="B85" i="7"/>
  <c r="B46" i="7"/>
  <c r="B10" i="7"/>
  <c r="B96" i="7"/>
  <c r="B29" i="7"/>
  <c r="B63" i="7"/>
  <c r="B60" i="7"/>
  <c r="B24" i="7"/>
  <c r="B9" i="7"/>
  <c r="B14" i="7"/>
  <c r="B109" i="7"/>
  <c r="B12" i="7"/>
  <c r="B6" i="7"/>
  <c r="B22" i="7"/>
  <c r="B43" i="7"/>
  <c r="B7" i="7"/>
  <c r="B4" i="7"/>
  <c r="B38" i="7"/>
  <c r="B40" i="7"/>
  <c r="B68" i="7"/>
  <c r="B69" i="7"/>
  <c r="B21" i="7"/>
  <c r="B123" i="7"/>
  <c r="B124" i="7"/>
  <c r="B125" i="7"/>
  <c r="B126" i="7"/>
  <c r="B127" i="7"/>
  <c r="B128" i="7"/>
  <c r="B129" i="7"/>
  <c r="B119" i="7"/>
  <c r="B120" i="7"/>
  <c r="B11" i="7"/>
  <c r="B130" i="7"/>
  <c r="B131" i="7"/>
  <c r="B132" i="7"/>
  <c r="B133" i="7"/>
  <c r="B73" i="7"/>
  <c r="D4" i="6"/>
  <c r="D5" i="6"/>
  <c r="D6" i="6"/>
  <c r="D7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D1001" i="6" s="1"/>
  <c r="D1002" i="6" s="1"/>
  <c r="D1003" i="6" s="1"/>
  <c r="D1004" i="6" s="1"/>
  <c r="D1005" i="6" s="1"/>
  <c r="D1006" i="6" s="1"/>
  <c r="D1007" i="6" s="1"/>
  <c r="D1008" i="6" s="1"/>
  <c r="D1009" i="6" s="1"/>
  <c r="D1010" i="6" s="1"/>
  <c r="D1011" i="6" s="1"/>
  <c r="D1012" i="6" s="1"/>
  <c r="D1013" i="6" s="1"/>
  <c r="D1014" i="6" s="1"/>
  <c r="D1015" i="6" s="1"/>
  <c r="D1016" i="6" s="1"/>
  <c r="D1017" i="6" s="1"/>
  <c r="D1018" i="6" s="1"/>
  <c r="D1019" i="6" s="1"/>
  <c r="D1020" i="6" s="1"/>
  <c r="D1021" i="6" s="1"/>
  <c r="D1022" i="6" s="1"/>
  <c r="D1023" i="6" s="1"/>
  <c r="D1024" i="6" s="1"/>
  <c r="D1025" i="6" s="1"/>
  <c r="D1026" i="6" s="1"/>
  <c r="D1027" i="6" s="1"/>
  <c r="D1028" i="6" s="1"/>
  <c r="D1029" i="6" s="1"/>
  <c r="D1030" i="6" s="1"/>
  <c r="D1031" i="6" s="1"/>
  <c r="D1032" i="6" s="1"/>
  <c r="D1033" i="6" s="1"/>
  <c r="D1034" i="6" s="1"/>
  <c r="D1035" i="6" s="1"/>
  <c r="D1036" i="6" s="1"/>
  <c r="D1037" i="6" s="1"/>
  <c r="D1038" i="6" s="1"/>
  <c r="D1039" i="6" s="1"/>
  <c r="D1040" i="6" s="1"/>
  <c r="D1041" i="6" s="1"/>
  <c r="D1042" i="6" s="1"/>
  <c r="D1043" i="6" s="1"/>
  <c r="D1044" i="6" s="1"/>
  <c r="D1045" i="6" s="1"/>
  <c r="D1046" i="6" s="1"/>
  <c r="D1047" i="6" s="1"/>
  <c r="D1048" i="6" s="1"/>
  <c r="D1049" i="6" s="1"/>
  <c r="D1050" i="6" s="1"/>
  <c r="D1051" i="6" s="1"/>
  <c r="D1052" i="6" s="1"/>
  <c r="D1053" i="6" s="1"/>
  <c r="D1054" i="6" s="1"/>
  <c r="D1055" i="6" s="1"/>
  <c r="D1056" i="6" s="1"/>
  <c r="D1057" i="6" s="1"/>
  <c r="D1058" i="6" s="1"/>
  <c r="D1059" i="6" s="1"/>
  <c r="D1060" i="6" s="1"/>
  <c r="D1061" i="6" s="1"/>
  <c r="D1062" i="6" s="1"/>
  <c r="D1063" i="6" s="1"/>
  <c r="D1064" i="6" s="1"/>
  <c r="D1065" i="6" s="1"/>
  <c r="D1066" i="6" s="1"/>
  <c r="D1067" i="6" s="1"/>
  <c r="D1068" i="6" s="1"/>
  <c r="D1069" i="6" s="1"/>
  <c r="D1070" i="6" s="1"/>
  <c r="D1071" i="6" s="1"/>
  <c r="D1072" i="6" s="1"/>
  <c r="D1073" i="6" s="1"/>
  <c r="D1074" i="6" s="1"/>
  <c r="D1075" i="6" s="1"/>
  <c r="D1076" i="6" s="1"/>
  <c r="D1077" i="6" s="1"/>
  <c r="D1078" i="6" s="1"/>
  <c r="D1079" i="6" s="1"/>
  <c r="D1080" i="6" s="1"/>
  <c r="D1081" i="6" s="1"/>
  <c r="D1082" i="6" s="1"/>
  <c r="D1083" i="6" s="1"/>
  <c r="D1084" i="6" s="1"/>
  <c r="D1085" i="6" s="1"/>
  <c r="D1086" i="6" s="1"/>
  <c r="D1087" i="6" s="1"/>
  <c r="D1088" i="6" s="1"/>
  <c r="D1089" i="6" s="1"/>
  <c r="D1090" i="6" s="1"/>
  <c r="D1091" i="6" s="1"/>
  <c r="D1092" i="6" s="1"/>
  <c r="D1093" i="6" s="1"/>
  <c r="D1094" i="6" s="1"/>
  <c r="D1095" i="6" s="1"/>
  <c r="D1096" i="6" s="1"/>
  <c r="D1097" i="6" s="1"/>
  <c r="D1098" i="6" s="1"/>
  <c r="D1099" i="6" s="1"/>
  <c r="D1100" i="6" s="1"/>
  <c r="D1101" i="6" s="1"/>
  <c r="D1102" i="6" s="1"/>
  <c r="D1103" i="6" s="1"/>
  <c r="D1104" i="6" s="1"/>
  <c r="D1105" i="6" s="1"/>
  <c r="D1106" i="6" s="1"/>
  <c r="D1107" i="6" s="1"/>
  <c r="D1108" i="6" s="1"/>
  <c r="D1109" i="6" s="1"/>
  <c r="D1110" i="6" s="1"/>
  <c r="D1111" i="6" s="1"/>
  <c r="D1112" i="6" s="1"/>
  <c r="D1113" i="6" s="1"/>
  <c r="D1114" i="6" s="1"/>
  <c r="D1115" i="6" s="1"/>
  <c r="D1116" i="6" s="1"/>
  <c r="D1117" i="6" s="1"/>
  <c r="D1118" i="6" s="1"/>
  <c r="D1119" i="6" s="1"/>
  <c r="D1120" i="6" s="1"/>
  <c r="D1121" i="6" s="1"/>
  <c r="D1122" i="6" s="1"/>
  <c r="D1123" i="6" s="1"/>
  <c r="D1124" i="6" s="1"/>
  <c r="D1125" i="6" s="1"/>
  <c r="D1126" i="6" s="1"/>
  <c r="D1127" i="6" s="1"/>
  <c r="D1128" i="6" s="1"/>
  <c r="D1129" i="6" s="1"/>
  <c r="D1130" i="6" s="1"/>
  <c r="D1131" i="6" s="1"/>
  <c r="D1132" i="6" s="1"/>
  <c r="D1133" i="6" s="1"/>
  <c r="D1134" i="6" s="1"/>
  <c r="D1135" i="6" s="1"/>
  <c r="D1136" i="6" s="1"/>
  <c r="D1137" i="6" s="1"/>
  <c r="D1138" i="6" s="1"/>
  <c r="D1139" i="6" s="1"/>
  <c r="D1140" i="6" s="1"/>
  <c r="D1141" i="6" s="1"/>
  <c r="D1142" i="6" s="1"/>
  <c r="D1143" i="6" s="1"/>
  <c r="D1144" i="6" s="1"/>
  <c r="D1145" i="6" s="1"/>
  <c r="D1146" i="6" s="1"/>
  <c r="D1147" i="6" s="1"/>
  <c r="D1148" i="6" s="1"/>
  <c r="D1149" i="6" s="1"/>
  <c r="D1150" i="6" s="1"/>
  <c r="D1151" i="6" s="1"/>
  <c r="D1152" i="6" s="1"/>
  <c r="D1153" i="6" s="1"/>
  <c r="D1154" i="6" s="1"/>
  <c r="D1155" i="6" s="1"/>
  <c r="D1156" i="6" s="1"/>
  <c r="D1157" i="6" s="1"/>
  <c r="D1158" i="6" s="1"/>
  <c r="D1159" i="6" s="1"/>
  <c r="D1160" i="6" s="1"/>
  <c r="D1161" i="6" s="1"/>
  <c r="D1162" i="6" s="1"/>
  <c r="D1163" i="6" s="1"/>
  <c r="D1164" i="6" s="1"/>
  <c r="D1165" i="6" s="1"/>
  <c r="D1166" i="6" s="1"/>
  <c r="D1167" i="6" s="1"/>
  <c r="D1168" i="6" s="1"/>
  <c r="D1169" i="6" s="1"/>
  <c r="D1170" i="6" s="1"/>
  <c r="D1171" i="6" s="1"/>
  <c r="D1172" i="6" s="1"/>
  <c r="D1173" i="6" s="1"/>
  <c r="D1174" i="6" s="1"/>
  <c r="D1175" i="6" s="1"/>
  <c r="D1176" i="6" s="1"/>
  <c r="D1177" i="6" s="1"/>
  <c r="D1178" i="6" s="1"/>
  <c r="D1179" i="6" s="1"/>
  <c r="D1180" i="6" s="1"/>
  <c r="D1181" i="6" s="1"/>
  <c r="D1182" i="6" s="1"/>
  <c r="D1183" i="6" s="1"/>
  <c r="D1184" i="6" s="1"/>
  <c r="D1185" i="6" s="1"/>
  <c r="D1186" i="6" s="1"/>
  <c r="D1187" i="6" s="1"/>
  <c r="D1188" i="6" s="1"/>
  <c r="D1189" i="6" s="1"/>
  <c r="D1190" i="6" s="1"/>
  <c r="D1191" i="6" s="1"/>
  <c r="D1192" i="6" s="1"/>
  <c r="D1193" i="6" s="1"/>
  <c r="D1194" i="6" s="1"/>
  <c r="D1195" i="6" s="1"/>
  <c r="D1196" i="6" s="1"/>
  <c r="D1197" i="6" s="1"/>
  <c r="D1198" i="6" s="1"/>
  <c r="D1199" i="6" s="1"/>
  <c r="D1200" i="6" s="1"/>
  <c r="D1201" i="6" s="1"/>
  <c r="D1202" i="6" s="1"/>
  <c r="D1203" i="6" s="1"/>
  <c r="D1204" i="6" s="1"/>
  <c r="D1205" i="6" s="1"/>
  <c r="D1206" i="6" s="1"/>
  <c r="D1207" i="6" s="1"/>
  <c r="D1208" i="6" s="1"/>
  <c r="D1209" i="6" s="1"/>
  <c r="D1210" i="6" s="1"/>
  <c r="D1211" i="6" s="1"/>
  <c r="D1212" i="6" s="1"/>
  <c r="D1213" i="6" s="1"/>
  <c r="D1214" i="6" s="1"/>
  <c r="D1215" i="6" s="1"/>
  <c r="D1216" i="6" s="1"/>
  <c r="D1217" i="6" s="1"/>
  <c r="D1218" i="6" s="1"/>
  <c r="D1219" i="6" s="1"/>
  <c r="D1220" i="6" s="1"/>
  <c r="D1221" i="6" s="1"/>
  <c r="D1222" i="6" s="1"/>
  <c r="D1223" i="6" s="1"/>
  <c r="D1224" i="6" s="1"/>
  <c r="D1225" i="6" s="1"/>
  <c r="D1226" i="6" s="1"/>
  <c r="D1227" i="6" s="1"/>
  <c r="D1228" i="6" s="1"/>
  <c r="D1229" i="6" s="1"/>
  <c r="D1230" i="6" s="1"/>
  <c r="D1231" i="6" s="1"/>
  <c r="D1232" i="6" s="1"/>
  <c r="D1233" i="6" s="1"/>
  <c r="D1234" i="6" s="1"/>
  <c r="D1235" i="6" s="1"/>
  <c r="D1236" i="6" s="1"/>
  <c r="D1237" i="6" s="1"/>
  <c r="D1238" i="6" s="1"/>
  <c r="D1239" i="6" s="1"/>
  <c r="D1240" i="6" s="1"/>
  <c r="D1241" i="6" s="1"/>
  <c r="D1242" i="6" s="1"/>
  <c r="D1243" i="6" s="1"/>
  <c r="D1244" i="6" s="1"/>
  <c r="D1245" i="6" s="1"/>
  <c r="D1246" i="6" s="1"/>
  <c r="D1247" i="6" s="1"/>
  <c r="D1248" i="6" s="1"/>
  <c r="D1249" i="6" s="1"/>
  <c r="D1250" i="6" s="1"/>
  <c r="D1251" i="6" s="1"/>
  <c r="D1252" i="6" s="1"/>
  <c r="D1253" i="6" s="1"/>
  <c r="D1254" i="6" s="1"/>
  <c r="D1255" i="6" s="1"/>
  <c r="D1256" i="6" s="1"/>
  <c r="D1257" i="6" s="1"/>
  <c r="D1258" i="6" s="1"/>
  <c r="D1259" i="6" s="1"/>
  <c r="D1260" i="6" s="1"/>
  <c r="D1261" i="6" s="1"/>
  <c r="D1262" i="6" s="1"/>
  <c r="D1263" i="6" s="1"/>
  <c r="D1264" i="6" s="1"/>
  <c r="D1265" i="6" s="1"/>
  <c r="D1266" i="6" s="1"/>
  <c r="D1267" i="6" s="1"/>
  <c r="D1268" i="6" s="1"/>
  <c r="D1269" i="6" s="1"/>
  <c r="D1270" i="6" s="1"/>
  <c r="D1271" i="6" s="1"/>
  <c r="D1272" i="6" s="1"/>
  <c r="D1273" i="6" s="1"/>
  <c r="D1274" i="6" s="1"/>
  <c r="D1275" i="6" s="1"/>
  <c r="D1276" i="6" s="1"/>
  <c r="D1277" i="6" s="1"/>
  <c r="D1278" i="6" s="1"/>
  <c r="D1279" i="6" s="1"/>
  <c r="D1280" i="6" s="1"/>
  <c r="D1281" i="6" s="1"/>
  <c r="D1282" i="6" s="1"/>
  <c r="D1283" i="6" s="1"/>
  <c r="D1284" i="6" s="1"/>
  <c r="D1285" i="6" s="1"/>
  <c r="D1286" i="6" s="1"/>
  <c r="D1287" i="6" s="1"/>
  <c r="D1288" i="6" s="1"/>
  <c r="D1289" i="6" s="1"/>
  <c r="D1290" i="6" s="1"/>
  <c r="D1291" i="6" s="1"/>
  <c r="D1292" i="6" s="1"/>
  <c r="D1293" i="6" s="1"/>
  <c r="D1294" i="6" s="1"/>
  <c r="D1295" i="6" s="1"/>
  <c r="D1296" i="6" s="1"/>
  <c r="D1297" i="6" s="1"/>
  <c r="D1298" i="6" s="1"/>
  <c r="D1299" i="6" s="1"/>
  <c r="D1300" i="6" s="1"/>
  <c r="D1301" i="6" s="1"/>
  <c r="D1302" i="6" s="1"/>
  <c r="D1303" i="6" s="1"/>
  <c r="D1304" i="6" s="1"/>
  <c r="D1305" i="6" s="1"/>
  <c r="D1306" i="6" s="1"/>
  <c r="D1307" i="6" s="1"/>
  <c r="D1308" i="6" s="1"/>
  <c r="D1309" i="6" s="1"/>
  <c r="D1310" i="6" s="1"/>
  <c r="D1311" i="6" s="1"/>
  <c r="D1312" i="6" s="1"/>
  <c r="D1313" i="6" s="1"/>
  <c r="D1314" i="6" s="1"/>
  <c r="D1315" i="6" s="1"/>
  <c r="D1316" i="6" s="1"/>
  <c r="D1317" i="6" s="1"/>
  <c r="D1318" i="6" s="1"/>
  <c r="D1319" i="6" s="1"/>
  <c r="D1320" i="6" s="1"/>
  <c r="D1321" i="6" s="1"/>
  <c r="D1322" i="6" s="1"/>
  <c r="D1323" i="6" s="1"/>
  <c r="D1324" i="6" s="1"/>
  <c r="D1325" i="6" s="1"/>
  <c r="D1326" i="6" s="1"/>
  <c r="D1327" i="6" s="1"/>
  <c r="D1328" i="6" s="1"/>
  <c r="D1329" i="6" s="1"/>
  <c r="D1330" i="6" s="1"/>
  <c r="D1331" i="6" s="1"/>
  <c r="D1332" i="6" s="1"/>
  <c r="D1333" i="6" s="1"/>
  <c r="D1334" i="6" s="1"/>
  <c r="D1335" i="6" s="1"/>
  <c r="D1336" i="6" s="1"/>
  <c r="D1337" i="6" s="1"/>
  <c r="D1338" i="6" s="1"/>
  <c r="D1339" i="6" s="1"/>
  <c r="D1340" i="6" s="1"/>
  <c r="D1341" i="6" s="1"/>
  <c r="D1342" i="6" s="1"/>
  <c r="D1343" i="6" s="1"/>
  <c r="D1344" i="6" s="1"/>
  <c r="D1345" i="6" s="1"/>
  <c r="D1346" i="6" s="1"/>
  <c r="D1347" i="6" s="1"/>
  <c r="D1348" i="6" s="1"/>
  <c r="D1349" i="6" s="1"/>
  <c r="D1350" i="6" s="1"/>
  <c r="D1351" i="6" s="1"/>
  <c r="D1352" i="6" s="1"/>
  <c r="D1353" i="6" s="1"/>
  <c r="D1354" i="6" s="1"/>
  <c r="D1355" i="6" s="1"/>
  <c r="D1356" i="6" s="1"/>
  <c r="D1357" i="6" s="1"/>
  <c r="D1358" i="6" s="1"/>
  <c r="D1359" i="6" s="1"/>
  <c r="D1360" i="6" s="1"/>
  <c r="D1361" i="6" s="1"/>
  <c r="D1362" i="6" s="1"/>
  <c r="D1363" i="6" s="1"/>
  <c r="D1364" i="6" s="1"/>
  <c r="D1365" i="6" s="1"/>
  <c r="D1366" i="6" s="1"/>
  <c r="D1367" i="6" s="1"/>
  <c r="D1368" i="6" s="1"/>
  <c r="D1369" i="6" s="1"/>
  <c r="D1370" i="6" s="1"/>
  <c r="D1371" i="6" s="1"/>
  <c r="D1372" i="6" s="1"/>
  <c r="D1373" i="6" s="1"/>
  <c r="D1374" i="6" s="1"/>
  <c r="D1375" i="6" s="1"/>
  <c r="D1376" i="6" s="1"/>
  <c r="D1377" i="6" s="1"/>
  <c r="D1378" i="6" s="1"/>
  <c r="D1379" i="6" s="1"/>
  <c r="D1380" i="6" s="1"/>
  <c r="D1381" i="6" s="1"/>
  <c r="D1382" i="6" s="1"/>
  <c r="D1383" i="6" s="1"/>
  <c r="D1384" i="6" s="1"/>
  <c r="D1385" i="6" s="1"/>
  <c r="D1386" i="6" s="1"/>
  <c r="D1387" i="6" s="1"/>
  <c r="D1388" i="6" s="1"/>
  <c r="D1389" i="6" s="1"/>
  <c r="D1390" i="6" s="1"/>
  <c r="D1391" i="6" s="1"/>
  <c r="D1392" i="6" s="1"/>
  <c r="D1393" i="6" s="1"/>
  <c r="D1394" i="6" s="1"/>
  <c r="D1395" i="6" s="1"/>
  <c r="D1396" i="6" s="1"/>
  <c r="D1397" i="6" s="1"/>
  <c r="D1398" i="6" s="1"/>
  <c r="D1399" i="6" s="1"/>
  <c r="D1400" i="6" s="1"/>
  <c r="D1401" i="6" s="1"/>
  <c r="D1402" i="6" s="1"/>
  <c r="D1403" i="6" s="1"/>
  <c r="D1404" i="6" s="1"/>
  <c r="D1405" i="6" s="1"/>
  <c r="D1406" i="6" s="1"/>
  <c r="D1407" i="6" s="1"/>
  <c r="D1408" i="6" s="1"/>
  <c r="D1409" i="6" s="1"/>
  <c r="D1410" i="6" s="1"/>
  <c r="D1411" i="6" s="1"/>
  <c r="D1412" i="6" s="1"/>
  <c r="D1413" i="6" s="1"/>
  <c r="D1414" i="6" s="1"/>
  <c r="D1415" i="6" s="1"/>
  <c r="D1416" i="6" s="1"/>
  <c r="D1417" i="6" s="1"/>
  <c r="D1418" i="6" s="1"/>
  <c r="D1419" i="6" s="1"/>
  <c r="D1420" i="6" s="1"/>
  <c r="D1421" i="6" s="1"/>
  <c r="D1422" i="6" s="1"/>
  <c r="D1423" i="6" s="1"/>
  <c r="D1424" i="6" s="1"/>
  <c r="D1425" i="6" s="1"/>
  <c r="D1426" i="6" s="1"/>
  <c r="D1427" i="6" s="1"/>
  <c r="D1428" i="6" s="1"/>
  <c r="D1429" i="6" s="1"/>
  <c r="D1430" i="6" s="1"/>
  <c r="D1431" i="6" s="1"/>
  <c r="D1432" i="6" s="1"/>
  <c r="D1433" i="6" s="1"/>
  <c r="D1434" i="6" s="1"/>
  <c r="D1435" i="6" s="1"/>
  <c r="D1436" i="6" s="1"/>
  <c r="D1437" i="6" s="1"/>
  <c r="D1438" i="6" s="1"/>
  <c r="D1439" i="6" s="1"/>
  <c r="D1440" i="6" s="1"/>
  <c r="D1441" i="6" s="1"/>
  <c r="D1442" i="6" s="1"/>
  <c r="D1443" i="6" s="1"/>
  <c r="D1444" i="6" s="1"/>
  <c r="D1445" i="6" s="1"/>
  <c r="D1446" i="6" s="1"/>
  <c r="D1447" i="6" s="1"/>
  <c r="D1448" i="6" s="1"/>
  <c r="D1449" i="6" s="1"/>
  <c r="D1450" i="6" s="1"/>
  <c r="D1451" i="6" s="1"/>
  <c r="D1452" i="6" s="1"/>
  <c r="D1453" i="6" s="1"/>
  <c r="D1454" i="6" s="1"/>
  <c r="D1455" i="6" s="1"/>
  <c r="D1456" i="6" s="1"/>
  <c r="D1457" i="6" s="1"/>
  <c r="D1458" i="6" s="1"/>
  <c r="D1459" i="6" s="1"/>
  <c r="D1460" i="6" s="1"/>
  <c r="D1461" i="6" s="1"/>
  <c r="D1462" i="6" s="1"/>
  <c r="D1463" i="6" s="1"/>
  <c r="D1464" i="6" s="1"/>
  <c r="D1465" i="6" s="1"/>
  <c r="D1466" i="6" s="1"/>
  <c r="D1467" i="6" s="1"/>
  <c r="D1468" i="6" s="1"/>
  <c r="D1469" i="6" s="1"/>
  <c r="D1470" i="6" s="1"/>
  <c r="D1471" i="6" s="1"/>
  <c r="D1472" i="6" s="1"/>
  <c r="D1473" i="6" s="1"/>
  <c r="D1474" i="6" s="1"/>
  <c r="D1475" i="6" s="1"/>
  <c r="D1476" i="6" s="1"/>
  <c r="D1477" i="6" s="1"/>
  <c r="D1478" i="6" s="1"/>
  <c r="D1479" i="6" s="1"/>
  <c r="D1480" i="6" s="1"/>
  <c r="D1481" i="6" s="1"/>
  <c r="D1482" i="6" s="1"/>
  <c r="D1483" i="6" s="1"/>
  <c r="D1484" i="6" s="1"/>
  <c r="D1485" i="6" s="1"/>
  <c r="D1486" i="6" s="1"/>
  <c r="D1487" i="6" s="1"/>
  <c r="D1488" i="6" s="1"/>
  <c r="D1489" i="6" s="1"/>
  <c r="D1490" i="6" s="1"/>
  <c r="D1491" i="6" s="1"/>
  <c r="D1492" i="6" s="1"/>
  <c r="D1493" i="6" s="1"/>
  <c r="D1494" i="6" s="1"/>
  <c r="D1495" i="6" s="1"/>
  <c r="D1496" i="6" s="1"/>
  <c r="D1497" i="6" s="1"/>
  <c r="D1498" i="6" s="1"/>
  <c r="D1499" i="6" s="1"/>
  <c r="D1500" i="6" s="1"/>
  <c r="D1501" i="6" s="1"/>
  <c r="D1502" i="6" s="1"/>
  <c r="D1503" i="6" s="1"/>
  <c r="D1504" i="6" s="1"/>
  <c r="D1505" i="6" s="1"/>
  <c r="D1506" i="6" s="1"/>
  <c r="D1507" i="6" s="1"/>
  <c r="D1508" i="6" s="1"/>
  <c r="D1509" i="6" s="1"/>
  <c r="D1510" i="6" s="1"/>
  <c r="D1511" i="6" s="1"/>
  <c r="D1512" i="6" s="1"/>
  <c r="D1513" i="6" s="1"/>
  <c r="D1514" i="6" s="1"/>
  <c r="D1515" i="6" s="1"/>
  <c r="D1516" i="6" s="1"/>
  <c r="D1517" i="6" s="1"/>
  <c r="D1518" i="6" s="1"/>
  <c r="D1519" i="6" s="1"/>
  <c r="D1520" i="6" s="1"/>
  <c r="D1521" i="6" s="1"/>
  <c r="D1522" i="6" s="1"/>
  <c r="D1523" i="6" s="1"/>
  <c r="D1524" i="6" s="1"/>
  <c r="D1525" i="6" s="1"/>
  <c r="D1526" i="6" s="1"/>
  <c r="D1527" i="6" s="1"/>
  <c r="D1528" i="6" s="1"/>
  <c r="D1529" i="6" s="1"/>
  <c r="D1530" i="6" s="1"/>
  <c r="D1531" i="6" s="1"/>
  <c r="D1532" i="6" s="1"/>
  <c r="D1533" i="6" s="1"/>
  <c r="D1534" i="6" s="1"/>
  <c r="D1535" i="6" s="1"/>
  <c r="D1536" i="6" s="1"/>
  <c r="D1537" i="6" s="1"/>
  <c r="D1538" i="6" s="1"/>
  <c r="D1539" i="6" s="1"/>
  <c r="D1540" i="6" s="1"/>
  <c r="D1541" i="6" s="1"/>
  <c r="D1542" i="6" s="1"/>
  <c r="D1543" i="6" s="1"/>
  <c r="D1544" i="6" s="1"/>
  <c r="D1545" i="6" s="1"/>
  <c r="D1546" i="6" s="1"/>
  <c r="D1547" i="6" s="1"/>
  <c r="D1548" i="6" s="1"/>
  <c r="D1549" i="6" s="1"/>
  <c r="D1550" i="6" s="1"/>
  <c r="D1551" i="6" s="1"/>
  <c r="D1552" i="6" s="1"/>
  <c r="D1553" i="6" s="1"/>
  <c r="D1554" i="6" s="1"/>
  <c r="D1555" i="6" s="1"/>
  <c r="D1556" i="6" s="1"/>
  <c r="D1557" i="6" s="1"/>
  <c r="D1558" i="6" s="1"/>
  <c r="D1559" i="6" s="1"/>
  <c r="D1560" i="6" s="1"/>
  <c r="D1561" i="6" s="1"/>
  <c r="D1562" i="6" s="1"/>
  <c r="D1563" i="6" s="1"/>
  <c r="D1564" i="6" s="1"/>
  <c r="D1565" i="6" s="1"/>
  <c r="D1566" i="6" s="1"/>
  <c r="D1567" i="6" s="1"/>
  <c r="D1568" i="6" s="1"/>
  <c r="D1569" i="6" s="1"/>
  <c r="D1570" i="6" s="1"/>
  <c r="D1571" i="6" s="1"/>
  <c r="D1572" i="6" s="1"/>
  <c r="D1573" i="6" s="1"/>
  <c r="D1574" i="6" s="1"/>
  <c r="D1575" i="6" s="1"/>
  <c r="D1576" i="6" s="1"/>
  <c r="D1577" i="6" s="1"/>
  <c r="D1578" i="6" s="1"/>
  <c r="D1579" i="6" s="1"/>
  <c r="D1580" i="6" s="1"/>
  <c r="D1581" i="6" s="1"/>
  <c r="D1582" i="6" s="1"/>
  <c r="D1583" i="6" s="1"/>
  <c r="D1584" i="6" s="1"/>
  <c r="D1585" i="6" s="1"/>
  <c r="D1586" i="6" s="1"/>
  <c r="D1587" i="6" s="1"/>
  <c r="D1588" i="6" s="1"/>
  <c r="D1589" i="6" s="1"/>
  <c r="D1590" i="6" s="1"/>
  <c r="D1591" i="6" s="1"/>
  <c r="D1592" i="6" s="1"/>
  <c r="D1593" i="6" s="1"/>
  <c r="D1594" i="6" s="1"/>
  <c r="D1595" i="6" s="1"/>
  <c r="D1596" i="6" s="1"/>
  <c r="D1597" i="6" s="1"/>
  <c r="D1598" i="6" s="1"/>
  <c r="D1599" i="6" s="1"/>
  <c r="D1600" i="6" s="1"/>
  <c r="D1601" i="6" s="1"/>
  <c r="D1602" i="6" s="1"/>
  <c r="D1603" i="6" s="1"/>
  <c r="D1604" i="6" s="1"/>
  <c r="D1605" i="6" s="1"/>
  <c r="D1606" i="6" s="1"/>
  <c r="D1607" i="6" s="1"/>
  <c r="D1608" i="6" s="1"/>
  <c r="D1609" i="6" s="1"/>
  <c r="D1610" i="6" s="1"/>
  <c r="D1611" i="6" s="1"/>
  <c r="D1612" i="6" s="1"/>
  <c r="D1613" i="6" s="1"/>
  <c r="D1614" i="6" s="1"/>
  <c r="D1615" i="6" s="1"/>
  <c r="D1616" i="6" s="1"/>
  <c r="D1617" i="6" s="1"/>
  <c r="D1618" i="6" s="1"/>
  <c r="D1619" i="6" s="1"/>
  <c r="D1620" i="6" s="1"/>
  <c r="D1621" i="6" s="1"/>
  <c r="D1622" i="6" s="1"/>
  <c r="D1623" i="6" s="1"/>
  <c r="D1624" i="6" s="1"/>
  <c r="D1625" i="6" s="1"/>
  <c r="D1626" i="6" s="1"/>
  <c r="D1627" i="6" s="1"/>
  <c r="D1628" i="6" s="1"/>
  <c r="D1629" i="6" s="1"/>
  <c r="D1630" i="6" s="1"/>
  <c r="D1631" i="6" s="1"/>
  <c r="D1632" i="6" s="1"/>
  <c r="D1633" i="6" s="1"/>
  <c r="D1634" i="6" s="1"/>
  <c r="D1635" i="6" s="1"/>
  <c r="D1636" i="6" s="1"/>
  <c r="D1637" i="6" s="1"/>
  <c r="D1638" i="6" s="1"/>
  <c r="D1639" i="6" s="1"/>
  <c r="D1640" i="6" s="1"/>
  <c r="D1641" i="6" s="1"/>
  <c r="D1642" i="6" s="1"/>
  <c r="D1643" i="6" s="1"/>
  <c r="D1644" i="6" s="1"/>
  <c r="D1645" i="6" s="1"/>
  <c r="D1646" i="6" s="1"/>
  <c r="D1647" i="6" s="1"/>
  <c r="D1648" i="6" s="1"/>
  <c r="D1649" i="6" s="1"/>
  <c r="D1650" i="6" s="1"/>
  <c r="D1651" i="6" s="1"/>
  <c r="D1652" i="6" s="1"/>
  <c r="D1653" i="6" s="1"/>
  <c r="D1654" i="6" s="1"/>
  <c r="D1655" i="6" s="1"/>
  <c r="D1656" i="6" s="1"/>
  <c r="D1657" i="6" s="1"/>
  <c r="D1658" i="6" s="1"/>
  <c r="D1659" i="6" s="1"/>
  <c r="D1660" i="6" s="1"/>
  <c r="D1661" i="6" s="1"/>
  <c r="D1662" i="6" s="1"/>
  <c r="D1663" i="6" s="1"/>
  <c r="D1664" i="6" s="1"/>
  <c r="D1665" i="6" s="1"/>
  <c r="D1666" i="6" s="1"/>
  <c r="D1667" i="6" s="1"/>
  <c r="D1668" i="6" s="1"/>
  <c r="D1669" i="6" s="1"/>
  <c r="D1670" i="6" s="1"/>
  <c r="D1671" i="6" s="1"/>
  <c r="D1672" i="6" s="1"/>
  <c r="D1673" i="6" s="1"/>
  <c r="D1674" i="6" s="1"/>
  <c r="D1675" i="6" s="1"/>
  <c r="D1676" i="6" s="1"/>
  <c r="D1677" i="6" s="1"/>
  <c r="D1678" i="6" s="1"/>
  <c r="D1679" i="6" s="1"/>
  <c r="D1680" i="6" s="1"/>
  <c r="D1681" i="6" s="1"/>
  <c r="D1682" i="6" s="1"/>
  <c r="D1683" i="6" s="1"/>
  <c r="D1684" i="6" s="1"/>
  <c r="D1685" i="6" s="1"/>
  <c r="D1686" i="6" s="1"/>
  <c r="D1687" i="6" s="1"/>
  <c r="D1688" i="6" s="1"/>
  <c r="D1689" i="6" s="1"/>
  <c r="D1690" i="6" s="1"/>
  <c r="D1691" i="6" s="1"/>
  <c r="D1692" i="6" s="1"/>
  <c r="D1693" i="6" s="1"/>
  <c r="D1694" i="6" s="1"/>
  <c r="D1695" i="6" s="1"/>
  <c r="D1696" i="6" s="1"/>
  <c r="D1697" i="6" s="1"/>
  <c r="D1698" i="6" s="1"/>
  <c r="D1699" i="6" s="1"/>
  <c r="D1700" i="6" s="1"/>
  <c r="D1701" i="6" s="1"/>
  <c r="D1702" i="6" s="1"/>
  <c r="D1703" i="6" s="1"/>
  <c r="D1704" i="6" s="1"/>
  <c r="D1705" i="6" s="1"/>
  <c r="D1706" i="6" s="1"/>
  <c r="D1707" i="6" s="1"/>
  <c r="D1708" i="6" s="1"/>
  <c r="D1709" i="6" s="1"/>
  <c r="D1710" i="6" s="1"/>
  <c r="D1711" i="6" s="1"/>
  <c r="D1712" i="6" s="1"/>
  <c r="D1713" i="6" s="1"/>
  <c r="D1714" i="6" s="1"/>
  <c r="D1715" i="6" s="1"/>
  <c r="D1716" i="6" s="1"/>
  <c r="D1717" i="6" s="1"/>
  <c r="D1718" i="6" s="1"/>
  <c r="D1719" i="6" s="1"/>
  <c r="D1720" i="6" s="1"/>
  <c r="D1721" i="6" s="1"/>
  <c r="D1722" i="6" s="1"/>
  <c r="D1723" i="6" s="1"/>
  <c r="D1724" i="6" s="1"/>
  <c r="D1725" i="6" s="1"/>
  <c r="D1726" i="6" s="1"/>
  <c r="D1727" i="6" s="1"/>
  <c r="D1728" i="6" s="1"/>
  <c r="D1729" i="6" s="1"/>
  <c r="D1730" i="6" s="1"/>
  <c r="D1731" i="6" s="1"/>
  <c r="D1732" i="6" s="1"/>
  <c r="D1733" i="6" s="1"/>
  <c r="D1734" i="6" s="1"/>
  <c r="D1735" i="6" s="1"/>
  <c r="D1736" i="6" s="1"/>
  <c r="D1737" i="6" s="1"/>
  <c r="D1738" i="6" s="1"/>
  <c r="D1739" i="6" s="1"/>
  <c r="D1740" i="6" s="1"/>
  <c r="D1741" i="6" s="1"/>
  <c r="D1742" i="6" s="1"/>
  <c r="D1743" i="6" s="1"/>
  <c r="D1744" i="6" s="1"/>
  <c r="D1745" i="6" s="1"/>
  <c r="D1746" i="6" s="1"/>
  <c r="D1747" i="6" s="1"/>
  <c r="D1748" i="6" s="1"/>
  <c r="D1749" i="6" s="1"/>
  <c r="D1750" i="6" s="1"/>
  <c r="D1751" i="6" s="1"/>
  <c r="D1752" i="6" s="1"/>
  <c r="D1753" i="6" s="1"/>
  <c r="D1754" i="6" s="1"/>
  <c r="D1755" i="6" s="1"/>
  <c r="D1756" i="6" s="1"/>
  <c r="D1757" i="6" s="1"/>
  <c r="D1758" i="6" s="1"/>
  <c r="D1759" i="6" s="1"/>
  <c r="D1760" i="6" s="1"/>
  <c r="D1761" i="6" s="1"/>
  <c r="D1762" i="6" s="1"/>
  <c r="D1763" i="6" s="1"/>
  <c r="D1764" i="6" s="1"/>
  <c r="D1765" i="6" s="1"/>
  <c r="D1766" i="6" s="1"/>
  <c r="D1767" i="6" s="1"/>
  <c r="D1768" i="6" s="1"/>
  <c r="D1769" i="6" s="1"/>
  <c r="D1770" i="6" s="1"/>
  <c r="D1771" i="6" s="1"/>
  <c r="D1772" i="6" s="1"/>
  <c r="D1773" i="6" s="1"/>
  <c r="D1774" i="6" s="1"/>
  <c r="D1775" i="6" s="1"/>
  <c r="D1776" i="6" s="1"/>
  <c r="D1777" i="6" s="1"/>
  <c r="D1778" i="6" s="1"/>
  <c r="D1779" i="6" s="1"/>
  <c r="D1780" i="6" s="1"/>
  <c r="D1781" i="6" s="1"/>
  <c r="D1782" i="6" s="1"/>
  <c r="D1783" i="6" s="1"/>
  <c r="D1784" i="6" s="1"/>
  <c r="D1785" i="6" s="1"/>
  <c r="D1786" i="6" s="1"/>
  <c r="D1787" i="6" s="1"/>
  <c r="D1788" i="6" s="1"/>
  <c r="D1789" i="6" s="1"/>
  <c r="D1790" i="6" s="1"/>
  <c r="D1791" i="6" s="1"/>
  <c r="D1792" i="6" s="1"/>
  <c r="D1793" i="6" s="1"/>
  <c r="D1794" i="6" s="1"/>
  <c r="D1795" i="6" s="1"/>
  <c r="D1796" i="6" s="1"/>
  <c r="D1797" i="6" s="1"/>
  <c r="D1798" i="6" s="1"/>
  <c r="D1799" i="6" s="1"/>
  <c r="D1800" i="6" s="1"/>
  <c r="D1801" i="6" s="1"/>
  <c r="D1802" i="6" s="1"/>
  <c r="D1803" i="6" s="1"/>
  <c r="D1804" i="6" s="1"/>
  <c r="D1805" i="6" s="1"/>
  <c r="D1806" i="6" s="1"/>
  <c r="D1807" i="6" s="1"/>
  <c r="D1808" i="6" s="1"/>
  <c r="D1809" i="6" s="1"/>
  <c r="D1810" i="6" s="1"/>
  <c r="D1811" i="6" s="1"/>
  <c r="D1812" i="6" s="1"/>
  <c r="D1813" i="6" s="1"/>
  <c r="D1814" i="6" s="1"/>
  <c r="D1815" i="6" s="1"/>
  <c r="D1816" i="6" s="1"/>
  <c r="D1817" i="6" s="1"/>
  <c r="D1818" i="6" s="1"/>
  <c r="D1819" i="6" s="1"/>
  <c r="D1820" i="6" s="1"/>
  <c r="D1821" i="6" s="1"/>
  <c r="D1822" i="6" s="1"/>
  <c r="D1823" i="6" s="1"/>
  <c r="D1824" i="6" s="1"/>
  <c r="D1825" i="6" s="1"/>
  <c r="D1826" i="6" s="1"/>
  <c r="D1827" i="6" s="1"/>
  <c r="D1828" i="6" s="1"/>
  <c r="D1829" i="6" s="1"/>
  <c r="D1830" i="6" s="1"/>
  <c r="D1831" i="6" s="1"/>
  <c r="D1832" i="6" s="1"/>
  <c r="D1833" i="6" s="1"/>
  <c r="D1834" i="6" s="1"/>
  <c r="D1835" i="6" s="1"/>
  <c r="D1836" i="6" s="1"/>
  <c r="D1837" i="6" s="1"/>
  <c r="D1838" i="6" s="1"/>
  <c r="D1839" i="6" s="1"/>
  <c r="D1840" i="6" s="1"/>
  <c r="D1841" i="6" s="1"/>
  <c r="D1842" i="6" s="1"/>
  <c r="D1843" i="6" s="1"/>
  <c r="D1844" i="6" s="1"/>
  <c r="D1845" i="6" s="1"/>
  <c r="D1846" i="6" s="1"/>
  <c r="D1847" i="6" s="1"/>
  <c r="D1848" i="6" s="1"/>
  <c r="D1849" i="6" s="1"/>
  <c r="D1850" i="6" s="1"/>
  <c r="D1851" i="6" s="1"/>
  <c r="D1852" i="6" s="1"/>
  <c r="D1853" i="6" s="1"/>
  <c r="D1854" i="6" s="1"/>
  <c r="D1855" i="6" s="1"/>
  <c r="D1856" i="6" s="1"/>
  <c r="D1857" i="6" s="1"/>
  <c r="D1858" i="6" s="1"/>
  <c r="D1859" i="6" s="1"/>
  <c r="D1860" i="6" s="1"/>
  <c r="D1861" i="6" s="1"/>
  <c r="D1862" i="6" s="1"/>
  <c r="D1863" i="6" s="1"/>
  <c r="D1864" i="6" s="1"/>
  <c r="D1865" i="6" s="1"/>
  <c r="D1866" i="6" s="1"/>
  <c r="D1867" i="6" s="1"/>
  <c r="D1868" i="6" s="1"/>
  <c r="D1869" i="6" s="1"/>
  <c r="D1870" i="6" s="1"/>
  <c r="D1871" i="6" s="1"/>
  <c r="D1872" i="6" s="1"/>
  <c r="D1873" i="6" s="1"/>
  <c r="D1874" i="6" s="1"/>
  <c r="D1875" i="6" s="1"/>
  <c r="D1876" i="6" s="1"/>
  <c r="D1877" i="6" s="1"/>
  <c r="D1878" i="6" s="1"/>
  <c r="D1879" i="6" s="1"/>
  <c r="D1880" i="6" s="1"/>
  <c r="D1881" i="6" s="1"/>
  <c r="D1882" i="6" s="1"/>
  <c r="D1883" i="6" s="1"/>
  <c r="D1884" i="6" s="1"/>
  <c r="D1885" i="6" s="1"/>
  <c r="D1886" i="6" s="1"/>
  <c r="D1887" i="6" s="1"/>
  <c r="D1888" i="6" s="1"/>
  <c r="D1889" i="6" s="1"/>
  <c r="D1890" i="6" s="1"/>
  <c r="D1891" i="6" s="1"/>
  <c r="D1892" i="6" s="1"/>
  <c r="D1893" i="6" s="1"/>
  <c r="D1894" i="6" s="1"/>
  <c r="D1895" i="6" s="1"/>
  <c r="D1896" i="6" s="1"/>
  <c r="D1897" i="6" s="1"/>
  <c r="D1898" i="6" s="1"/>
  <c r="D1899" i="6" s="1"/>
  <c r="D1900" i="6" s="1"/>
  <c r="D1901" i="6" s="1"/>
  <c r="D1902" i="6" s="1"/>
  <c r="D1903" i="6" s="1"/>
  <c r="D1904" i="6" s="1"/>
  <c r="D1905" i="6" s="1"/>
  <c r="D1906" i="6" s="1"/>
  <c r="D1907" i="6" s="1"/>
  <c r="D1908" i="6" s="1"/>
  <c r="D1909" i="6" s="1"/>
  <c r="D1910" i="6" s="1"/>
  <c r="D1911" i="6" s="1"/>
  <c r="D1912" i="6" s="1"/>
  <c r="D1913" i="6" s="1"/>
  <c r="D1914" i="6" s="1"/>
  <c r="D1915" i="6" s="1"/>
  <c r="D1916" i="6" s="1"/>
  <c r="D1917" i="6" s="1"/>
  <c r="D1918" i="6" s="1"/>
  <c r="D1919" i="6" s="1"/>
  <c r="D1920" i="6" s="1"/>
  <c r="D1921" i="6" s="1"/>
  <c r="D1922" i="6" s="1"/>
  <c r="D1923" i="6" s="1"/>
  <c r="D1924" i="6" s="1"/>
  <c r="D1925" i="6" s="1"/>
  <c r="D1926" i="6" s="1"/>
  <c r="D1927" i="6" s="1"/>
  <c r="D1928" i="6" s="1"/>
  <c r="D1929" i="6" s="1"/>
  <c r="D1930" i="6" s="1"/>
  <c r="D1931" i="6" s="1"/>
  <c r="D1932" i="6" s="1"/>
  <c r="D1933" i="6" s="1"/>
  <c r="D1934" i="6" s="1"/>
  <c r="D1935" i="6" s="1"/>
  <c r="D1936" i="6" s="1"/>
  <c r="D1937" i="6" s="1"/>
  <c r="D1938" i="6" s="1"/>
  <c r="D1939" i="6" s="1"/>
  <c r="D1940" i="6" s="1"/>
  <c r="D1941" i="6" s="1"/>
  <c r="D1942" i="6" s="1"/>
  <c r="D1943" i="6" s="1"/>
  <c r="D1944" i="6" s="1"/>
  <c r="D1945" i="6" s="1"/>
  <c r="D1946" i="6" s="1"/>
  <c r="D1947" i="6" s="1"/>
  <c r="D1948" i="6" s="1"/>
  <c r="D1949" i="6" s="1"/>
  <c r="D1950" i="6" s="1"/>
  <c r="D1951" i="6" s="1"/>
  <c r="D1952" i="6" s="1"/>
  <c r="D1953" i="6" s="1"/>
  <c r="D1954" i="6" s="1"/>
  <c r="D1955" i="6" s="1"/>
  <c r="D1956" i="6" s="1"/>
  <c r="D1957" i="6" s="1"/>
  <c r="D1958" i="6" s="1"/>
  <c r="D1959" i="6" s="1"/>
  <c r="D1960" i="6" s="1"/>
  <c r="D1961" i="6" s="1"/>
  <c r="D1962" i="6" s="1"/>
  <c r="D1963" i="6" s="1"/>
  <c r="D1964" i="6" s="1"/>
  <c r="D1965" i="6" s="1"/>
  <c r="D1966" i="6" s="1"/>
  <c r="D1967" i="6" s="1"/>
  <c r="D1968" i="6" s="1"/>
  <c r="D1969" i="6" s="1"/>
  <c r="D1970" i="6" s="1"/>
  <c r="D1971" i="6" s="1"/>
  <c r="D1972" i="6" s="1"/>
  <c r="D1973" i="6" s="1"/>
  <c r="D1974" i="6" s="1"/>
  <c r="D1975" i="6" s="1"/>
  <c r="D1976" i="6" s="1"/>
  <c r="D1977" i="6" s="1"/>
  <c r="D1978" i="6" s="1"/>
  <c r="D1979" i="6" s="1"/>
  <c r="D1980" i="6" s="1"/>
  <c r="D1981" i="6" s="1"/>
  <c r="D1982" i="6" s="1"/>
  <c r="D1983" i="6" s="1"/>
  <c r="D1984" i="6" s="1"/>
  <c r="D1985" i="6" s="1"/>
  <c r="D1986" i="6" s="1"/>
  <c r="D1987" i="6" s="1"/>
  <c r="D1988" i="6" s="1"/>
  <c r="D1989" i="6" s="1"/>
  <c r="D1990" i="6" s="1"/>
  <c r="D1991" i="6" s="1"/>
  <c r="D1992" i="6" s="1"/>
  <c r="D1993" i="6" s="1"/>
  <c r="D1994" i="6" s="1"/>
  <c r="D1995" i="6" s="1"/>
  <c r="D1996" i="6" s="1"/>
  <c r="D1997" i="6" s="1"/>
  <c r="D1998" i="6" s="1"/>
  <c r="D1999" i="6" s="1"/>
  <c r="D2000" i="6" s="1"/>
  <c r="D2001" i="6" s="1"/>
  <c r="D2002" i="6" s="1"/>
  <c r="D2003" i="6" s="1"/>
  <c r="D2004" i="6" s="1"/>
  <c r="D2005" i="6" s="1"/>
  <c r="D2006" i="6" s="1"/>
  <c r="D2007" i="6" s="1"/>
  <c r="D2008" i="6" s="1"/>
  <c r="D2009" i="6" s="1"/>
  <c r="D2010" i="6" s="1"/>
  <c r="D2011" i="6" s="1"/>
  <c r="D2012" i="6" s="1"/>
  <c r="D2013" i="6" s="1"/>
  <c r="D2014" i="6" s="1"/>
  <c r="D2015" i="6" s="1"/>
  <c r="D2016" i="6" s="1"/>
  <c r="D2017" i="6" s="1"/>
  <c r="D2018" i="6" s="1"/>
  <c r="D2019" i="6" s="1"/>
  <c r="D2020" i="6" s="1"/>
  <c r="D2021" i="6" s="1"/>
  <c r="D2022" i="6" s="1"/>
  <c r="D2023" i="6" s="1"/>
  <c r="D2024" i="6" s="1"/>
  <c r="D2025" i="6" s="1"/>
  <c r="D2026" i="6" s="1"/>
  <c r="D2027" i="6" s="1"/>
  <c r="D2028" i="6" s="1"/>
  <c r="D2029" i="6" s="1"/>
  <c r="D2030" i="6" s="1"/>
  <c r="D2031" i="6" s="1"/>
  <c r="D2032" i="6" s="1"/>
  <c r="D2033" i="6" s="1"/>
  <c r="D2034" i="6" s="1"/>
  <c r="D2035" i="6" s="1"/>
  <c r="D2036" i="6" s="1"/>
  <c r="D2037" i="6" s="1"/>
  <c r="D2038" i="6" s="1"/>
  <c r="D2039" i="6" s="1"/>
  <c r="D2040" i="6" s="1"/>
  <c r="D2041" i="6" s="1"/>
  <c r="D2042" i="6" s="1"/>
  <c r="D2043" i="6" s="1"/>
  <c r="D2044" i="6" s="1"/>
  <c r="D2045" i="6" s="1"/>
  <c r="D2046" i="6" s="1"/>
  <c r="D2047" i="6" s="1"/>
  <c r="D2048" i="6" s="1"/>
  <c r="D2049" i="6" s="1"/>
  <c r="D2050" i="6" s="1"/>
  <c r="D2051" i="6" s="1"/>
  <c r="D2052" i="6" s="1"/>
  <c r="D2053" i="6" s="1"/>
  <c r="D2054" i="6" s="1"/>
  <c r="D2055" i="6" s="1"/>
  <c r="D2056" i="6" s="1"/>
  <c r="D2057" i="6" s="1"/>
  <c r="D2058" i="6" s="1"/>
  <c r="D2059" i="6" s="1"/>
  <c r="D2060" i="6" s="1"/>
  <c r="D2061" i="6" s="1"/>
  <c r="D2062" i="6" s="1"/>
  <c r="D2063" i="6" s="1"/>
  <c r="D2064" i="6" s="1"/>
  <c r="D2065" i="6" s="1"/>
  <c r="D2066" i="6" s="1"/>
  <c r="D2067" i="6" s="1"/>
  <c r="D2068" i="6" s="1"/>
  <c r="D2069" i="6" s="1"/>
  <c r="D2070" i="6" s="1"/>
  <c r="D2071" i="6" s="1"/>
  <c r="D2072" i="6" s="1"/>
  <c r="D2073" i="6" s="1"/>
  <c r="D2074" i="6" s="1"/>
  <c r="D2075" i="6" s="1"/>
  <c r="D2076" i="6" s="1"/>
  <c r="D2077" i="6" s="1"/>
  <c r="D2078" i="6" s="1"/>
  <c r="D2079" i="6" s="1"/>
  <c r="D2080" i="6" s="1"/>
  <c r="D2081" i="6" s="1"/>
  <c r="D2082" i="6" s="1"/>
  <c r="D2083" i="6" s="1"/>
  <c r="D2084" i="6" s="1"/>
  <c r="D2085" i="6" s="1"/>
  <c r="D2086" i="6" s="1"/>
  <c r="D2087" i="6" s="1"/>
  <c r="D2088" i="6" s="1"/>
  <c r="D2089" i="6" s="1"/>
  <c r="D2090" i="6" s="1"/>
  <c r="D2091" i="6" s="1"/>
  <c r="D2092" i="6" s="1"/>
  <c r="D2093" i="6" s="1"/>
  <c r="D2094" i="6" s="1"/>
  <c r="D2095" i="6" s="1"/>
  <c r="D2096" i="6" s="1"/>
  <c r="D2097" i="6" s="1"/>
  <c r="D2098" i="6" s="1"/>
  <c r="D2099" i="6" s="1"/>
  <c r="D2100" i="6" s="1"/>
  <c r="D2101" i="6" s="1"/>
  <c r="D2102" i="6" s="1"/>
  <c r="D2103" i="6" s="1"/>
  <c r="D2104" i="6" s="1"/>
  <c r="D2105" i="6" s="1"/>
  <c r="D2106" i="6" s="1"/>
  <c r="D2107" i="6" s="1"/>
  <c r="D2108" i="6" s="1"/>
  <c r="D2109" i="6" s="1"/>
  <c r="D2110" i="6" s="1"/>
  <c r="D2111" i="6" s="1"/>
  <c r="D2112" i="6" s="1"/>
  <c r="D2113" i="6" s="1"/>
  <c r="D2114" i="6" s="1"/>
  <c r="D2115" i="6" s="1"/>
  <c r="D2116" i="6" s="1"/>
  <c r="D2117" i="6" s="1"/>
  <c r="D2118" i="6" s="1"/>
  <c r="D2119" i="6" s="1"/>
  <c r="D2120" i="6" s="1"/>
  <c r="D2121" i="6" s="1"/>
  <c r="D2122" i="6" s="1"/>
  <c r="D2123" i="6" s="1"/>
  <c r="D2124" i="6" s="1"/>
  <c r="D2125" i="6" s="1"/>
  <c r="D2126" i="6" s="1"/>
  <c r="D2127" i="6" s="1"/>
  <c r="D2128" i="6" s="1"/>
  <c r="D2129" i="6" s="1"/>
  <c r="D2130" i="6" s="1"/>
  <c r="D2131" i="6" s="1"/>
  <c r="D2132" i="6" s="1"/>
  <c r="D2133" i="6" s="1"/>
  <c r="D2134" i="6" s="1"/>
  <c r="D2135" i="6" s="1"/>
  <c r="D2136" i="6" s="1"/>
  <c r="D2137" i="6" s="1"/>
  <c r="D2138" i="6" s="1"/>
  <c r="D2139" i="6" s="1"/>
  <c r="D2140" i="6" s="1"/>
  <c r="D2141" i="6" s="1"/>
  <c r="D2142" i="6" s="1"/>
  <c r="D2143" i="6" s="1"/>
  <c r="D2144" i="6" s="1"/>
  <c r="D2145" i="6" s="1"/>
  <c r="D2146" i="6" s="1"/>
  <c r="D2147" i="6" s="1"/>
  <c r="D2148" i="6" s="1"/>
  <c r="D2149" i="6" s="1"/>
  <c r="D2150" i="6" s="1"/>
  <c r="D2151" i="6" s="1"/>
  <c r="D2152" i="6" s="1"/>
  <c r="D2153" i="6" s="1"/>
  <c r="D2154" i="6" s="1"/>
  <c r="D2155" i="6" s="1"/>
  <c r="D2156" i="6" s="1"/>
  <c r="D2157" i="6" s="1"/>
  <c r="D2158" i="6" s="1"/>
  <c r="D2159" i="6" s="1"/>
  <c r="D2160" i="6" s="1"/>
  <c r="D2161" i="6" s="1"/>
  <c r="D2162" i="6" s="1"/>
  <c r="D2163" i="6" s="1"/>
  <c r="D2164" i="6" s="1"/>
  <c r="D2165" i="6" s="1"/>
  <c r="D2166" i="6" s="1"/>
  <c r="D2167" i="6" s="1"/>
  <c r="D2168" i="6" s="1"/>
  <c r="D2169" i="6" s="1"/>
  <c r="D2170" i="6" s="1"/>
  <c r="D2171" i="6" s="1"/>
  <c r="D2172" i="6" s="1"/>
  <c r="D2173" i="6" s="1"/>
  <c r="D2174" i="6" s="1"/>
  <c r="D2175" i="6" s="1"/>
  <c r="D2176" i="6" s="1"/>
  <c r="D2177" i="6" s="1"/>
  <c r="D2178" i="6" s="1"/>
  <c r="D2179" i="6" s="1"/>
  <c r="D2180" i="6" s="1"/>
  <c r="D2181" i="6" s="1"/>
  <c r="D2182" i="6" s="1"/>
  <c r="D2183" i="6" s="1"/>
  <c r="D2184" i="6" s="1"/>
  <c r="D2185" i="6" s="1"/>
  <c r="D2186" i="6" s="1"/>
  <c r="D2187" i="6" s="1"/>
  <c r="D2188" i="6" s="1"/>
  <c r="D2189" i="6" s="1"/>
  <c r="D2190" i="6" s="1"/>
  <c r="D2191" i="6" s="1"/>
  <c r="D2192" i="6" s="1"/>
  <c r="D2193" i="6" s="1"/>
  <c r="D2194" i="6" s="1"/>
  <c r="D2195" i="6" s="1"/>
  <c r="D2196" i="6" s="1"/>
  <c r="D2197" i="6" s="1"/>
  <c r="D2198" i="6" s="1"/>
  <c r="D2199" i="6" s="1"/>
  <c r="D2200" i="6" s="1"/>
  <c r="D2201" i="6" s="1"/>
  <c r="D2202" i="6" s="1"/>
  <c r="D2203" i="6" s="1"/>
  <c r="D2204" i="6" s="1"/>
  <c r="D2205" i="6" s="1"/>
  <c r="D2206" i="6" s="1"/>
  <c r="D2207" i="6" s="1"/>
  <c r="D2208" i="6" s="1"/>
  <c r="D2209" i="6" s="1"/>
  <c r="D2210" i="6" s="1"/>
  <c r="D2211" i="6" s="1"/>
  <c r="D2212" i="6" s="1"/>
  <c r="D2213" i="6" s="1"/>
  <c r="D2214" i="6" s="1"/>
  <c r="D2215" i="6" s="1"/>
  <c r="D2216" i="6" s="1"/>
  <c r="D2217" i="6" s="1"/>
  <c r="D2218" i="6" s="1"/>
  <c r="D2219" i="6" s="1"/>
  <c r="D2220" i="6" s="1"/>
  <c r="D2221" i="6" s="1"/>
  <c r="D2222" i="6" s="1"/>
  <c r="D2223" i="6" s="1"/>
  <c r="D2224" i="6" s="1"/>
  <c r="D2225" i="6" s="1"/>
  <c r="D2226" i="6" s="1"/>
  <c r="D2227" i="6" s="1"/>
  <c r="D2228" i="6" s="1"/>
  <c r="D2229" i="6" s="1"/>
  <c r="D2230" i="6" s="1"/>
  <c r="D2231" i="6" s="1"/>
  <c r="D2232" i="6" s="1"/>
  <c r="D2233" i="6" s="1"/>
  <c r="D2234" i="6" s="1"/>
  <c r="D2235" i="6" s="1"/>
  <c r="D2236" i="6" s="1"/>
  <c r="D2237" i="6" s="1"/>
  <c r="D2238" i="6" s="1"/>
  <c r="D2239" i="6" s="1"/>
  <c r="D2240" i="6" s="1"/>
  <c r="D2241" i="6" s="1"/>
  <c r="D2242" i="6" s="1"/>
  <c r="D2243" i="6" s="1"/>
  <c r="D2244" i="6" s="1"/>
  <c r="D2245" i="6" s="1"/>
  <c r="D2246" i="6" s="1"/>
  <c r="D2247" i="6" s="1"/>
  <c r="D2248" i="6" s="1"/>
  <c r="D2249" i="6" s="1"/>
  <c r="D2250" i="6" s="1"/>
  <c r="D2251" i="6" s="1"/>
  <c r="D2252" i="6" s="1"/>
  <c r="D2253" i="6" s="1"/>
  <c r="D2254" i="6" s="1"/>
  <c r="D2255" i="6" s="1"/>
  <c r="D2256" i="6" s="1"/>
  <c r="D2257" i="6" s="1"/>
  <c r="D2258" i="6" s="1"/>
  <c r="D2259" i="6" s="1"/>
  <c r="D2260" i="6" s="1"/>
  <c r="D2261" i="6" s="1"/>
  <c r="D2262" i="6" s="1"/>
  <c r="D2263" i="6" s="1"/>
  <c r="D2264" i="6" s="1"/>
  <c r="D2265" i="6" s="1"/>
  <c r="D2266" i="6" s="1"/>
  <c r="D2267" i="6" s="1"/>
  <c r="D2268" i="6" s="1"/>
  <c r="D2269" i="6" s="1"/>
  <c r="D2270" i="6" s="1"/>
  <c r="D2271" i="6" s="1"/>
  <c r="D2272" i="6" s="1"/>
  <c r="D2273" i="6" s="1"/>
  <c r="D2274" i="6" s="1"/>
  <c r="D2275" i="6" s="1"/>
  <c r="D2276" i="6" s="1"/>
  <c r="D2277" i="6" s="1"/>
  <c r="D2278" i="6" s="1"/>
  <c r="D2279" i="6" s="1"/>
  <c r="D2280" i="6" s="1"/>
  <c r="D2281" i="6" s="1"/>
  <c r="D2282" i="6" s="1"/>
  <c r="D2283" i="6" s="1"/>
  <c r="D2284" i="6" s="1"/>
  <c r="D2285" i="6" s="1"/>
  <c r="D2286" i="6" s="1"/>
  <c r="D2287" i="6" s="1"/>
  <c r="D2288" i="6" s="1"/>
  <c r="D2289" i="6" s="1"/>
  <c r="D2290" i="6" s="1"/>
  <c r="D2291" i="6" s="1"/>
  <c r="D2292" i="6" s="1"/>
  <c r="D2293" i="6" s="1"/>
  <c r="D2294" i="6" s="1"/>
  <c r="D2295" i="6" s="1"/>
  <c r="D2296" i="6" s="1"/>
  <c r="D2297" i="6" s="1"/>
  <c r="D2298" i="6" s="1"/>
  <c r="D2299" i="6" s="1"/>
  <c r="D2300" i="6" s="1"/>
  <c r="D2301" i="6" s="1"/>
  <c r="D2302" i="6" s="1"/>
  <c r="D2303" i="6" s="1"/>
  <c r="D2304" i="6" s="1"/>
  <c r="D2305" i="6" s="1"/>
  <c r="D2306" i="6" s="1"/>
  <c r="D2307" i="6" s="1"/>
  <c r="D2308" i="6" s="1"/>
  <c r="D2309" i="6" s="1"/>
  <c r="D2310" i="6" s="1"/>
  <c r="D2311" i="6" s="1"/>
  <c r="D2312" i="6" s="1"/>
  <c r="D2313" i="6" s="1"/>
  <c r="D2314" i="6" s="1"/>
  <c r="D2315" i="6" s="1"/>
  <c r="D2316" i="6" s="1"/>
  <c r="D2317" i="6" s="1"/>
  <c r="D2318" i="6" s="1"/>
  <c r="D2319" i="6" s="1"/>
  <c r="D2320" i="6" s="1"/>
  <c r="D2321" i="6" s="1"/>
  <c r="D2322" i="6" s="1"/>
  <c r="D2323" i="6" s="1"/>
  <c r="D2324" i="6" s="1"/>
  <c r="D2325" i="6" s="1"/>
  <c r="D2326" i="6" s="1"/>
  <c r="D2327" i="6" s="1"/>
  <c r="D2328" i="6" s="1"/>
  <c r="D2329" i="6" s="1"/>
  <c r="D2330" i="6" s="1"/>
  <c r="D2331" i="6" s="1"/>
  <c r="D2332" i="6" s="1"/>
  <c r="D2333" i="6" s="1"/>
  <c r="D2334" i="6" s="1"/>
  <c r="D2335" i="6" s="1"/>
  <c r="D2336" i="6" s="1"/>
  <c r="D2337" i="6" s="1"/>
  <c r="D2338" i="6" s="1"/>
  <c r="D2339" i="6" s="1"/>
  <c r="D2340" i="6" s="1"/>
  <c r="D2341" i="6" s="1"/>
  <c r="D2342" i="6" s="1"/>
  <c r="D2343" i="6" s="1"/>
  <c r="D2344" i="6" s="1"/>
  <c r="D2345" i="6" s="1"/>
  <c r="D2346" i="6" s="1"/>
  <c r="D2347" i="6" s="1"/>
  <c r="D2348" i="6" s="1"/>
  <c r="D2349" i="6" s="1"/>
  <c r="D2350" i="6" s="1"/>
  <c r="D2351" i="6" s="1"/>
  <c r="D2352" i="6" s="1"/>
  <c r="D2353" i="6" s="1"/>
  <c r="D2354" i="6" s="1"/>
  <c r="D2355" i="6" s="1"/>
  <c r="D2356" i="6" s="1"/>
  <c r="D2357" i="6" s="1"/>
  <c r="D2358" i="6" s="1"/>
  <c r="D2359" i="6" s="1"/>
  <c r="D2360" i="6" s="1"/>
  <c r="D2361" i="6" s="1"/>
  <c r="D2362" i="6" s="1"/>
  <c r="D2363" i="6" s="1"/>
  <c r="D2364" i="6" s="1"/>
  <c r="D2365" i="6" s="1"/>
  <c r="D2366" i="6" s="1"/>
  <c r="D2367" i="6" s="1"/>
  <c r="D2368" i="6" s="1"/>
  <c r="D2369" i="6" s="1"/>
  <c r="D2370" i="6" s="1"/>
  <c r="D2371" i="6" s="1"/>
  <c r="D2372" i="6" s="1"/>
  <c r="D2373" i="6" s="1"/>
  <c r="D2374" i="6" s="1"/>
  <c r="D2375" i="6" s="1"/>
  <c r="D2376" i="6" s="1"/>
  <c r="D2377" i="6" s="1"/>
  <c r="D2378" i="6" s="1"/>
  <c r="D2379" i="6" s="1"/>
  <c r="D2380" i="6" s="1"/>
  <c r="D2381" i="6" s="1"/>
  <c r="D2382" i="6" s="1"/>
  <c r="D2383" i="6" s="1"/>
  <c r="D2384" i="6" s="1"/>
  <c r="D2385" i="6" s="1"/>
  <c r="D2386" i="6" s="1"/>
  <c r="D2387" i="6" s="1"/>
  <c r="D2388" i="6" s="1"/>
  <c r="D2389" i="6" s="1"/>
  <c r="D2390" i="6" s="1"/>
  <c r="D2391" i="6" s="1"/>
  <c r="D2392" i="6" s="1"/>
  <c r="D2393" i="6" s="1"/>
  <c r="D2394" i="6" s="1"/>
  <c r="D2395" i="6" s="1"/>
  <c r="D2396" i="6" s="1"/>
  <c r="D2397" i="6" s="1"/>
  <c r="D2398" i="6" s="1"/>
  <c r="D2399" i="6" s="1"/>
  <c r="D2400" i="6" s="1"/>
  <c r="D2401" i="6" s="1"/>
  <c r="D2402" i="6" s="1"/>
  <c r="D2403" i="6" s="1"/>
  <c r="D2404" i="6" s="1"/>
  <c r="D2405" i="6" s="1"/>
  <c r="D2406" i="6" s="1"/>
  <c r="D2407" i="6" s="1"/>
  <c r="D2408" i="6" s="1"/>
  <c r="D2409" i="6" s="1"/>
  <c r="D2410" i="6" s="1"/>
  <c r="D2411" i="6" s="1"/>
  <c r="D2412" i="6" s="1"/>
  <c r="D2413" i="6" s="1"/>
  <c r="D2414" i="6" s="1"/>
  <c r="D2415" i="6" s="1"/>
  <c r="D2416" i="6" s="1"/>
  <c r="D2417" i="6" s="1"/>
  <c r="D2418" i="6" s="1"/>
  <c r="D2419" i="6" s="1"/>
  <c r="D2420" i="6" s="1"/>
  <c r="D2421" i="6" s="1"/>
  <c r="D2422" i="6" s="1"/>
  <c r="D2423" i="6" s="1"/>
  <c r="D2424" i="6" s="1"/>
  <c r="D2425" i="6" s="1"/>
  <c r="D2426" i="6" s="1"/>
  <c r="D2427" i="6" s="1"/>
  <c r="D2428" i="6" s="1"/>
  <c r="D2429" i="6" s="1"/>
  <c r="D2430" i="6" s="1"/>
  <c r="D2431" i="6" s="1"/>
  <c r="D2432" i="6" s="1"/>
  <c r="D2433" i="6" s="1"/>
  <c r="D2434" i="6" s="1"/>
  <c r="D2435" i="6" s="1"/>
  <c r="D2436" i="6" s="1"/>
  <c r="D2437" i="6" s="1"/>
  <c r="D2438" i="6" s="1"/>
  <c r="D2439" i="6" s="1"/>
  <c r="D2440" i="6" s="1"/>
  <c r="D2441" i="6" s="1"/>
  <c r="D2442" i="6" s="1"/>
  <c r="D2443" i="6" s="1"/>
  <c r="D2444" i="6" s="1"/>
  <c r="D2445" i="6" s="1"/>
  <c r="D2446" i="6" s="1"/>
  <c r="D2447" i="6" s="1"/>
  <c r="D2448" i="6" s="1"/>
  <c r="D2449" i="6" s="1"/>
  <c r="D2450" i="6" s="1"/>
  <c r="D2451" i="6" s="1"/>
  <c r="D2452" i="6" s="1"/>
  <c r="D2453" i="6" s="1"/>
  <c r="D2454" i="6" s="1"/>
  <c r="D2455" i="6" s="1"/>
  <c r="D2456" i="6" s="1"/>
  <c r="D2457" i="6" s="1"/>
  <c r="D2458" i="6" s="1"/>
  <c r="D2459" i="6" s="1"/>
  <c r="D2460" i="6" s="1"/>
  <c r="D2461" i="6" s="1"/>
  <c r="D2462" i="6" s="1"/>
  <c r="D2463" i="6" s="1"/>
  <c r="D2464" i="6" s="1"/>
  <c r="D2465" i="6" s="1"/>
  <c r="D2466" i="6" s="1"/>
  <c r="D2467" i="6" s="1"/>
  <c r="D2468" i="6" s="1"/>
  <c r="D2469" i="6" s="1"/>
  <c r="D2470" i="6" s="1"/>
  <c r="D2471" i="6" s="1"/>
  <c r="D2472" i="6" s="1"/>
  <c r="D2473" i="6" s="1"/>
  <c r="D2474" i="6" s="1"/>
  <c r="D2475" i="6" s="1"/>
  <c r="D2476" i="6" s="1"/>
  <c r="D2477" i="6" s="1"/>
  <c r="D2478" i="6" s="1"/>
  <c r="D2479" i="6" s="1"/>
  <c r="D2480" i="6" s="1"/>
  <c r="D2481" i="6" s="1"/>
  <c r="D2482" i="6" s="1"/>
  <c r="D2483" i="6" s="1"/>
  <c r="D2484" i="6" s="1"/>
  <c r="D2485" i="6" s="1"/>
  <c r="D2486" i="6" s="1"/>
  <c r="D2487" i="6" s="1"/>
  <c r="D2488" i="6" s="1"/>
  <c r="D2489" i="6" s="1"/>
  <c r="D2490" i="6" s="1"/>
  <c r="D2491" i="6" s="1"/>
  <c r="D2492" i="6" s="1"/>
  <c r="D2493" i="6" s="1"/>
  <c r="D2494" i="6" s="1"/>
  <c r="D2495" i="6" s="1"/>
  <c r="D2496" i="6" s="1"/>
  <c r="D2497" i="6" s="1"/>
  <c r="D2498" i="6" s="1"/>
  <c r="D2499" i="6" s="1"/>
  <c r="D2500" i="6" s="1"/>
  <c r="D2501" i="6" s="1"/>
  <c r="D2502" i="6" s="1"/>
  <c r="D2503" i="6" s="1"/>
  <c r="D2504" i="6" s="1"/>
  <c r="D2505" i="6" s="1"/>
  <c r="D2506" i="6" s="1"/>
  <c r="D2507" i="6" s="1"/>
  <c r="D2508" i="6" s="1"/>
  <c r="D2509" i="6" s="1"/>
  <c r="D2510" i="6" s="1"/>
  <c r="D2511" i="6" s="1"/>
  <c r="D2512" i="6" s="1"/>
  <c r="D2513" i="6" s="1"/>
  <c r="D2514" i="6" s="1"/>
  <c r="D2515" i="6" s="1"/>
  <c r="D2516" i="6" s="1"/>
  <c r="D2517" i="6" s="1"/>
  <c r="D2518" i="6" s="1"/>
  <c r="D2519" i="6" s="1"/>
  <c r="D2520" i="6" s="1"/>
  <c r="D2521" i="6" s="1"/>
  <c r="D2522" i="6" s="1"/>
  <c r="D2523" i="6" s="1"/>
  <c r="D2524" i="6" s="1"/>
  <c r="D2525" i="6" s="1"/>
  <c r="D2526" i="6" s="1"/>
  <c r="D2527" i="6" s="1"/>
  <c r="D2528" i="6" s="1"/>
  <c r="D2529" i="6" s="1"/>
  <c r="D2530" i="6" s="1"/>
  <c r="D2531" i="6" s="1"/>
  <c r="D2532" i="6" s="1"/>
  <c r="D2533" i="6" s="1"/>
  <c r="D2534" i="6" s="1"/>
  <c r="D2535" i="6" s="1"/>
  <c r="D2536" i="6" s="1"/>
  <c r="D2537" i="6" s="1"/>
  <c r="D2538" i="6" s="1"/>
  <c r="D2539" i="6" s="1"/>
  <c r="D2540" i="6" s="1"/>
  <c r="D2541" i="6" s="1"/>
  <c r="D2542" i="6" s="1"/>
  <c r="D2543" i="6" s="1"/>
  <c r="D2544" i="6" s="1"/>
  <c r="D2545" i="6" s="1"/>
  <c r="D2546" i="6" s="1"/>
  <c r="D2547" i="6" s="1"/>
  <c r="D2548" i="6" s="1"/>
  <c r="D2549" i="6" s="1"/>
  <c r="D2550" i="6" s="1"/>
  <c r="D2551" i="6" s="1"/>
  <c r="D2552" i="6" s="1"/>
  <c r="D2553" i="6" s="1"/>
  <c r="D2554" i="6" s="1"/>
  <c r="D2555" i="6" s="1"/>
  <c r="D2556" i="6" s="1"/>
  <c r="D2557" i="6" s="1"/>
  <c r="D2558" i="6" s="1"/>
  <c r="D2559" i="6" s="1"/>
  <c r="D2560" i="6" s="1"/>
  <c r="D2561" i="6" s="1"/>
  <c r="D2562" i="6" s="1"/>
  <c r="D2563" i="6" s="1"/>
  <c r="D2564" i="6" s="1"/>
  <c r="D2565" i="6" s="1"/>
  <c r="D2566" i="6" s="1"/>
  <c r="D2567" i="6" s="1"/>
  <c r="D2568" i="6" s="1"/>
  <c r="D2569" i="6" s="1"/>
  <c r="D2570" i="6" s="1"/>
  <c r="D2571" i="6" s="1"/>
  <c r="D2572" i="6" s="1"/>
  <c r="D2573" i="6" s="1"/>
  <c r="D2574" i="6" s="1"/>
  <c r="D2575" i="6" s="1"/>
  <c r="D2576" i="6" s="1"/>
  <c r="D2577" i="6" s="1"/>
  <c r="D2578" i="6" s="1"/>
  <c r="D2579" i="6" s="1"/>
  <c r="D2580" i="6" s="1"/>
  <c r="D2581" i="6" s="1"/>
  <c r="D2582" i="6" s="1"/>
  <c r="D2583" i="6" s="1"/>
  <c r="D2584" i="6" s="1"/>
  <c r="D2585" i="6" s="1"/>
  <c r="D2586" i="6" s="1"/>
  <c r="D2587" i="6" s="1"/>
  <c r="D2588" i="6" s="1"/>
  <c r="D2589" i="6" s="1"/>
  <c r="D2590" i="6" s="1"/>
  <c r="D2591" i="6" s="1"/>
  <c r="D2592" i="6" s="1"/>
  <c r="D2593" i="6" s="1"/>
  <c r="D2594" i="6" s="1"/>
  <c r="D2595" i="6" s="1"/>
  <c r="D2596" i="6" s="1"/>
  <c r="D2597" i="6" s="1"/>
  <c r="D2598" i="6" s="1"/>
  <c r="D2599" i="6" s="1"/>
  <c r="D2600" i="6" s="1"/>
  <c r="D2601" i="6" s="1"/>
  <c r="D2602" i="6" s="1"/>
  <c r="D2603" i="6" s="1"/>
  <c r="D2604" i="6" s="1"/>
  <c r="D2605" i="6" s="1"/>
  <c r="D2606" i="6" s="1"/>
  <c r="D2607" i="6" s="1"/>
  <c r="D2608" i="6" s="1"/>
  <c r="D2609" i="6" s="1"/>
  <c r="D2610" i="6" s="1"/>
  <c r="D2611" i="6" s="1"/>
  <c r="D2612" i="6" s="1"/>
  <c r="D2613" i="6" s="1"/>
  <c r="D2614" i="6" s="1"/>
  <c r="D2615" i="6" s="1"/>
  <c r="D2616" i="6" s="1"/>
  <c r="D2617" i="6" s="1"/>
  <c r="D2618" i="6" s="1"/>
  <c r="D2619" i="6" s="1"/>
  <c r="D2620" i="6" s="1"/>
  <c r="D2621" i="6" s="1"/>
  <c r="D2622" i="6" s="1"/>
  <c r="D2623" i="6" s="1"/>
  <c r="D2624" i="6" s="1"/>
  <c r="D2625" i="6" s="1"/>
  <c r="D2626" i="6" s="1"/>
  <c r="D2627" i="6" s="1"/>
  <c r="D2628" i="6" s="1"/>
  <c r="D2629" i="6" s="1"/>
  <c r="D2630" i="6" s="1"/>
  <c r="D2631" i="6" s="1"/>
  <c r="D2632" i="6" s="1"/>
  <c r="D2633" i="6" s="1"/>
  <c r="D2634" i="6" s="1"/>
  <c r="D2635" i="6" s="1"/>
  <c r="D2636" i="6" s="1"/>
  <c r="D2637" i="6" s="1"/>
  <c r="D2638" i="6" s="1"/>
  <c r="D2639" i="6" s="1"/>
  <c r="D2640" i="6" s="1"/>
  <c r="D2641" i="6" s="1"/>
  <c r="D2642" i="6" s="1"/>
  <c r="D2643" i="6" s="1"/>
  <c r="D2644" i="6" s="1"/>
  <c r="D2645" i="6" s="1"/>
  <c r="D2646" i="6" s="1"/>
  <c r="D2647" i="6" s="1"/>
  <c r="D2648" i="6" s="1"/>
  <c r="D2649" i="6" s="1"/>
  <c r="D2650" i="6" s="1"/>
  <c r="D2651" i="6" s="1"/>
  <c r="D2652" i="6" s="1"/>
  <c r="D2653" i="6" s="1"/>
  <c r="D2654" i="6" s="1"/>
  <c r="D2655" i="6" s="1"/>
  <c r="D2656" i="6" s="1"/>
  <c r="D2657" i="6" s="1"/>
  <c r="D2658" i="6" s="1"/>
  <c r="D2659" i="6" s="1"/>
  <c r="D2660" i="6" s="1"/>
  <c r="D2661" i="6" s="1"/>
  <c r="D2662" i="6" s="1"/>
  <c r="D2663" i="6" s="1"/>
  <c r="D2664" i="6" s="1"/>
  <c r="D2665" i="6" s="1"/>
  <c r="D2666" i="6" s="1"/>
  <c r="D2667" i="6" s="1"/>
  <c r="D2668" i="6" s="1"/>
  <c r="D2669" i="6" s="1"/>
  <c r="D2670" i="6" s="1"/>
  <c r="D2671" i="6" s="1"/>
  <c r="D2672" i="6" s="1"/>
  <c r="D2673" i="6" s="1"/>
  <c r="D2674" i="6" s="1"/>
  <c r="D2675" i="6" s="1"/>
  <c r="D2676" i="6" s="1"/>
  <c r="D2677" i="6" s="1"/>
  <c r="D2678" i="6" s="1"/>
  <c r="D2679" i="6" s="1"/>
  <c r="D2680" i="6" s="1"/>
  <c r="D2681" i="6" s="1"/>
  <c r="D2682" i="6" s="1"/>
  <c r="D2683" i="6" s="1"/>
  <c r="D2684" i="6" s="1"/>
  <c r="D2685" i="6" s="1"/>
  <c r="D2686" i="6" s="1"/>
  <c r="D2687" i="6" s="1"/>
  <c r="D2688" i="6" s="1"/>
  <c r="D2689" i="6" s="1"/>
  <c r="D2690" i="6" s="1"/>
  <c r="D2691" i="6" s="1"/>
  <c r="D2692" i="6" s="1"/>
  <c r="D2693" i="6" s="1"/>
  <c r="D2694" i="6" s="1"/>
  <c r="D2695" i="6" s="1"/>
  <c r="D2696" i="6" s="1"/>
  <c r="D2697" i="6" s="1"/>
  <c r="D2698" i="6" s="1"/>
  <c r="D2699" i="6" s="1"/>
  <c r="D2700" i="6" s="1"/>
  <c r="D2701" i="6" s="1"/>
  <c r="D2702" i="6" s="1"/>
  <c r="D2703" i="6" s="1"/>
  <c r="D2704" i="6" s="1"/>
  <c r="D2705" i="6" s="1"/>
  <c r="D2706" i="6" s="1"/>
  <c r="D2707" i="6" s="1"/>
  <c r="D2708" i="6" s="1"/>
  <c r="D2709" i="6" s="1"/>
  <c r="D2710" i="6" s="1"/>
  <c r="D2711" i="6" s="1"/>
  <c r="D2712" i="6" s="1"/>
  <c r="D2713" i="6" s="1"/>
  <c r="D2714" i="6" s="1"/>
  <c r="D2715" i="6" s="1"/>
  <c r="D2716" i="6" s="1"/>
  <c r="D2717" i="6" s="1"/>
  <c r="D2718" i="6" s="1"/>
  <c r="D2719" i="6" s="1"/>
  <c r="D2720" i="6" s="1"/>
  <c r="D2721" i="6" s="1"/>
  <c r="D2722" i="6" s="1"/>
  <c r="D2723" i="6" s="1"/>
  <c r="D2724" i="6" s="1"/>
  <c r="D2725" i="6" s="1"/>
  <c r="D2726" i="6" s="1"/>
  <c r="D2727" i="6" s="1"/>
  <c r="D2728" i="6" s="1"/>
  <c r="D2729" i="6" s="1"/>
  <c r="D2730" i="6" s="1"/>
  <c r="D2731" i="6" s="1"/>
  <c r="D2732" i="6" s="1"/>
  <c r="D2733" i="6" s="1"/>
  <c r="D2734" i="6" s="1"/>
  <c r="D2735" i="6" s="1"/>
  <c r="D2736" i="6" s="1"/>
  <c r="D2737" i="6" s="1"/>
  <c r="D2738" i="6" s="1"/>
  <c r="D2739" i="6" s="1"/>
  <c r="D2740" i="6" s="1"/>
  <c r="D2741" i="6" s="1"/>
  <c r="D2742" i="6" s="1"/>
  <c r="D2743" i="6" s="1"/>
  <c r="D2744" i="6" s="1"/>
  <c r="D2745" i="6" s="1"/>
  <c r="D2746" i="6" s="1"/>
  <c r="D2747" i="6" s="1"/>
  <c r="D2748" i="6" s="1"/>
  <c r="D2749" i="6" s="1"/>
  <c r="D2750" i="6" s="1"/>
  <c r="D2751" i="6" s="1"/>
  <c r="D2752" i="6" s="1"/>
  <c r="D2753" i="6" s="1"/>
  <c r="D2754" i="6" s="1"/>
  <c r="D2755" i="6" s="1"/>
  <c r="D2756" i="6" s="1"/>
  <c r="D2757" i="6" s="1"/>
  <c r="D2758" i="6" s="1"/>
  <c r="D2759" i="6" s="1"/>
  <c r="D2760" i="6" s="1"/>
  <c r="D2761" i="6" s="1"/>
  <c r="D2762" i="6" s="1"/>
  <c r="D2763" i="6" s="1"/>
  <c r="D2764" i="6" s="1"/>
  <c r="D2765" i="6" s="1"/>
  <c r="D2766" i="6" s="1"/>
  <c r="D2767" i="6" s="1"/>
  <c r="D2768" i="6" s="1"/>
  <c r="D2769" i="6" s="1"/>
  <c r="D2770" i="6" s="1"/>
  <c r="D2771" i="6" s="1"/>
  <c r="D2772" i="6" s="1"/>
  <c r="D2773" i="6" s="1"/>
  <c r="D2774" i="6" s="1"/>
  <c r="D2775" i="6" s="1"/>
  <c r="D2776" i="6" s="1"/>
  <c r="D2777" i="6" s="1"/>
  <c r="D2778" i="6" s="1"/>
  <c r="D2779" i="6" s="1"/>
  <c r="D2780" i="6" s="1"/>
  <c r="D2781" i="6" s="1"/>
  <c r="D2782" i="6" s="1"/>
  <c r="D2783" i="6" s="1"/>
  <c r="D2784" i="6" s="1"/>
  <c r="D2785" i="6" s="1"/>
  <c r="D2786" i="6" s="1"/>
  <c r="D2787" i="6" s="1"/>
  <c r="D2788" i="6" s="1"/>
  <c r="D2789" i="6" s="1"/>
  <c r="D2790" i="6" s="1"/>
  <c r="D2791" i="6" s="1"/>
  <c r="D2792" i="6" s="1"/>
  <c r="D2793" i="6" s="1"/>
  <c r="D2794" i="6" s="1"/>
  <c r="D2795" i="6" s="1"/>
  <c r="D2796" i="6" s="1"/>
  <c r="D2797" i="6" s="1"/>
  <c r="D2798" i="6" s="1"/>
  <c r="D2799" i="6" s="1"/>
  <c r="D2800" i="6" s="1"/>
  <c r="D2801" i="6" s="1"/>
  <c r="D2802" i="6" s="1"/>
  <c r="D2803" i="6" s="1"/>
  <c r="D2804" i="6" s="1"/>
  <c r="D2805" i="6" s="1"/>
  <c r="D2806" i="6" s="1"/>
  <c r="D2807" i="6" s="1"/>
  <c r="D2808" i="6" s="1"/>
  <c r="D2809" i="6" s="1"/>
  <c r="D2810" i="6" s="1"/>
  <c r="D2811" i="6" s="1"/>
  <c r="D2812" i="6" s="1"/>
  <c r="D2813" i="6" s="1"/>
  <c r="D2814" i="6" s="1"/>
  <c r="D2815" i="6" s="1"/>
  <c r="D2816" i="6" s="1"/>
  <c r="D2817" i="6" s="1"/>
  <c r="D2818" i="6" s="1"/>
  <c r="D2819" i="6" s="1"/>
  <c r="D2820" i="6" s="1"/>
  <c r="D2821" i="6" s="1"/>
  <c r="D2822" i="6" s="1"/>
  <c r="D2823" i="6" s="1"/>
  <c r="D2824" i="6" s="1"/>
  <c r="D2825" i="6" s="1"/>
  <c r="D2826" i="6" s="1"/>
  <c r="D2827" i="6" s="1"/>
  <c r="D2828" i="6" s="1"/>
  <c r="D2829" i="6" s="1"/>
  <c r="D2830" i="6" s="1"/>
  <c r="D2831" i="6" s="1"/>
  <c r="D2832" i="6" s="1"/>
  <c r="D2833" i="6" s="1"/>
  <c r="D2834" i="6" s="1"/>
  <c r="D2835" i="6" s="1"/>
  <c r="D2836" i="6" s="1"/>
  <c r="D2837" i="6" s="1"/>
  <c r="D2838" i="6" s="1"/>
  <c r="D2839" i="6" s="1"/>
  <c r="D2840" i="6" s="1"/>
  <c r="D2841" i="6" s="1"/>
  <c r="D2842" i="6" s="1"/>
  <c r="D2843" i="6" s="1"/>
  <c r="D2844" i="6" s="1"/>
  <c r="D2845" i="6" s="1"/>
  <c r="D2846" i="6" s="1"/>
  <c r="D2847" i="6" s="1"/>
  <c r="D2848" i="6" s="1"/>
  <c r="D2849" i="6" s="1"/>
  <c r="D2850" i="6" s="1"/>
  <c r="D2851" i="6" s="1"/>
  <c r="D2852" i="6" s="1"/>
  <c r="D2853" i="6" s="1"/>
  <c r="D2854" i="6" s="1"/>
  <c r="D2855" i="6" s="1"/>
  <c r="D2856" i="6" s="1"/>
  <c r="D2857" i="6" s="1"/>
  <c r="D2858" i="6" s="1"/>
  <c r="D2859" i="6" s="1"/>
  <c r="D2860" i="6" s="1"/>
  <c r="D2861" i="6" s="1"/>
  <c r="D2862" i="6" s="1"/>
  <c r="D2863" i="6" s="1"/>
  <c r="D2864" i="6" s="1"/>
  <c r="D2865" i="6" s="1"/>
  <c r="D2866" i="6" s="1"/>
  <c r="D2867" i="6" s="1"/>
  <c r="D2868" i="6" s="1"/>
  <c r="D2869" i="6" s="1"/>
  <c r="D2870" i="6" s="1"/>
  <c r="D2871" i="6" s="1"/>
  <c r="D2872" i="6" s="1"/>
  <c r="D2873" i="6" s="1"/>
  <c r="D2874" i="6" s="1"/>
  <c r="D2875" i="6" s="1"/>
  <c r="D2876" i="6" s="1"/>
  <c r="D2877" i="6" s="1"/>
  <c r="D2878" i="6" s="1"/>
  <c r="D2879" i="6" s="1"/>
  <c r="D2880" i="6" s="1"/>
  <c r="D2881" i="6" s="1"/>
  <c r="D2882" i="6" s="1"/>
  <c r="D2883" i="6" s="1"/>
  <c r="D2884" i="6" s="1"/>
  <c r="D2885" i="6" s="1"/>
  <c r="D2886" i="6" s="1"/>
  <c r="D2887" i="6" s="1"/>
  <c r="D2888" i="6" s="1"/>
  <c r="D2889" i="6" s="1"/>
  <c r="D2890" i="6" s="1"/>
  <c r="D2891" i="6" s="1"/>
  <c r="D2892" i="6" s="1"/>
  <c r="D2893" i="6" s="1"/>
  <c r="D2894" i="6" s="1"/>
  <c r="D2895" i="6" s="1"/>
  <c r="D2896" i="6" s="1"/>
  <c r="D2897" i="6" s="1"/>
  <c r="D2898" i="6" s="1"/>
  <c r="D2899" i="6" s="1"/>
  <c r="D2900" i="6" s="1"/>
  <c r="D2901" i="6" s="1"/>
  <c r="D2902" i="6" s="1"/>
  <c r="D2903" i="6" s="1"/>
  <c r="D2904" i="6" s="1"/>
  <c r="D2905" i="6" s="1"/>
  <c r="D2906" i="6" s="1"/>
  <c r="D2907" i="6" s="1"/>
  <c r="D2908" i="6" s="1"/>
  <c r="D2909" i="6" s="1"/>
  <c r="D2910" i="6" s="1"/>
  <c r="D2911" i="6" s="1"/>
  <c r="D2912" i="6" s="1"/>
  <c r="D2913" i="6" s="1"/>
  <c r="D2914" i="6" s="1"/>
  <c r="D2915" i="6" s="1"/>
  <c r="D2916" i="6" s="1"/>
  <c r="D2917" i="6" s="1"/>
  <c r="D2918" i="6" s="1"/>
  <c r="D2919" i="6" s="1"/>
  <c r="D2920" i="6" s="1"/>
  <c r="D2921" i="6" s="1"/>
  <c r="D2922" i="6" s="1"/>
  <c r="D2923" i="6" s="1"/>
  <c r="D2924" i="6" s="1"/>
  <c r="D2925" i="6" s="1"/>
  <c r="D2926" i="6" s="1"/>
  <c r="D2927" i="6" s="1"/>
  <c r="D2928" i="6" s="1"/>
  <c r="D2929" i="6" s="1"/>
  <c r="D2930" i="6" s="1"/>
  <c r="D2931" i="6" s="1"/>
  <c r="D2932" i="6" s="1"/>
  <c r="D2933" i="6" s="1"/>
  <c r="D2934" i="6" s="1"/>
  <c r="D2935" i="6" s="1"/>
  <c r="D2936" i="6" s="1"/>
  <c r="D2937" i="6" s="1"/>
  <c r="D2938" i="6" s="1"/>
  <c r="D2939" i="6" s="1"/>
  <c r="D2940" i="6" s="1"/>
  <c r="D2941" i="6" s="1"/>
  <c r="D2942" i="6" s="1"/>
  <c r="D2943" i="6" s="1"/>
  <c r="D2944" i="6" s="1"/>
  <c r="D2945" i="6" s="1"/>
  <c r="D2946" i="6" s="1"/>
  <c r="D2947" i="6" s="1"/>
  <c r="D2948" i="6" s="1"/>
  <c r="D2949" i="6" s="1"/>
  <c r="D2950" i="6" s="1"/>
  <c r="D2951" i="6" s="1"/>
  <c r="D2952" i="6" s="1"/>
  <c r="D2953" i="6" s="1"/>
  <c r="D2954" i="6" s="1"/>
  <c r="D2955" i="6" s="1"/>
  <c r="D2956" i="6" s="1"/>
  <c r="D2957" i="6" s="1"/>
  <c r="D2958" i="6" s="1"/>
  <c r="D2959" i="6" s="1"/>
  <c r="D2960" i="6" s="1"/>
  <c r="D2961" i="6" s="1"/>
  <c r="D2962" i="6" s="1"/>
  <c r="D2963" i="6" s="1"/>
  <c r="D2964" i="6" s="1"/>
  <c r="D2965" i="6" s="1"/>
  <c r="D2966" i="6" s="1"/>
  <c r="D2967" i="6" s="1"/>
  <c r="D2968" i="6" s="1"/>
  <c r="D2969" i="6" s="1"/>
  <c r="D2970" i="6" s="1"/>
  <c r="D2971" i="6" s="1"/>
  <c r="D2972" i="6" s="1"/>
  <c r="D2973" i="6" s="1"/>
  <c r="D2974" i="6" s="1"/>
  <c r="D2975" i="6" s="1"/>
  <c r="D2976" i="6" s="1"/>
  <c r="D2977" i="6" s="1"/>
  <c r="D2978" i="6" s="1"/>
  <c r="D2979" i="6" s="1"/>
  <c r="D2980" i="6" s="1"/>
  <c r="D2981" i="6" s="1"/>
  <c r="D2982" i="6" s="1"/>
  <c r="D2983" i="6" s="1"/>
  <c r="D2984" i="6" s="1"/>
  <c r="D2985" i="6" s="1"/>
  <c r="D2986" i="6" s="1"/>
  <c r="D2987" i="6" s="1"/>
  <c r="D2988" i="6" s="1"/>
  <c r="D2989" i="6" s="1"/>
  <c r="D2990" i="6" s="1"/>
  <c r="D2991" i="6" s="1"/>
  <c r="D2992" i="6" s="1"/>
  <c r="D2993" i="6" s="1"/>
  <c r="D2994" i="6" s="1"/>
  <c r="D2995" i="6" s="1"/>
  <c r="D2996" i="6" s="1"/>
  <c r="D2997" i="6" s="1"/>
  <c r="D2998" i="6" s="1"/>
  <c r="D2999" i="6" s="1"/>
  <c r="D3000" i="6" s="1"/>
  <c r="D3001" i="6" s="1"/>
  <c r="D3002" i="6" s="1"/>
  <c r="D3003" i="6" s="1"/>
  <c r="D3004" i="6" s="1"/>
  <c r="D3005" i="6" s="1"/>
  <c r="D3006" i="6" s="1"/>
  <c r="D3007" i="6" s="1"/>
  <c r="D3008" i="6" s="1"/>
  <c r="D3009" i="6" s="1"/>
  <c r="D3010" i="6" s="1"/>
  <c r="D3011" i="6" s="1"/>
  <c r="D3012" i="6" s="1"/>
  <c r="D3013" i="6" s="1"/>
  <c r="D3014" i="6" s="1"/>
  <c r="D3015" i="6" s="1"/>
  <c r="D3016" i="6" s="1"/>
  <c r="D3017" i="6" s="1"/>
  <c r="D3018" i="6" s="1"/>
  <c r="D3019" i="6" s="1"/>
  <c r="D3020" i="6" s="1"/>
  <c r="D3021" i="6" s="1"/>
  <c r="D3022" i="6" s="1"/>
  <c r="D3023" i="6" s="1"/>
  <c r="D3024" i="6" s="1"/>
  <c r="D3025" i="6" s="1"/>
  <c r="D3026" i="6" s="1"/>
  <c r="D3027" i="6" s="1"/>
  <c r="D3028" i="6" s="1"/>
  <c r="D3029" i="6" s="1"/>
  <c r="D3030" i="6" s="1"/>
  <c r="D3031" i="6" s="1"/>
  <c r="D3032" i="6" s="1"/>
  <c r="D3033" i="6" s="1"/>
  <c r="D3034" i="6" s="1"/>
  <c r="D3035" i="6" s="1"/>
  <c r="D3036" i="6" s="1"/>
  <c r="D3037" i="6" s="1"/>
  <c r="D3038" i="6" s="1"/>
  <c r="D3039" i="6" s="1"/>
  <c r="D3040" i="6" s="1"/>
  <c r="D3041" i="6" s="1"/>
  <c r="D3042" i="6" s="1"/>
  <c r="D3043" i="6" s="1"/>
  <c r="D3044" i="6" s="1"/>
  <c r="D3045" i="6" s="1"/>
  <c r="D3046" i="6" s="1"/>
  <c r="D3047" i="6" s="1"/>
  <c r="D3048" i="6" s="1"/>
  <c r="D3049" i="6" s="1"/>
  <c r="D3050" i="6" s="1"/>
  <c r="D3051" i="6" s="1"/>
  <c r="D3052" i="6" s="1"/>
  <c r="D3053" i="6" s="1"/>
  <c r="D3054" i="6" s="1"/>
  <c r="D3055" i="6" s="1"/>
  <c r="D3056" i="6" s="1"/>
  <c r="D3057" i="6" s="1"/>
  <c r="D3058" i="6" s="1"/>
  <c r="D3059" i="6" s="1"/>
  <c r="D3060" i="6" s="1"/>
  <c r="D3061" i="6" s="1"/>
  <c r="D3062" i="6" s="1"/>
  <c r="D3063" i="6" s="1"/>
  <c r="D3064" i="6" s="1"/>
  <c r="D3065" i="6" s="1"/>
  <c r="D3066" i="6" s="1"/>
  <c r="D3067" i="6" s="1"/>
  <c r="D3068" i="6" s="1"/>
  <c r="D3069" i="6" s="1"/>
  <c r="D3070" i="6" s="1"/>
  <c r="D3071" i="6" s="1"/>
  <c r="D3072" i="6" s="1"/>
  <c r="D3073" i="6" s="1"/>
  <c r="D3074" i="6" s="1"/>
  <c r="D3075" i="6" s="1"/>
  <c r="D3076" i="6" s="1"/>
  <c r="D3077" i="6" s="1"/>
  <c r="D3078" i="6" s="1"/>
  <c r="D3079" i="6" s="1"/>
  <c r="D3080" i="6" s="1"/>
  <c r="D3081" i="6" s="1"/>
  <c r="D3082" i="6" s="1"/>
  <c r="D3083" i="6" s="1"/>
  <c r="D3084" i="6" s="1"/>
  <c r="D3085" i="6" s="1"/>
  <c r="D3086" i="6" s="1"/>
  <c r="D3087" i="6" s="1"/>
  <c r="D3088" i="6" s="1"/>
  <c r="D3089" i="6" s="1"/>
  <c r="D3090" i="6" s="1"/>
  <c r="D3091" i="6" s="1"/>
  <c r="D3092" i="6" s="1"/>
  <c r="D3093" i="6" s="1"/>
  <c r="D3094" i="6" s="1"/>
  <c r="D3095" i="6" s="1"/>
  <c r="D3096" i="6" s="1"/>
  <c r="D3097" i="6" s="1"/>
  <c r="D3098" i="6" s="1"/>
  <c r="D3099" i="6" s="1"/>
  <c r="D3100" i="6" s="1"/>
  <c r="D3101" i="6" s="1"/>
  <c r="D3102" i="6" s="1"/>
  <c r="D3103" i="6" s="1"/>
  <c r="D3104" i="6" s="1"/>
  <c r="D3105" i="6" s="1"/>
  <c r="D3106" i="6" s="1"/>
  <c r="D3107" i="6" s="1"/>
  <c r="D3108" i="6" s="1"/>
  <c r="D3109" i="6" s="1"/>
  <c r="D3110" i="6" s="1"/>
  <c r="D3111" i="6" s="1"/>
  <c r="D3112" i="6" s="1"/>
  <c r="D3113" i="6" s="1"/>
  <c r="D3114" i="6" s="1"/>
  <c r="D3115" i="6" s="1"/>
  <c r="D3116" i="6" s="1"/>
  <c r="D3117" i="6" s="1"/>
  <c r="D3118" i="6" s="1"/>
  <c r="D3119" i="6" s="1"/>
  <c r="D3120" i="6" s="1"/>
  <c r="D3121" i="6" s="1"/>
  <c r="D3122" i="6" s="1"/>
  <c r="D3123" i="6" s="1"/>
  <c r="D3124" i="6" s="1"/>
  <c r="D3125" i="6" s="1"/>
  <c r="D3126" i="6" s="1"/>
  <c r="D3127" i="6" s="1"/>
  <c r="D3128" i="6" s="1"/>
  <c r="D3129" i="6" s="1"/>
  <c r="D3130" i="6" s="1"/>
  <c r="D3131" i="6" s="1"/>
  <c r="D3132" i="6" s="1"/>
  <c r="D3133" i="6" s="1"/>
  <c r="D3134" i="6" s="1"/>
  <c r="D3135" i="6" s="1"/>
  <c r="D3136" i="6" s="1"/>
  <c r="D3137" i="6" s="1"/>
  <c r="D3138" i="6" s="1"/>
  <c r="D3139" i="6" s="1"/>
  <c r="D3140" i="6" s="1"/>
  <c r="D3141" i="6" s="1"/>
  <c r="D3142" i="6" s="1"/>
  <c r="D3143" i="6" s="1"/>
  <c r="D3144" i="6" s="1"/>
  <c r="D3145" i="6" s="1"/>
  <c r="D3146" i="6" s="1"/>
  <c r="D3147" i="6" s="1"/>
  <c r="D3148" i="6" s="1"/>
  <c r="D3149" i="6" s="1"/>
  <c r="D3150" i="6" s="1"/>
  <c r="D3151" i="6" s="1"/>
  <c r="D3152" i="6" s="1"/>
  <c r="D3153" i="6" s="1"/>
  <c r="D3154" i="6" s="1"/>
  <c r="D3155" i="6" s="1"/>
  <c r="D3156" i="6" s="1"/>
  <c r="D3157" i="6" s="1"/>
  <c r="D3158" i="6" s="1"/>
  <c r="D3159" i="6" s="1"/>
  <c r="D3160" i="6" s="1"/>
  <c r="D3161" i="6" s="1"/>
  <c r="D3162" i="6" s="1"/>
  <c r="D3163" i="6" s="1"/>
  <c r="D3164" i="6" s="1"/>
  <c r="D3165" i="6" s="1"/>
  <c r="D3166" i="6" s="1"/>
  <c r="D3167" i="6" s="1"/>
  <c r="D3168" i="6" s="1"/>
  <c r="D3169" i="6" s="1"/>
  <c r="D3170" i="6" s="1"/>
  <c r="D3171" i="6" s="1"/>
  <c r="D3172" i="6" s="1"/>
  <c r="D3173" i="6" s="1"/>
  <c r="D3174" i="6" s="1"/>
  <c r="D3175" i="6" s="1"/>
  <c r="D3176" i="6" s="1"/>
  <c r="D3177" i="6" s="1"/>
  <c r="D3178" i="6" s="1"/>
  <c r="D3179" i="6" s="1"/>
  <c r="D3180" i="6" s="1"/>
  <c r="D3181" i="6" s="1"/>
  <c r="D3182" i="6" s="1"/>
  <c r="D3183" i="6" s="1"/>
  <c r="D3184" i="6" s="1"/>
  <c r="D3185" i="6" s="1"/>
  <c r="D3186" i="6" s="1"/>
  <c r="D3187" i="6" s="1"/>
  <c r="D3188" i="6" s="1"/>
  <c r="D3189" i="6" s="1"/>
  <c r="D3190" i="6" s="1"/>
  <c r="D3191" i="6" s="1"/>
  <c r="D3192" i="6" s="1"/>
  <c r="D3193" i="6" s="1"/>
  <c r="D3194" i="6" s="1"/>
  <c r="D3195" i="6" s="1"/>
  <c r="D3196" i="6" s="1"/>
  <c r="D3197" i="6" s="1"/>
  <c r="D3198" i="6" s="1"/>
  <c r="D3199" i="6" s="1"/>
  <c r="D3200" i="6" s="1"/>
  <c r="D3201" i="6" s="1"/>
  <c r="D3202" i="6" s="1"/>
  <c r="D3203" i="6" s="1"/>
  <c r="D3204" i="6" s="1"/>
  <c r="D3205" i="6" s="1"/>
  <c r="D3206" i="6" s="1"/>
  <c r="D3207" i="6" s="1"/>
  <c r="D3208" i="6" s="1"/>
  <c r="D3209" i="6" s="1"/>
  <c r="D3210" i="6" s="1"/>
  <c r="D3211" i="6" s="1"/>
  <c r="D3212" i="6" s="1"/>
  <c r="D3213" i="6" s="1"/>
  <c r="D3214" i="6" s="1"/>
  <c r="D3215" i="6" s="1"/>
  <c r="D3216" i="6" s="1"/>
  <c r="D3217" i="6" s="1"/>
  <c r="D3218" i="6" s="1"/>
  <c r="D3219" i="6" s="1"/>
  <c r="D3220" i="6" s="1"/>
  <c r="D3221" i="6" s="1"/>
  <c r="D3222" i="6" s="1"/>
  <c r="D3223" i="6" s="1"/>
  <c r="D3224" i="6" s="1"/>
  <c r="D3225" i="6" s="1"/>
  <c r="D3226" i="6" s="1"/>
  <c r="D3227" i="6" s="1"/>
  <c r="D3228" i="6" s="1"/>
  <c r="D3229" i="6" s="1"/>
  <c r="D3230" i="6" s="1"/>
  <c r="D3231" i="6" s="1"/>
  <c r="D3232" i="6" s="1"/>
  <c r="D3233" i="6" s="1"/>
  <c r="D3234" i="6" s="1"/>
  <c r="D3235" i="6" s="1"/>
  <c r="D3236" i="6" s="1"/>
  <c r="D3237" i="6" s="1"/>
  <c r="D3238" i="6" s="1"/>
  <c r="D3239" i="6" s="1"/>
  <c r="D3240" i="6" s="1"/>
  <c r="D3241" i="6" s="1"/>
  <c r="D3242" i="6" s="1"/>
  <c r="D3243" i="6" s="1"/>
  <c r="D3244" i="6" s="1"/>
  <c r="D3245" i="6" s="1"/>
  <c r="D3246" i="6" s="1"/>
  <c r="D3247" i="6" s="1"/>
  <c r="D3248" i="6" s="1"/>
  <c r="D3249" i="6" s="1"/>
  <c r="D3250" i="6" s="1"/>
  <c r="D3251" i="6" s="1"/>
  <c r="D3252" i="6" s="1"/>
  <c r="D3253" i="6" s="1"/>
  <c r="D3254" i="6" s="1"/>
  <c r="D3255" i="6" s="1"/>
  <c r="D3256" i="6" s="1"/>
  <c r="D3257" i="6" s="1"/>
  <c r="D3258" i="6" s="1"/>
  <c r="D3259" i="6" s="1"/>
  <c r="D3260" i="6" s="1"/>
  <c r="D3261" i="6" s="1"/>
  <c r="D3262" i="6" s="1"/>
  <c r="D3263" i="6" s="1"/>
  <c r="D3264" i="6" s="1"/>
  <c r="D3265" i="6" s="1"/>
  <c r="D3266" i="6" s="1"/>
  <c r="D3267" i="6" s="1"/>
  <c r="D3268" i="6" s="1"/>
  <c r="D3269" i="6" s="1"/>
  <c r="D3270" i="6" s="1"/>
  <c r="D3271" i="6" s="1"/>
  <c r="D3272" i="6" s="1"/>
  <c r="D3273" i="6" s="1"/>
  <c r="D3274" i="6" s="1"/>
  <c r="D3275" i="6" s="1"/>
  <c r="D3276" i="6" s="1"/>
  <c r="D3277" i="6" s="1"/>
  <c r="D3278" i="6" s="1"/>
  <c r="D3279" i="6" s="1"/>
  <c r="D3280" i="6" s="1"/>
  <c r="D3281" i="6" s="1"/>
  <c r="D3282" i="6" s="1"/>
  <c r="D3283" i="6" s="1"/>
  <c r="D3284" i="6" s="1"/>
  <c r="D3285" i="6" s="1"/>
  <c r="D3286" i="6" s="1"/>
  <c r="D3287" i="6" s="1"/>
  <c r="D3288" i="6" s="1"/>
  <c r="D3289" i="6" s="1"/>
  <c r="D3290" i="6" s="1"/>
  <c r="D3291" i="6" s="1"/>
  <c r="D3292" i="6" s="1"/>
  <c r="D3293" i="6" s="1"/>
  <c r="D3294" i="6" s="1"/>
  <c r="D3295" i="6" s="1"/>
  <c r="D3296" i="6" s="1"/>
  <c r="D3297" i="6" s="1"/>
  <c r="D3298" i="6" s="1"/>
  <c r="D3299" i="6" s="1"/>
  <c r="D3300" i="6" s="1"/>
  <c r="D3301" i="6" s="1"/>
  <c r="D3302" i="6" s="1"/>
  <c r="D3303" i="6" s="1"/>
  <c r="D3304" i="6" s="1"/>
  <c r="D3305" i="6" s="1"/>
  <c r="D3306" i="6" s="1"/>
  <c r="D3307" i="6" s="1"/>
  <c r="D3308" i="6" s="1"/>
  <c r="D3309" i="6" s="1"/>
  <c r="D3310" i="6" s="1"/>
  <c r="D3311" i="6" s="1"/>
  <c r="D3312" i="6" s="1"/>
  <c r="D3313" i="6" s="1"/>
  <c r="D3314" i="6" s="1"/>
  <c r="D3315" i="6" s="1"/>
  <c r="D3316" i="6" s="1"/>
  <c r="D3317" i="6" s="1"/>
  <c r="D3318" i="6" s="1"/>
  <c r="D3319" i="6" s="1"/>
  <c r="D3320" i="6" s="1"/>
  <c r="D3321" i="6" s="1"/>
  <c r="D3322" i="6" s="1"/>
  <c r="D3323" i="6" s="1"/>
  <c r="D3324" i="6" s="1"/>
  <c r="D3325" i="6" s="1"/>
  <c r="D3326" i="6" s="1"/>
  <c r="D3327" i="6" s="1"/>
  <c r="D3328" i="6" s="1"/>
  <c r="D3329" i="6" s="1"/>
  <c r="D3330" i="6" s="1"/>
  <c r="D3331" i="6" s="1"/>
  <c r="D3332" i="6" s="1"/>
  <c r="D3333" i="6" s="1"/>
  <c r="D3334" i="6" s="1"/>
  <c r="D3335" i="6" s="1"/>
  <c r="D3336" i="6" s="1"/>
  <c r="D3337" i="6" s="1"/>
  <c r="D3338" i="6" s="1"/>
  <c r="D3339" i="6" s="1"/>
  <c r="D3340" i="6" s="1"/>
  <c r="D3341" i="6" s="1"/>
  <c r="D3342" i="6" s="1"/>
  <c r="D3343" i="6" s="1"/>
  <c r="D3344" i="6" s="1"/>
  <c r="D3345" i="6" s="1"/>
  <c r="D3346" i="6" s="1"/>
  <c r="D3347" i="6" s="1"/>
  <c r="D3348" i="6" s="1"/>
  <c r="D3349" i="6" s="1"/>
  <c r="D3350" i="6" s="1"/>
  <c r="D3351" i="6" s="1"/>
  <c r="D3352" i="6" s="1"/>
  <c r="D3353" i="6" s="1"/>
  <c r="D3354" i="6" s="1"/>
  <c r="D3355" i="6" s="1"/>
  <c r="D3356" i="6" s="1"/>
  <c r="D3357" i="6" s="1"/>
  <c r="D3358" i="6" s="1"/>
  <c r="D3359" i="6" s="1"/>
  <c r="D3360" i="6" s="1"/>
  <c r="D3361" i="6" s="1"/>
  <c r="D3362" i="6" s="1"/>
  <c r="D3363" i="6" s="1"/>
  <c r="D3364" i="6" s="1"/>
  <c r="D3365" i="6" s="1"/>
  <c r="D3366" i="6" s="1"/>
  <c r="D3367" i="6" s="1"/>
  <c r="D3368" i="6" s="1"/>
  <c r="D3369" i="6" s="1"/>
  <c r="D3370" i="6" s="1"/>
  <c r="D3371" i="6" s="1"/>
  <c r="D3372" i="6" s="1"/>
  <c r="D3373" i="6" s="1"/>
  <c r="D3374" i="6" s="1"/>
  <c r="D3375" i="6" s="1"/>
  <c r="D3376" i="6" s="1"/>
  <c r="D3377" i="6" s="1"/>
  <c r="D3378" i="6" s="1"/>
  <c r="D3379" i="6" s="1"/>
  <c r="D3380" i="6" s="1"/>
  <c r="D3381" i="6" s="1"/>
  <c r="D3382" i="6" s="1"/>
  <c r="D3383" i="6" s="1"/>
  <c r="D3384" i="6" s="1"/>
  <c r="D3385" i="6" s="1"/>
  <c r="D3386" i="6" s="1"/>
  <c r="D3387" i="6" s="1"/>
  <c r="D3388" i="6" s="1"/>
  <c r="D3389" i="6" s="1"/>
  <c r="D3390" i="6" s="1"/>
  <c r="D3391" i="6" s="1"/>
  <c r="D3392" i="6" s="1"/>
  <c r="D3393" i="6" s="1"/>
  <c r="D3394" i="6" s="1"/>
  <c r="D3395" i="6" s="1"/>
  <c r="D3396" i="6" s="1"/>
  <c r="D3397" i="6" s="1"/>
  <c r="D3398" i="6" s="1"/>
  <c r="D3399" i="6" s="1"/>
  <c r="D3400" i="6" s="1"/>
  <c r="D3401" i="6" s="1"/>
  <c r="D3402" i="6" s="1"/>
  <c r="D3403" i="6" s="1"/>
  <c r="D3404" i="6" s="1"/>
  <c r="D3405" i="6" s="1"/>
  <c r="D3406" i="6" s="1"/>
  <c r="D3407" i="6" s="1"/>
  <c r="D3408" i="6" s="1"/>
  <c r="D3409" i="6" s="1"/>
  <c r="D3410" i="6" s="1"/>
  <c r="D3411" i="6" s="1"/>
  <c r="D3412" i="6" s="1"/>
  <c r="D3413" i="6" s="1"/>
  <c r="D3414" i="6" s="1"/>
  <c r="D3415" i="6" s="1"/>
  <c r="D3416" i="6" s="1"/>
  <c r="D3417" i="6" s="1"/>
  <c r="D3418" i="6" s="1"/>
  <c r="D3419" i="6" s="1"/>
  <c r="D3420" i="6" s="1"/>
  <c r="D3421" i="6" s="1"/>
  <c r="D3422" i="6" s="1"/>
  <c r="D3423" i="6" s="1"/>
  <c r="D3424" i="6" s="1"/>
  <c r="D3425" i="6" s="1"/>
  <c r="D3426" i="6" s="1"/>
  <c r="D3427" i="6" s="1"/>
  <c r="D3428" i="6" s="1"/>
  <c r="D3429" i="6" s="1"/>
  <c r="D3430" i="6" s="1"/>
  <c r="D3431" i="6" s="1"/>
  <c r="D3432" i="6" s="1"/>
  <c r="D3433" i="6" s="1"/>
  <c r="D3434" i="6" s="1"/>
  <c r="D3435" i="6" s="1"/>
  <c r="D3436" i="6" s="1"/>
  <c r="D3437" i="6" s="1"/>
  <c r="D3438" i="6" s="1"/>
  <c r="D3439" i="6" s="1"/>
  <c r="D3440" i="6" s="1"/>
  <c r="D3441" i="6" s="1"/>
  <c r="D3442" i="6" s="1"/>
  <c r="D3443" i="6" s="1"/>
  <c r="D3444" i="6" s="1"/>
  <c r="D3445" i="6" s="1"/>
  <c r="D3446" i="6" s="1"/>
  <c r="D3447" i="6" s="1"/>
  <c r="D3448" i="6" s="1"/>
  <c r="D3449" i="6" s="1"/>
  <c r="D3450" i="6" s="1"/>
  <c r="D3451" i="6" s="1"/>
  <c r="D3452" i="6" s="1"/>
  <c r="D3453" i="6" s="1"/>
  <c r="D3454" i="6" s="1"/>
  <c r="D3455" i="6" s="1"/>
  <c r="D3456" i="6" s="1"/>
  <c r="D3457" i="6" s="1"/>
  <c r="D3458" i="6" s="1"/>
  <c r="D3459" i="6" s="1"/>
  <c r="D3460" i="6" s="1"/>
  <c r="D3461" i="6" s="1"/>
  <c r="D3462" i="6" s="1"/>
  <c r="D3463" i="6" s="1"/>
  <c r="D3464" i="6" s="1"/>
  <c r="D3465" i="6" s="1"/>
  <c r="D3466" i="6" s="1"/>
  <c r="D3467" i="6" s="1"/>
  <c r="D3468" i="6" s="1"/>
  <c r="D3469" i="6" s="1"/>
  <c r="D3470" i="6" s="1"/>
  <c r="D3471" i="6" s="1"/>
  <c r="D3472" i="6" s="1"/>
  <c r="D3473" i="6" s="1"/>
  <c r="D3474" i="6" s="1"/>
  <c r="D3475" i="6" s="1"/>
  <c r="D3476" i="6" s="1"/>
  <c r="D3477" i="6" s="1"/>
  <c r="D3478" i="6" s="1"/>
  <c r="D3479" i="6" s="1"/>
  <c r="D3480" i="6" s="1"/>
  <c r="D3481" i="6" s="1"/>
  <c r="D3482" i="6" s="1"/>
  <c r="D3483" i="6" s="1"/>
  <c r="D3484" i="6" s="1"/>
  <c r="D3485" i="6" s="1"/>
  <c r="D3486" i="6" s="1"/>
  <c r="D3487" i="6" s="1"/>
  <c r="D3488" i="6" s="1"/>
  <c r="D3489" i="6" s="1"/>
  <c r="D3490" i="6" s="1"/>
  <c r="D3491" i="6" s="1"/>
  <c r="D3492" i="6" s="1"/>
  <c r="D3493" i="6" s="1"/>
  <c r="D3494" i="6" s="1"/>
  <c r="D3495" i="6" s="1"/>
  <c r="D3496" i="6" s="1"/>
  <c r="D3497" i="6" s="1"/>
  <c r="D3498" i="6" s="1"/>
  <c r="D3499" i="6" s="1"/>
  <c r="D3500" i="6" s="1"/>
  <c r="D3501" i="6" s="1"/>
  <c r="D3502" i="6" s="1"/>
  <c r="D3503" i="6" s="1"/>
  <c r="D3504" i="6" s="1"/>
  <c r="D3505" i="6" s="1"/>
  <c r="D3506" i="6" s="1"/>
  <c r="D3507" i="6" s="1"/>
  <c r="D3508" i="6" s="1"/>
  <c r="D3509" i="6" s="1"/>
  <c r="D3510" i="6" s="1"/>
  <c r="D3511" i="6" s="1"/>
  <c r="D3512" i="6" s="1"/>
  <c r="D3513" i="6" s="1"/>
  <c r="D3514" i="6" s="1"/>
  <c r="D3515" i="6" s="1"/>
  <c r="D3516" i="6" s="1"/>
  <c r="D3517" i="6" s="1"/>
  <c r="D3518" i="6" s="1"/>
  <c r="D3519" i="6" s="1"/>
  <c r="D3520" i="6" s="1"/>
  <c r="D3521" i="6" s="1"/>
  <c r="D3522" i="6" s="1"/>
  <c r="D3523" i="6" s="1"/>
  <c r="D3524" i="6" s="1"/>
  <c r="D3525" i="6" s="1"/>
  <c r="D3526" i="6" s="1"/>
  <c r="D3527" i="6" s="1"/>
  <c r="D3528" i="6" s="1"/>
  <c r="D3529" i="6" s="1"/>
  <c r="D3530" i="6" s="1"/>
  <c r="D3531" i="6" s="1"/>
  <c r="D3532" i="6" s="1"/>
  <c r="D3533" i="6" s="1"/>
  <c r="D3534" i="6" s="1"/>
  <c r="D3535" i="6" s="1"/>
  <c r="D3536" i="6" s="1"/>
  <c r="D3537" i="6" s="1"/>
  <c r="D3538" i="6" s="1"/>
  <c r="D3539" i="6" s="1"/>
  <c r="D3540" i="6" s="1"/>
  <c r="D3541" i="6" s="1"/>
  <c r="D3542" i="6" s="1"/>
  <c r="D3543" i="6" s="1"/>
  <c r="D3544" i="6" s="1"/>
  <c r="D3545" i="6" s="1"/>
  <c r="D3546" i="6" s="1"/>
  <c r="D3547" i="6" s="1"/>
  <c r="D3548" i="6" s="1"/>
  <c r="D3549" i="6" s="1"/>
  <c r="D3550" i="6" s="1"/>
  <c r="D3551" i="6" s="1"/>
  <c r="D3552" i="6" s="1"/>
  <c r="D3553" i="6" s="1"/>
  <c r="D3554" i="6" s="1"/>
  <c r="D3555" i="6" s="1"/>
  <c r="D3556" i="6" s="1"/>
  <c r="D3557" i="6" s="1"/>
  <c r="D3558" i="6" s="1"/>
  <c r="D3559" i="6" s="1"/>
  <c r="D3560" i="6" s="1"/>
  <c r="D3561" i="6" s="1"/>
  <c r="D3562" i="6" s="1"/>
  <c r="D3563" i="6" s="1"/>
  <c r="D3564" i="6" s="1"/>
  <c r="D3565" i="6" s="1"/>
  <c r="D3566" i="6" s="1"/>
  <c r="D3567" i="6" s="1"/>
  <c r="D3568" i="6" s="1"/>
  <c r="D3569" i="6" s="1"/>
  <c r="D3570" i="6" s="1"/>
  <c r="D3571" i="6" s="1"/>
  <c r="D3572" i="6" s="1"/>
  <c r="D3573" i="6" s="1"/>
  <c r="D3574" i="6" s="1"/>
  <c r="D3575" i="6" s="1"/>
  <c r="D3576" i="6" s="1"/>
  <c r="D3577" i="6" s="1"/>
  <c r="D3578" i="6" s="1"/>
  <c r="D3579" i="6" s="1"/>
  <c r="D3580" i="6" s="1"/>
  <c r="D3581" i="6" s="1"/>
  <c r="D3582" i="6" s="1"/>
  <c r="D3583" i="6" s="1"/>
  <c r="D3584" i="6" s="1"/>
  <c r="D3585" i="6" s="1"/>
  <c r="D3586" i="6" s="1"/>
  <c r="D3587" i="6" s="1"/>
  <c r="D3588" i="6" s="1"/>
  <c r="D3589" i="6" s="1"/>
  <c r="D3590" i="6" s="1"/>
  <c r="D3591" i="6" s="1"/>
  <c r="D3592" i="6" s="1"/>
  <c r="D3593" i="6" s="1"/>
  <c r="D3594" i="6" s="1"/>
  <c r="D3595" i="6" s="1"/>
  <c r="D3596" i="6" s="1"/>
  <c r="D3597" i="6" s="1"/>
  <c r="D3598" i="6" s="1"/>
  <c r="D3599" i="6" s="1"/>
  <c r="D3600" i="6" s="1"/>
  <c r="D3601" i="6" s="1"/>
  <c r="D3602" i="6" s="1"/>
  <c r="D3603" i="6" s="1"/>
  <c r="D3604" i="6" s="1"/>
  <c r="D3605" i="6" s="1"/>
  <c r="D3606" i="6" s="1"/>
  <c r="D3607" i="6" s="1"/>
  <c r="D3608" i="6" s="1"/>
  <c r="D3609" i="6" s="1"/>
  <c r="D3610" i="6" s="1"/>
  <c r="D3611" i="6" s="1"/>
  <c r="D3612" i="6" s="1"/>
  <c r="D3613" i="6" s="1"/>
  <c r="D3614" i="6" s="1"/>
  <c r="D3615" i="6" s="1"/>
  <c r="D3616" i="6" s="1"/>
  <c r="D3617" i="6" s="1"/>
  <c r="D3618" i="6" s="1"/>
  <c r="D3619" i="6" s="1"/>
  <c r="D3620" i="6" s="1"/>
  <c r="D3621" i="6" s="1"/>
  <c r="D3622" i="6" s="1"/>
  <c r="D3623" i="6" s="1"/>
  <c r="D3624" i="6" s="1"/>
  <c r="D3625" i="6" s="1"/>
  <c r="D3626" i="6" s="1"/>
  <c r="D3627" i="6" s="1"/>
  <c r="D3628" i="6" s="1"/>
  <c r="D3629" i="6" s="1"/>
  <c r="D3630" i="6" s="1"/>
  <c r="D3631" i="6" s="1"/>
  <c r="D3632" i="6" s="1"/>
  <c r="D3633" i="6" s="1"/>
  <c r="D3634" i="6" s="1"/>
  <c r="D3635" i="6" s="1"/>
  <c r="D3636" i="6" s="1"/>
  <c r="D3637" i="6" s="1"/>
  <c r="D3638" i="6" s="1"/>
  <c r="D3639" i="6" s="1"/>
  <c r="D3640" i="6" s="1"/>
  <c r="D3641" i="6" s="1"/>
  <c r="D3642" i="6" s="1"/>
  <c r="D3643" i="6" s="1"/>
  <c r="D3644" i="6" s="1"/>
  <c r="D3645" i="6" s="1"/>
  <c r="D3646" i="6" s="1"/>
  <c r="D3647" i="6" s="1"/>
  <c r="D3648" i="6" s="1"/>
  <c r="D3649" i="6" s="1"/>
  <c r="D3650" i="6" s="1"/>
  <c r="D3651" i="6" s="1"/>
  <c r="D3652" i="6" s="1"/>
  <c r="D3653" i="6" s="1"/>
  <c r="D3654" i="6" s="1"/>
  <c r="D3655" i="6" s="1"/>
  <c r="D3656" i="6" s="1"/>
  <c r="D3657" i="6" s="1"/>
  <c r="D3658" i="6" s="1"/>
  <c r="D3659" i="6" s="1"/>
  <c r="D3660" i="6" s="1"/>
  <c r="D3661" i="6" s="1"/>
  <c r="D3662" i="6" s="1"/>
  <c r="D3663" i="6" s="1"/>
  <c r="D3664" i="6" s="1"/>
  <c r="D3665" i="6" s="1"/>
  <c r="D3666" i="6" s="1"/>
  <c r="D3667" i="6" s="1"/>
  <c r="D3668" i="6" s="1"/>
  <c r="D3669" i="6" s="1"/>
  <c r="D3670" i="6" s="1"/>
  <c r="D3671" i="6" s="1"/>
  <c r="D3672" i="6" s="1"/>
  <c r="D3673" i="6" s="1"/>
  <c r="D3674" i="6" s="1"/>
  <c r="D3675" i="6" s="1"/>
  <c r="D3" i="6"/>
  <c r="B36" i="7"/>
  <c r="H80" i="7" l="1"/>
  <c r="H141" i="7"/>
  <c r="G73" i="7"/>
  <c r="G38" i="7"/>
  <c r="G8" i="7"/>
  <c r="G116" i="7"/>
  <c r="G104" i="7"/>
  <c r="G36" i="7"/>
  <c r="G11" i="7"/>
  <c r="G126" i="7"/>
  <c r="G68" i="7"/>
  <c r="G22" i="7"/>
  <c r="G24" i="7"/>
  <c r="G46" i="7"/>
  <c r="G86" i="7"/>
  <c r="G59" i="7"/>
  <c r="G93" i="7"/>
  <c r="G2" i="7"/>
  <c r="G167" i="7"/>
  <c r="G163" i="7"/>
  <c r="G157" i="7"/>
  <c r="G151" i="7"/>
  <c r="G78" i="7"/>
  <c r="G143" i="7"/>
  <c r="G137" i="7"/>
  <c r="G67" i="7"/>
  <c r="G13" i="7"/>
  <c r="G42" i="7"/>
  <c r="G37" i="7"/>
  <c r="G113" i="7"/>
  <c r="G61" i="7"/>
  <c r="G17" i="7"/>
  <c r="G105" i="7"/>
  <c r="G51" i="7"/>
  <c r="G99" i="7"/>
  <c r="H36" i="7"/>
  <c r="H11" i="7"/>
  <c r="H126" i="7"/>
  <c r="H68" i="7"/>
  <c r="H22" i="7"/>
  <c r="H24" i="7"/>
  <c r="H46" i="7"/>
  <c r="H86" i="7"/>
  <c r="H59" i="7"/>
  <c r="H93" i="7"/>
  <c r="H2" i="7"/>
  <c r="H167" i="7"/>
  <c r="H163" i="7"/>
  <c r="H157" i="7"/>
  <c r="H151" i="7"/>
  <c r="H78" i="7"/>
  <c r="H143" i="7"/>
  <c r="H137" i="7"/>
  <c r="H67" i="7"/>
  <c r="H13" i="7"/>
  <c r="H42" i="7"/>
  <c r="H37" i="7"/>
  <c r="H113" i="7"/>
  <c r="H61" i="7"/>
  <c r="H17" i="7"/>
  <c r="H105" i="7"/>
  <c r="H51" i="7"/>
  <c r="H99" i="7"/>
  <c r="G39" i="7"/>
  <c r="H73" i="7"/>
  <c r="H27" i="7"/>
  <c r="F16" i="7"/>
  <c r="F111" i="7"/>
  <c r="F141" i="7"/>
  <c r="F27" i="7"/>
  <c r="F12" i="7"/>
  <c r="F34" i="7"/>
  <c r="F116" i="7"/>
  <c r="F31" i="7"/>
  <c r="F48" i="7"/>
  <c r="F38" i="7"/>
  <c r="F104" i="7"/>
  <c r="F39" i="7"/>
  <c r="F150" i="7"/>
  <c r="F8" i="7"/>
  <c r="F124" i="7"/>
  <c r="F52" i="7"/>
  <c r="F135" i="7"/>
  <c r="F80" i="7"/>
  <c r="F63" i="7"/>
  <c r="F57" i="7"/>
  <c r="F119" i="7"/>
  <c r="F161" i="7"/>
  <c r="F49" i="7"/>
  <c r="F62" i="7"/>
  <c r="F97" i="7"/>
  <c r="F87" i="7"/>
  <c r="F131" i="7"/>
  <c r="F7" i="7"/>
  <c r="F95" i="7"/>
  <c r="F33" i="7"/>
  <c r="F159" i="7"/>
  <c r="F145" i="7"/>
  <c r="F18" i="7"/>
  <c r="F115" i="7"/>
  <c r="F36" i="7"/>
  <c r="I36" i="7" s="1"/>
  <c r="F51" i="7"/>
  <c r="F99" i="7"/>
  <c r="F132" i="7"/>
  <c r="F129" i="7"/>
  <c r="F123" i="7"/>
  <c r="F4" i="7"/>
  <c r="F109" i="7"/>
  <c r="F29" i="7"/>
  <c r="F90" i="7"/>
  <c r="F74" i="7"/>
  <c r="F30" i="7"/>
  <c r="F72" i="7"/>
  <c r="F83" i="7"/>
  <c r="F166" i="7"/>
  <c r="F160" i="7"/>
  <c r="F154" i="7"/>
  <c r="F149" i="7"/>
  <c r="F77" i="7"/>
  <c r="F140" i="7"/>
  <c r="F45" i="7"/>
  <c r="F75" i="7"/>
  <c r="F26" i="7"/>
  <c r="F3" i="7"/>
  <c r="F107" i="7"/>
  <c r="F110" i="7"/>
  <c r="F55" i="7"/>
  <c r="F64" i="7"/>
  <c r="F133" i="7"/>
  <c r="F102" i="7"/>
  <c r="F21" i="7"/>
  <c r="F96" i="7"/>
  <c r="F91" i="7"/>
  <c r="F165" i="7"/>
  <c r="F148" i="7"/>
  <c r="F118" i="7"/>
  <c r="F35" i="7"/>
  <c r="F20" i="7"/>
  <c r="F54" i="7"/>
  <c r="F58" i="7"/>
  <c r="F155" i="7"/>
  <c r="F47" i="7"/>
  <c r="F128" i="7"/>
  <c r="F14" i="7"/>
  <c r="F53" i="7"/>
  <c r="F82" i="7"/>
  <c r="F153" i="7"/>
  <c r="F139" i="7"/>
  <c r="F41" i="7"/>
  <c r="F121" i="7"/>
  <c r="G120" i="7"/>
  <c r="G60" i="7"/>
  <c r="G103" i="7"/>
  <c r="G162" i="7"/>
  <c r="G146" i="7"/>
  <c r="G136" i="7"/>
  <c r="G117" i="7"/>
  <c r="G89" i="7"/>
  <c r="H120" i="7"/>
  <c r="H60" i="7"/>
  <c r="H103" i="7"/>
  <c r="H156" i="7"/>
  <c r="H136" i="7"/>
  <c r="H117" i="7"/>
  <c r="H50" i="7"/>
  <c r="G150" i="7"/>
  <c r="H111" i="7"/>
  <c r="F101" i="7"/>
  <c r="F134" i="7"/>
  <c r="F65" i="7"/>
  <c r="F11" i="7"/>
  <c r="F126" i="7"/>
  <c r="I126" i="7" s="1"/>
  <c r="F68" i="7"/>
  <c r="I68" i="7" s="1"/>
  <c r="F22" i="7"/>
  <c r="I22" i="7" s="1"/>
  <c r="F24" i="7"/>
  <c r="F46" i="7"/>
  <c r="I46" i="7" s="1"/>
  <c r="F86" i="7"/>
  <c r="F59" i="7"/>
  <c r="I59" i="7" s="1"/>
  <c r="F93" i="7"/>
  <c r="I93" i="7" s="1"/>
  <c r="F2" i="7"/>
  <c r="F167" i="7"/>
  <c r="F163" i="7"/>
  <c r="I163" i="7" s="1"/>
  <c r="F157" i="7"/>
  <c r="F151" i="7"/>
  <c r="I151" i="7" s="1"/>
  <c r="F78" i="7"/>
  <c r="I78" i="7" s="1"/>
  <c r="F143" i="7"/>
  <c r="I143" i="7" s="1"/>
  <c r="F137" i="7"/>
  <c r="F67" i="7"/>
  <c r="I67" i="7" s="1"/>
  <c r="F13" i="7"/>
  <c r="F42" i="7"/>
  <c r="I42" i="7" s="1"/>
  <c r="F37" i="7"/>
  <c r="I37" i="7" s="1"/>
  <c r="F113" i="7"/>
  <c r="I113" i="7" s="1"/>
  <c r="F61" i="7"/>
  <c r="F17" i="7"/>
  <c r="I17" i="7" s="1"/>
  <c r="F105" i="7"/>
  <c r="G132" i="7"/>
  <c r="G129" i="7"/>
  <c r="G123" i="7"/>
  <c r="G4" i="7"/>
  <c r="G109" i="7"/>
  <c r="G29" i="7"/>
  <c r="G90" i="7"/>
  <c r="G74" i="7"/>
  <c r="G30" i="7"/>
  <c r="G72" i="7"/>
  <c r="G83" i="7"/>
  <c r="G166" i="7"/>
  <c r="G160" i="7"/>
  <c r="G154" i="7"/>
  <c r="G149" i="7"/>
  <c r="G77" i="7"/>
  <c r="G31" i="7"/>
  <c r="H63" i="7"/>
  <c r="H52" i="7"/>
  <c r="F88" i="7"/>
  <c r="F76" i="7"/>
  <c r="F73" i="7"/>
  <c r="F120" i="7"/>
  <c r="F125" i="7"/>
  <c r="F40" i="7"/>
  <c r="F6" i="7"/>
  <c r="F60" i="7"/>
  <c r="F85" i="7"/>
  <c r="F169" i="7"/>
  <c r="F5" i="7"/>
  <c r="F103" i="7"/>
  <c r="F19" i="7"/>
  <c r="G124" i="7"/>
  <c r="G125" i="7"/>
  <c r="G85" i="7"/>
  <c r="G19" i="7"/>
  <c r="G156" i="7"/>
  <c r="G142" i="7"/>
  <c r="G92" i="7"/>
  <c r="G56" i="7"/>
  <c r="H6" i="7"/>
  <c r="H169" i="7"/>
  <c r="H81" i="7"/>
  <c r="H146" i="7"/>
  <c r="H92" i="7"/>
  <c r="H56" i="7"/>
  <c r="H47" i="7"/>
  <c r="G6" i="7"/>
  <c r="G169" i="7"/>
  <c r="G25" i="7"/>
  <c r="G50" i="7"/>
  <c r="G102" i="7"/>
  <c r="G97" i="7"/>
  <c r="G121" i="7"/>
  <c r="G161" i="7"/>
  <c r="G87" i="7"/>
  <c r="G133" i="7"/>
  <c r="G52" i="7"/>
  <c r="G135" i="7"/>
  <c r="G80" i="7"/>
  <c r="G63" i="7"/>
  <c r="G111" i="7"/>
  <c r="G141" i="7"/>
  <c r="G27" i="7"/>
  <c r="G12" i="7"/>
  <c r="G49" i="7"/>
  <c r="G57" i="7"/>
  <c r="G155" i="7"/>
  <c r="G62" i="7"/>
  <c r="G119" i="7"/>
  <c r="H40" i="7"/>
  <c r="H5" i="7"/>
  <c r="H162" i="7"/>
  <c r="H142" i="7"/>
  <c r="H25" i="7"/>
  <c r="H34" i="7"/>
  <c r="H102" i="7"/>
  <c r="H104" i="7"/>
  <c r="H39" i="7"/>
  <c r="H150" i="7"/>
  <c r="H8" i="7"/>
  <c r="H124" i="7"/>
  <c r="H49" i="7"/>
  <c r="H57" i="7"/>
  <c r="H155" i="7"/>
  <c r="H62" i="7"/>
  <c r="H119" i="7"/>
  <c r="H97" i="7"/>
  <c r="H121" i="7"/>
  <c r="H161" i="7"/>
  <c r="H87" i="7"/>
  <c r="H133" i="7"/>
  <c r="H116" i="7"/>
  <c r="H31" i="7"/>
  <c r="H48" i="7"/>
  <c r="H38" i="7"/>
  <c r="G48" i="7"/>
  <c r="G34" i="7"/>
  <c r="H135" i="7"/>
  <c r="H12" i="7"/>
  <c r="G40" i="7"/>
  <c r="G5" i="7"/>
  <c r="G81" i="7"/>
  <c r="G79" i="7"/>
  <c r="G122" i="7"/>
  <c r="G112" i="7"/>
  <c r="G47" i="7"/>
  <c r="H125" i="7"/>
  <c r="H85" i="7"/>
  <c r="H19" i="7"/>
  <c r="H79" i="7"/>
  <c r="H122" i="7"/>
  <c r="H112" i="7"/>
  <c r="H89" i="7"/>
  <c r="F70" i="7"/>
  <c r="F100" i="7"/>
  <c r="G130" i="7"/>
  <c r="G127" i="7"/>
  <c r="G69" i="7"/>
  <c r="G43" i="7"/>
  <c r="G9" i="7"/>
  <c r="G10" i="7"/>
  <c r="G84" i="7"/>
  <c r="G66" i="7"/>
  <c r="G71" i="7"/>
  <c r="G32" i="7"/>
  <c r="G168" i="7"/>
  <c r="G164" i="7"/>
  <c r="G158" i="7"/>
  <c r="G152" i="7"/>
  <c r="G147" i="7"/>
  <c r="G144" i="7"/>
  <c r="G138" i="7"/>
  <c r="G94" i="7"/>
  <c r="G98" i="7"/>
  <c r="G28" i="7"/>
  <c r="G108" i="7"/>
  <c r="G114" i="7"/>
  <c r="G44" i="7"/>
  <c r="G23" i="7"/>
  <c r="G106" i="7"/>
  <c r="G70" i="7"/>
  <c r="G100" i="7"/>
  <c r="G15" i="7"/>
  <c r="H130" i="7"/>
  <c r="H127" i="7"/>
  <c r="H69" i="7"/>
  <c r="H43" i="7"/>
  <c r="H9" i="7"/>
  <c r="H10" i="7"/>
  <c r="H84" i="7"/>
  <c r="H66" i="7"/>
  <c r="H71" i="7"/>
  <c r="H32" i="7"/>
  <c r="H168" i="7"/>
  <c r="H164" i="7"/>
  <c r="H158" i="7"/>
  <c r="H152" i="7"/>
  <c r="H147" i="7"/>
  <c r="H144" i="7"/>
  <c r="H138" i="7"/>
  <c r="H94" i="7"/>
  <c r="H98" i="7"/>
  <c r="H28" i="7"/>
  <c r="H108" i="7"/>
  <c r="H114" i="7"/>
  <c r="H44" i="7"/>
  <c r="H23" i="7"/>
  <c r="H106" i="7"/>
  <c r="H70" i="7"/>
  <c r="H100" i="7"/>
  <c r="H15" i="7"/>
  <c r="F15" i="7"/>
  <c r="F130" i="7"/>
  <c r="F127" i="7"/>
  <c r="F69" i="7"/>
  <c r="I69" i="7" s="1"/>
  <c r="F43" i="7"/>
  <c r="F9" i="7"/>
  <c r="F10" i="7"/>
  <c r="F84" i="7"/>
  <c r="F66" i="7"/>
  <c r="F71" i="7"/>
  <c r="I71" i="7" s="1"/>
  <c r="F32" i="7"/>
  <c r="F168" i="7"/>
  <c r="F164" i="7"/>
  <c r="F158" i="7"/>
  <c r="F152" i="7"/>
  <c r="F147" i="7"/>
  <c r="I147" i="7" s="1"/>
  <c r="F144" i="7"/>
  <c r="F138" i="7"/>
  <c r="F94" i="7"/>
  <c r="F98" i="7"/>
  <c r="F28" i="7"/>
  <c r="F108" i="7"/>
  <c r="I108" i="7" s="1"/>
  <c r="F114" i="7"/>
  <c r="F44" i="7"/>
  <c r="F23" i="7"/>
  <c r="F106" i="7"/>
  <c r="G140" i="7"/>
  <c r="G45" i="7"/>
  <c r="G75" i="7"/>
  <c r="G26" i="7"/>
  <c r="G3" i="7"/>
  <c r="G107" i="7"/>
  <c r="G110" i="7"/>
  <c r="G55" i="7"/>
  <c r="G64" i="7"/>
  <c r="G101" i="7"/>
  <c r="G134" i="7"/>
  <c r="G65" i="7"/>
  <c r="H132" i="7"/>
  <c r="H129" i="7"/>
  <c r="H123" i="7"/>
  <c r="H4" i="7"/>
  <c r="H109" i="7"/>
  <c r="H29" i="7"/>
  <c r="H90" i="7"/>
  <c r="H74" i="7"/>
  <c r="H30" i="7"/>
  <c r="H72" i="7"/>
  <c r="H83" i="7"/>
  <c r="H166" i="7"/>
  <c r="H160" i="7"/>
  <c r="H154" i="7"/>
  <c r="H149" i="7"/>
  <c r="H77" i="7"/>
  <c r="H140" i="7"/>
  <c r="H45" i="7"/>
  <c r="H75" i="7"/>
  <c r="F81" i="7"/>
  <c r="I81" i="7" s="1"/>
  <c r="F162" i="7"/>
  <c r="I162" i="7" s="1"/>
  <c r="F156" i="7"/>
  <c r="I156" i="7" s="1"/>
  <c r="F79" i="7"/>
  <c r="F146" i="7"/>
  <c r="F142" i="7"/>
  <c r="F136" i="7"/>
  <c r="F122" i="7"/>
  <c r="F92" i="7"/>
  <c r="I92" i="7" s="1"/>
  <c r="F25" i="7"/>
  <c r="F117" i="7"/>
  <c r="F112" i="7"/>
  <c r="F56" i="7"/>
  <c r="F50" i="7"/>
  <c r="I50" i="7" s="1"/>
  <c r="F89" i="7"/>
  <c r="I89" i="7" s="1"/>
  <c r="G131" i="7"/>
  <c r="G128" i="7"/>
  <c r="G21" i="7"/>
  <c r="G7" i="7"/>
  <c r="G14" i="7"/>
  <c r="G96" i="7"/>
  <c r="G95" i="7"/>
  <c r="G53" i="7"/>
  <c r="G91" i="7"/>
  <c r="G33" i="7"/>
  <c r="G82" i="7"/>
  <c r="G165" i="7"/>
  <c r="G159" i="7"/>
  <c r="G153" i="7"/>
  <c r="G148" i="7"/>
  <c r="G145" i="7"/>
  <c r="G139" i="7"/>
  <c r="G118" i="7"/>
  <c r="G18" i="7"/>
  <c r="G35" i="7"/>
  <c r="G41" i="7"/>
  <c r="G115" i="7"/>
  <c r="G20" i="7"/>
  <c r="G54" i="7"/>
  <c r="G58" i="7"/>
  <c r="G88" i="7"/>
  <c r="G76" i="7"/>
  <c r="G16" i="7"/>
  <c r="H131" i="7"/>
  <c r="H128" i="7"/>
  <c r="H21" i="7"/>
  <c r="H7" i="7"/>
  <c r="H14" i="7"/>
  <c r="H96" i="7"/>
  <c r="H95" i="7"/>
  <c r="H53" i="7"/>
  <c r="H91" i="7"/>
  <c r="H33" i="7"/>
  <c r="H82" i="7"/>
  <c r="H165" i="7"/>
  <c r="H159" i="7"/>
  <c r="H153" i="7"/>
  <c r="H148" i="7"/>
  <c r="H145" i="7"/>
  <c r="H139" i="7"/>
  <c r="H118" i="7"/>
  <c r="H18" i="7"/>
  <c r="H35" i="7"/>
  <c r="H41" i="7"/>
  <c r="H115" i="7"/>
  <c r="H20" i="7"/>
  <c r="H54" i="7"/>
  <c r="H58" i="7"/>
  <c r="H88" i="7"/>
  <c r="H76" i="7"/>
  <c r="H16" i="7"/>
  <c r="H26" i="7"/>
  <c r="H3" i="7"/>
  <c r="H107" i="7"/>
  <c r="H110" i="7"/>
  <c r="H55" i="7"/>
  <c r="H64" i="7"/>
  <c r="H101" i="7"/>
  <c r="H134" i="7"/>
  <c r="H65" i="7"/>
  <c r="I60" i="7" l="1"/>
  <c r="I51" i="7"/>
  <c r="I106" i="7"/>
  <c r="I98" i="7"/>
  <c r="I158" i="7"/>
  <c r="I84" i="7"/>
  <c r="I130" i="7"/>
  <c r="I44" i="7"/>
  <c r="I138" i="7"/>
  <c r="I168" i="7"/>
  <c r="I9" i="7"/>
  <c r="I142" i="7"/>
  <c r="I103" i="7"/>
  <c r="I146" i="7"/>
  <c r="I25" i="7"/>
  <c r="I79" i="7"/>
  <c r="I23" i="7"/>
  <c r="I94" i="7"/>
  <c r="I164" i="7"/>
  <c r="I10" i="7"/>
  <c r="I85" i="7"/>
  <c r="I73" i="7"/>
  <c r="I61" i="7"/>
  <c r="I137" i="7"/>
  <c r="I167" i="7"/>
  <c r="I24" i="7"/>
  <c r="I134" i="7"/>
  <c r="I91" i="7"/>
  <c r="I55" i="7"/>
  <c r="I45" i="7"/>
  <c r="I166" i="7"/>
  <c r="I29" i="7"/>
  <c r="I99" i="7"/>
  <c r="I159" i="7"/>
  <c r="I63" i="7"/>
  <c r="I150" i="7"/>
  <c r="I116" i="7"/>
  <c r="I16" i="7"/>
  <c r="I54" i="7"/>
  <c r="I15" i="7"/>
  <c r="I169" i="7"/>
  <c r="I120" i="7"/>
  <c r="I65" i="7"/>
  <c r="I82" i="7"/>
  <c r="I58" i="7"/>
  <c r="I165" i="7"/>
  <c r="I64" i="7"/>
  <c r="I75" i="7"/>
  <c r="I160" i="7"/>
  <c r="I90" i="7"/>
  <c r="I132" i="7"/>
  <c r="I145" i="7"/>
  <c r="I87" i="7"/>
  <c r="I57" i="7"/>
  <c r="I8" i="7"/>
  <c r="I31" i="7"/>
  <c r="I111" i="7"/>
  <c r="I97" i="7"/>
  <c r="I53" i="7"/>
  <c r="I122" i="7"/>
  <c r="I114" i="7"/>
  <c r="I144" i="7"/>
  <c r="I32" i="7"/>
  <c r="I43" i="7"/>
  <c r="I76" i="7"/>
  <c r="I101" i="7"/>
  <c r="I121" i="7"/>
  <c r="I14" i="7"/>
  <c r="I20" i="7"/>
  <c r="I96" i="7"/>
  <c r="I110" i="7"/>
  <c r="I140" i="7"/>
  <c r="I83" i="7"/>
  <c r="I109" i="7"/>
  <c r="I33" i="7"/>
  <c r="I62" i="7"/>
  <c r="I80" i="7"/>
  <c r="I39" i="7"/>
  <c r="I34" i="7"/>
  <c r="I56" i="7"/>
  <c r="I136" i="7"/>
  <c r="I100" i="7"/>
  <c r="I19" i="7"/>
  <c r="I6" i="7"/>
  <c r="I88" i="7"/>
  <c r="I41" i="7"/>
  <c r="I128" i="7"/>
  <c r="I35" i="7"/>
  <c r="I21" i="7"/>
  <c r="I107" i="7"/>
  <c r="I77" i="7"/>
  <c r="I72" i="7"/>
  <c r="I4" i="7"/>
  <c r="I95" i="7"/>
  <c r="I49" i="7"/>
  <c r="I135" i="7"/>
  <c r="I104" i="7"/>
  <c r="I12" i="7"/>
  <c r="I112" i="7"/>
  <c r="I28" i="7"/>
  <c r="I152" i="7"/>
  <c r="I66" i="7"/>
  <c r="I127" i="7"/>
  <c r="I70" i="7"/>
  <c r="I40" i="7"/>
  <c r="I139" i="7"/>
  <c r="I47" i="7"/>
  <c r="I118" i="7"/>
  <c r="I102" i="7"/>
  <c r="I3" i="7"/>
  <c r="I149" i="7"/>
  <c r="I30" i="7"/>
  <c r="I123" i="7"/>
  <c r="I115" i="7"/>
  <c r="I7" i="7"/>
  <c r="I161" i="7"/>
  <c r="I52" i="7"/>
  <c r="I38" i="7"/>
  <c r="I27" i="7"/>
  <c r="I117" i="7"/>
  <c r="I5" i="7"/>
  <c r="I125" i="7"/>
  <c r="I105" i="7"/>
  <c r="I13" i="7"/>
  <c r="I157" i="7"/>
  <c r="I86" i="7"/>
  <c r="I11" i="7"/>
  <c r="I153" i="7"/>
  <c r="I155" i="7"/>
  <c r="I148" i="7"/>
  <c r="I133" i="7"/>
  <c r="I26" i="7"/>
  <c r="I154" i="7"/>
  <c r="I74" i="7"/>
  <c r="I129" i="7"/>
  <c r="I18" i="7"/>
  <c r="I131" i="7"/>
  <c r="I119" i="7"/>
  <c r="I124" i="7"/>
  <c r="I48" i="7"/>
  <c r="I14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9B455-03BB-442D-9744-5661B4153105}" name="Battleship2" type="4" refreshedVersion="0" background="1">
    <webPr xml="1" sourceData="1" url="D:\docs\Battleship2.xml" htmlTables="1" htmlFormat="all"/>
  </connection>
</connections>
</file>

<file path=xl/sharedStrings.xml><?xml version="1.0" encoding="utf-8"?>
<sst xmlns="http://schemas.openxmlformats.org/spreadsheetml/2006/main" count="26693" uniqueCount="1104">
  <si>
    <t>Coluna1</t>
  </si>
  <si>
    <t>Coluna2</t>
  </si>
  <si>
    <t>Coluna3</t>
  </si>
  <si>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</si>
  <si>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</si>
  <si>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</si>
  <si>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</si>
  <si>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</si>
  <si>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</si>
  <si>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</si>
  <si>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</si>
  <si>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</si>
  <si>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</si>
  <si>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</si>
  <si>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</si>
  <si>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</si>
  <si>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</si>
  <si>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</si>
  <si>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</si>
  <si>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</si>
  <si>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</si>
  <si>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</si>
  <si>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</si>
  <si>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</si>
  <si>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</si>
  <si>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</si>
  <si>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</si>
  <si>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</si>
  <si>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</si>
  <si>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</si>
  <si>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</si>
  <si>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</si>
  <si>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</si>
  <si>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</si>
  <si>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</si>
  <si>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</si>
  <si>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</si>
  <si>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</si>
  <si>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</si>
  <si>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</si>
  <si>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</si>
  <si>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</si>
  <si>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</si>
  <si>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</si>
  <si>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</si>
  <si>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</si>
  <si>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</si>
  <si>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</si>
  <si>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</si>
  <si>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</si>
  <si>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</si>
  <si>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</si>
  <si>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</si>
  <si>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</si>
  <si>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</si>
  <si>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</si>
  <si>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</si>
  <si>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</si>
  <si>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</si>
  <si>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</si>
  <si>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</si>
  <si>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</si>
  <si>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</si>
  <si>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</si>
  <si>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</si>
  <si>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</si>
  <si>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</si>
  <si>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</si>
  <si>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</si>
  <si>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</si>
  <si>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</si>
  <si>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</si>
  <si>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</si>
  <si>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</si>
  <si>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</si>
  <si>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</si>
  <si>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</si>
  <si>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</si>
  <si>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</si>
  <si>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0,055</t>
  </si>
  <si>
    <t>0,5109</t>
  </si>
  <si>
    <t>2,0114</t>
  </si>
  <si>
    <t>2,6756</t>
  </si>
  <si>
    <t>4,0285</t>
  </si>
  <si>
    <t>2,5263</t>
  </si>
  <si>
    <t>1082,0668</t>
  </si>
  <si>
    <t>2944017,9992</t>
  </si>
  <si>
    <t>14,6596</t>
  </si>
  <si>
    <t>4714</t>
  </si>
  <si>
    <t>1489</t>
  </si>
  <si>
    <t>31518,0414</t>
  </si>
  <si>
    <t>2340</t>
  </si>
  <si>
    <t>0,0</t>
  </si>
  <si>
    <t>0,3311</t>
  </si>
  <si>
    <t>1428</t>
  </si>
  <si>
    <t>1</t>
  </si>
  <si>
    <t>28</t>
  </si>
  <si>
    <t>5</t>
  </si>
  <si>
    <t>8</t>
  </si>
  <si>
    <t>0,4172</t>
  </si>
  <si>
    <t>1,9563</t>
  </si>
  <si>
    <t>-3,3922</t>
  </si>
  <si>
    <t>battleship</t>
  </si>
  <si>
    <t>restserver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</si>
  <si>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</si>
  <si>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</si>
  <si>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</si>
  <si>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</si>
  <si>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</si>
  <si>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</si>
  <si>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</si>
  <si>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</si>
  <si>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</si>
  <si>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</si>
  <si>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</si>
  <si>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</si>
  <si>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</si>
  <si>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</si>
  <si>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</si>
  <si>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</si>
  <si>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</si>
  <si>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</t>
  </si>
  <si>
    <t>20</t>
  </si>
  <si>
    <t>856,6456</t>
  </si>
  <si>
    <t>2612180,4839</t>
  </si>
  <si>
    <t>12,2573</t>
  </si>
  <si>
    <t>3801</t>
  </si>
  <si>
    <t>1122</t>
  </si>
  <si>
    <t>25872,8765</t>
  </si>
  <si>
    <t>0,9524</t>
  </si>
  <si>
    <t>1965</t>
  </si>
  <si>
    <t>1152</t>
  </si>
  <si>
    <t>0,2524</t>
  </si>
  <si>
    <t>13</t>
  </si>
  <si>
    <t>12</t>
  </si>
  <si>
    <t>225,4212</t>
  </si>
  <si>
    <t>331837,5153</t>
  </si>
  <si>
    <t>2,4023</t>
  </si>
  <si>
    <t>913</t>
  </si>
  <si>
    <t>367</t>
  </si>
  <si>
    <t>5645,1649</t>
  </si>
  <si>
    <t>1,0</t>
  </si>
  <si>
    <t>366</t>
  </si>
  <si>
    <t>17,2088</t>
  </si>
  <si>
    <t>248</t>
  </si>
  <si>
    <t>7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</si>
  <si>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</si>
  <si>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</si>
  <si>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</si>
  <si>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</si>
  <si>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</si>
  <si>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</si>
  <si>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</si>
  <si>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</si>
  <si>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GameWindow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</si>
  <si>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</si>
  <si>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</si>
  <si>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</si>
  <si>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</si>
  <si>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</si>
  <si>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</si>
  <si>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</si>
  <si>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</si>
  <si>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Server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</si>
  <si>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</si>
  <si>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</si>
  <si>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</si>
  <si>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</si>
  <si>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</si>
  <si>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</si>
  <si>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</si>
  <si>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</si>
  <si>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</si>
  <si>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</si>
  <si>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</si>
  <si>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</si>
  <si>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</si>
  <si>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</si>
  <si>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</si>
  <si>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</si>
  <si>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</si>
  <si>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</si>
  <si>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</si>
  <si>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</si>
  <si>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</si>
  <si>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</si>
  <si>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</si>
  <si>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</si>
  <si>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</si>
  <si>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</si>
  <si>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</si>
  <si>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</si>
  <si>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</si>
  <si>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</si>
  <si>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</si>
  <si>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</si>
  <si>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</si>
  <si>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</si>
  <si>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</si>
  <si>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</si>
  <si>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</si>
  <si>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</si>
  <si>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</si>
  <si>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</si>
  <si>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</si>
  <si>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</si>
  <si>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</si>
  <si>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</si>
  <si>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</si>
  <si>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</si>
  <si>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</si>
  <si>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</si>
  <si>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</si>
  <si>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</si>
  <si>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</si>
  <si>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</si>
  <si>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</si>
  <si>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</si>
  <si>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</si>
  <si>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</si>
  <si>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</si>
  <si>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</si>
  <si>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</si>
  <si>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</si>
  <si>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</si>
  <si>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</si>
  <si>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</si>
  <si>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</si>
  <si>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</si>
  <si>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</si>
  <si>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</si>
  <si>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</si>
  <si>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</si>
  <si>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</si>
  <si>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55</t>
  </si>
  <si>
    <t>51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</si>
  <si>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</si>
  <si>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</si>
  <si>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</si>
  <si>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</si>
  <si>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</si>
  <si>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</si>
  <si>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</si>
  <si>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</si>
  <si>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</si>
  <si>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9</t>
  </si>
  <si>
    <t>N/A</t>
  </si>
  <si>
    <t>66</t>
  </si>
  <si>
    <t>∞</t>
  </si>
  <si>
    <t>34</t>
  </si>
  <si>
    <t>64,5</t>
  </si>
  <si>
    <t>77881,7347</t>
  </si>
  <si>
    <t>0,6079</t>
  </si>
  <si>
    <t>197</t>
  </si>
  <si>
    <t>70</t>
  </si>
  <si>
    <t>1207,4688</t>
  </si>
  <si>
    <t>212</t>
  </si>
  <si>
    <t>27,2134</t>
  </si>
  <si>
    <t>30</t>
  </si>
  <si>
    <t>68</t>
  </si>
  <si>
    <t>0,4242</t>
  </si>
  <si>
    <t>0,6923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</si>
  <si>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</si>
  <si>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</si>
  <si>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</si>
  <si>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</si>
  <si>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</si>
  <si>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</si>
  <si>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</si>
  <si>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</si>
  <si>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</si>
  <si>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49</t>
  </si>
  <si>
    <t>46</t>
  </si>
  <si>
    <t>59</t>
  </si>
  <si>
    <t>48</t>
  </si>
  <si>
    <t>3</t>
  </si>
  <si>
    <t>133,3333</t>
  </si>
  <si>
    <t>757154,8828</t>
  </si>
  <si>
    <t>2,7691</t>
  </si>
  <si>
    <t>754</t>
  </si>
  <si>
    <t>185</t>
  </si>
  <si>
    <t>5678,6616</t>
  </si>
  <si>
    <t>350</t>
  </si>
  <si>
    <t>17,6513</t>
  </si>
  <si>
    <t>114</t>
  </si>
  <si>
    <t>232</t>
  </si>
  <si>
    <t>22</t>
  </si>
  <si>
    <t>16</t>
  </si>
  <si>
    <t>56</t>
  </si>
  <si>
    <t>23</t>
  </si>
  <si>
    <t>52</t>
  </si>
  <si>
    <t>79</t>
  </si>
  <si>
    <t>0,1838</t>
  </si>
  <si>
    <t>0,5455</t>
  </si>
  <si>
    <t>67</t>
  </si>
  <si>
    <t>38</t>
  </si>
  <si>
    <t>139,7872</t>
  </si>
  <si>
    <t>838546,7506</t>
  </si>
  <si>
    <t>2,9641</t>
  </si>
  <si>
    <t>764</t>
  </si>
  <si>
    <t>231</t>
  </si>
  <si>
    <t>5998,7363</t>
  </si>
  <si>
    <t>234</t>
  </si>
  <si>
    <t>21,3787</t>
  </si>
  <si>
    <t>150</t>
  </si>
  <si>
    <t>213</t>
  </si>
  <si>
    <t>33</t>
  </si>
  <si>
    <t>24</t>
  </si>
  <si>
    <t>82</t>
  </si>
  <si>
    <t>0,2778</t>
  </si>
  <si>
    <t>0,8</t>
  </si>
  <si>
    <t>37</t>
  </si>
  <si>
    <t>26,7273</t>
  </si>
  <si>
    <t>13726,8844</t>
  </si>
  <si>
    <t>0,1911</t>
  </si>
  <si>
    <t>91</t>
  </si>
  <si>
    <t>50</t>
  </si>
  <si>
    <t>513,5909</t>
  </si>
  <si>
    <t>57</t>
  </si>
  <si>
    <t>42,3986</t>
  </si>
  <si>
    <t>39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</si>
  <si>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</si>
  <si>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</si>
  <si>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</si>
  <si>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</si>
  <si>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</si>
  <si>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</si>
  <si>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</si>
  <si>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</si>
  <si>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</si>
  <si>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</si>
  <si>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25</t>
  </si>
  <si>
    <t>0,3333</t>
  </si>
  <si>
    <t>0,2</t>
  </si>
  <si>
    <t>42</t>
  </si>
  <si>
    <t>59,52</t>
  </si>
  <si>
    <t>78114,0631</t>
  </si>
  <si>
    <t>0,6091</t>
  </si>
  <si>
    <t>225</t>
  </si>
  <si>
    <t>1312,4003</t>
  </si>
  <si>
    <t>187</t>
  </si>
  <si>
    <t>28,1721</t>
  </si>
  <si>
    <t>58</t>
  </si>
  <si>
    <t>45</t>
  </si>
  <si>
    <t>0,3455</t>
  </si>
  <si>
    <t>0,5333</t>
  </si>
  <si>
    <t>26</t>
  </si>
  <si>
    <t>12,6</t>
  </si>
  <si>
    <t>2542,3746</t>
  </si>
  <si>
    <t>0,0621</t>
  </si>
  <si>
    <t>201,7758</t>
  </si>
  <si>
    <t>58,7782</t>
  </si>
  <si>
    <t>18</t>
  </si>
  <si>
    <t>92,4</t>
  </si>
  <si>
    <t>252984,2039</t>
  </si>
  <si>
    <t>1,3333</t>
  </si>
  <si>
    <t>413</t>
  </si>
  <si>
    <t>2737,9243</t>
  </si>
  <si>
    <t>342</t>
  </si>
  <si>
    <t>20,1235</t>
  </si>
  <si>
    <t>76</t>
  </si>
  <si>
    <t>138</t>
  </si>
  <si>
    <t>54</t>
  </si>
  <si>
    <t>0,6842</t>
  </si>
  <si>
    <t>94,6957</t>
  </si>
  <si>
    <t>272748,473</t>
  </si>
  <si>
    <t>1,4019</t>
  </si>
  <si>
    <t>407</t>
  </si>
  <si>
    <t>135</t>
  </si>
  <si>
    <t>2880,2639</t>
  </si>
  <si>
    <t>173</t>
  </si>
  <si>
    <t>26,4784</t>
  </si>
  <si>
    <t>73</t>
  </si>
  <si>
    <t>134</t>
  </si>
  <si>
    <t>19</t>
  </si>
  <si>
    <t>35</t>
  </si>
  <si>
    <t>85,0</t>
  </si>
  <si>
    <t>117300,0</t>
  </si>
  <si>
    <t>0,7987</t>
  </si>
  <si>
    <t>230</t>
  </si>
  <si>
    <t>64</t>
  </si>
  <si>
    <t>1380,0</t>
  </si>
  <si>
    <t>98</t>
  </si>
  <si>
    <t>34,0998</t>
  </si>
  <si>
    <t>60</t>
  </si>
  <si>
    <t>2,5</t>
  </si>
  <si>
    <t>51,6993</t>
  </si>
  <si>
    <t>0,0046</t>
  </si>
  <si>
    <t>20,6797</t>
  </si>
  <si>
    <t>80,4823</t>
  </si>
  <si>
    <t>29</t>
  </si>
  <si>
    <t>52,8545</t>
  </si>
  <si>
    <t>76277,5258</t>
  </si>
  <si>
    <t>0,5995</t>
  </si>
  <si>
    <t>112</t>
  </si>
  <si>
    <t>1443,1592</t>
  </si>
  <si>
    <t>88</t>
  </si>
  <si>
    <t>35,1069</t>
  </si>
  <si>
    <t>53</t>
  </si>
  <si>
    <t>43</t>
  </si>
  <si>
    <t>343,901</t>
  </si>
  <si>
    <t>0,0164</t>
  </si>
  <si>
    <t>137,5604</t>
  </si>
  <si>
    <t>61,6667</t>
  </si>
  <si>
    <t>133378,1727</t>
  </si>
  <si>
    <t>0,8702</t>
  </si>
  <si>
    <t>308</t>
  </si>
  <si>
    <t>130</t>
  </si>
  <si>
    <t>2162,8893</t>
  </si>
  <si>
    <t>29,5371</t>
  </si>
  <si>
    <t>81</t>
  </si>
  <si>
    <t>0,1667</t>
  </si>
  <si>
    <t>0,75</t>
  </si>
  <si>
    <t>13,2</t>
  </si>
  <si>
    <t>1510,7263</t>
  </si>
  <si>
    <t>0,0439</t>
  </si>
  <si>
    <t>114,449</t>
  </si>
  <si>
    <t>15</t>
  </si>
  <si>
    <t>59,7945</t>
  </si>
  <si>
    <t>7,7</t>
  </si>
  <si>
    <t>2975,4903</t>
  </si>
  <si>
    <t>0,069</t>
  </si>
  <si>
    <t>78</t>
  </si>
  <si>
    <t>386,4273</t>
  </si>
  <si>
    <t>51,4711</t>
  </si>
  <si>
    <t>36</t>
  </si>
  <si>
    <t>0,1389</t>
  </si>
  <si>
    <t>0,2222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</si>
  <si>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</si>
  <si>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</si>
  <si>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</si>
  <si>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</si>
  <si>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</si>
  <si>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</si>
  <si>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</si>
  <si>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</si>
  <si>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</si>
  <si>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</si>
  <si>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</si>
  <si>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</si>
  <si>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</si>
  <si>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</si>
  <si>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</si>
  <si>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</si>
  <si>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</si>
  <si>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</si>
  <si>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</si>
  <si>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</si>
  <si>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</si>
  <si>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</si>
  <si>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</si>
  <si>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</si>
  <si>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</si>
  <si>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</si>
  <si>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</si>
  <si>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</si>
  <si>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</si>
  <si>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</si>
  <si>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</si>
  <si>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</si>
  <si>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</si>
  <si>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</si>
  <si>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</si>
  <si>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</si>
  <si>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</si>
  <si>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</si>
  <si>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</si>
  <si>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</si>
  <si>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</si>
  <si>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</si>
  <si>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</si>
  <si>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</si>
  <si>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</si>
  <si>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</si>
  <si>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</si>
  <si>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</si>
  <si>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</si>
  <si>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</si>
  <si>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</si>
  <si>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</si>
  <si>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GameWindow()</t>
  </si>
  <si>
    <t>addComponentsMenu()</t>
  </si>
  <si>
    <t>addComponentsTabuleiro()</t>
  </si>
  <si>
    <t>botaoNeon(String, String, String)</t>
  </si>
  <si>
    <t>checkwin()</t>
  </si>
  <si>
    <t>getFieldRajada()</t>
  </si>
  <si>
    <t>getRajada()</t>
  </si>
  <si>
    <t>main(String[])</t>
  </si>
  <si>
    <t>shotsResult()</t>
  </si>
  <si>
    <t>start()</t>
  </si>
  <si>
    <t>updateBoard()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</si>
  <si>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</si>
  <si>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</si>
  <si>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</si>
  <si>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</si>
  <si>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</si>
  <si>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</si>
  <si>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</si>
  <si>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</si>
  <si>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</si>
  <si>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</si>
  <si>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</si>
  <si>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</si>
  <si>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</si>
  <si>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</si>
  <si>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</si>
  <si>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</si>
  <si>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</si>
  <si>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</si>
  <si>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</si>
  <si>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</si>
  <si>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</si>
  <si>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</si>
  <si>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</si>
  <si>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</si>
  <si>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</si>
  <si>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</si>
  <si>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</si>
  <si>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</si>
  <si>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</si>
  <si>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</si>
  <si>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</si>
  <si>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</si>
  <si>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</si>
  <si>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</si>
  <si>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</si>
  <si>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</si>
  <si>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</si>
  <si>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</si>
  <si>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</si>
  <si>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run(int, GameWindow)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</si>
  <si>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</si>
  <si>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</si>
  <si>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</si>
  <si>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</si>
  <si>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</si>
  <si>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</si>
  <si>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</si>
  <si>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</si>
  <si>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</si>
  <si>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</si>
  <si>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</si>
  <si>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</si>
  <si>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</si>
  <si>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</si>
  <si>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</si>
  <si>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</si>
  <si>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</si>
  <si>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</si>
  <si>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</si>
  <si>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</si>
  <si>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</si>
  <si>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</si>
  <si>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</si>
  <si>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</si>
  <si>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</si>
  <si>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</si>
  <si>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</si>
  <si>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</si>
  <si>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</si>
  <si>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</si>
  <si>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</si>
  <si>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</si>
  <si>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</si>
  <si>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</si>
  <si>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</si>
  <si>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</si>
  <si>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</si>
  <si>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</si>
  <si>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</si>
  <si>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</si>
  <si>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</si>
  <si>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</si>
  <si>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</si>
  <si>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</si>
  <si>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</si>
  <si>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</si>
  <si>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</si>
  <si>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</si>
  <si>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</si>
  <si>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</si>
  <si>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</si>
  <si>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</si>
  <si>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</si>
  <si>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</si>
  <si>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</si>
  <si>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</si>
  <si>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</si>
  <si>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</si>
  <si>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</si>
  <si>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</si>
  <si>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</si>
  <si>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</si>
  <si>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</si>
  <si>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</si>
  <si>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</si>
  <si>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</si>
  <si>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</si>
  <si>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</si>
  <si>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</si>
  <si>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</si>
  <si>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27,0</t>
  </si>
  <si>
    <t>12198,3903</t>
  </si>
  <si>
    <t>0,1766</t>
  </si>
  <si>
    <t>93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</si>
  <si>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</si>
  <si>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</si>
  <si>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</si>
  <si>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</si>
  <si>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</si>
  <si>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</si>
  <si>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</si>
  <si>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</si>
  <si>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</si>
  <si>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</si>
  <si>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</si>
  <si>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</si>
  <si>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</si>
  <si>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</si>
  <si>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</si>
  <si>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</si>
  <si>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</si>
  <si>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</si>
  <si>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</si>
  <si>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</si>
  <si>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</si>
  <si>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</si>
  <si>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</si>
  <si>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</si>
  <si>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</si>
  <si>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</si>
  <si>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</si>
  <si>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10,2857</t>
  </si>
  <si>
    <t>1092,3242</t>
  </si>
  <si>
    <t>0,0354</t>
  </si>
  <si>
    <t>106,1982</t>
  </si>
  <si>
    <t>55,9276</t>
  </si>
  <si>
    <t>0,6667</t>
  </si>
  <si>
    <t>10,2143</t>
  </si>
  <si>
    <t>1103,6352</t>
  </si>
  <si>
    <t>0,0356</t>
  </si>
  <si>
    <t>108,0482</t>
  </si>
  <si>
    <t>59,3475</t>
  </si>
  <si>
    <t>14,375</t>
  </si>
  <si>
    <t>2597,3573</t>
  </si>
  <si>
    <t>0,063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</si>
  <si>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</si>
  <si>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</si>
  <si>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</si>
  <si>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</si>
  <si>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</si>
  <si>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</si>
  <si>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</si>
  <si>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</si>
  <si>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</si>
  <si>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</si>
  <si>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</si>
  <si>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</si>
  <si>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</si>
  <si>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</si>
  <si>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</si>
  <si>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</si>
  <si>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</si>
  <si>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</si>
  <si>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</si>
  <si>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</si>
  <si>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</si>
  <si>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</si>
  <si>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</si>
  <si>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</si>
  <si>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</si>
  <si>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</si>
  <si>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</si>
  <si>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</si>
  <si>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</si>
  <si>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</si>
  <si>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</si>
  <si>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</si>
  <si>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</si>
  <si>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</si>
  <si>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</si>
  <si>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</si>
  <si>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</si>
  <si>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</si>
  <si>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</si>
  <si>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</si>
  <si>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</si>
  <si>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</si>
  <si>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</si>
  <si>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</si>
  <si>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</si>
  <si>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</si>
  <si>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</si>
  <si>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41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</si>
  <si>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</si>
  <si>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</si>
  <si>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</si>
  <si>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</si>
  <si>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</si>
  <si>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</si>
  <si>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</si>
  <si>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</si>
  <si>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</si>
  <si>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</si>
  <si>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</si>
  <si>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</si>
  <si>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</si>
  <si>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</si>
  <si>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</si>
  <si>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</si>
  <si>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</si>
  <si>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</si>
  <si>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</si>
  <si>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</si>
  <si>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</si>
  <si>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</si>
  <si>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</si>
  <si>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</si>
  <si>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</si>
  <si>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</si>
  <si>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</si>
  <si>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</si>
  <si>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</si>
  <si>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</si>
  <si>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</si>
  <si>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</si>
  <si>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49,1287</t>
  </si>
  <si>
    <t>0,0045</t>
  </si>
  <si>
    <t>19,6515</t>
  </si>
  <si>
    <t>74,0716</t>
  </si>
  <si>
    <t>16,8077</t>
  </si>
  <si>
    <t>3865,7692</t>
  </si>
  <si>
    <t>0,0821</t>
  </si>
  <si>
    <t>32</t>
  </si>
  <si>
    <t>230,0</t>
  </si>
  <si>
    <t>48,854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</si>
  <si>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</si>
  <si>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</si>
  <si>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</si>
  <si>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</si>
  <si>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</si>
  <si>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</si>
  <si>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</si>
  <si>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</si>
  <si>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16,4348</t>
  </si>
  <si>
    <t>6251,5644</t>
  </si>
  <si>
    <t>0,1131</t>
  </si>
  <si>
    <t>71</t>
  </si>
  <si>
    <t>380,3862</t>
  </si>
  <si>
    <t>0,8571</t>
  </si>
  <si>
    <t>48,8866</t>
  </si>
  <si>
    <t>22,2353</t>
  </si>
  <si>
    <t>10685,3272</t>
  </si>
  <si>
    <t>0,1617</t>
  </si>
  <si>
    <t>97</t>
  </si>
  <si>
    <t>480,557</t>
  </si>
  <si>
    <t>50,4903</t>
  </si>
  <si>
    <t>14,7727</t>
  </si>
  <si>
    <t>2980,2256</t>
  </si>
  <si>
    <t>44</t>
  </si>
  <si>
    <t>201,7384</t>
  </si>
  <si>
    <t>59,3117</t>
  </si>
  <si>
    <t>11,1429</t>
  </si>
  <si>
    <t>1396,6002</t>
  </si>
  <si>
    <t>0,0416</t>
  </si>
  <si>
    <t>125,3359</t>
  </si>
  <si>
    <t>64,2851</t>
  </si>
  <si>
    <t>0,5294</t>
  </si>
  <si>
    <t>44,175</t>
  </si>
  <si>
    <t>30570,6855</t>
  </si>
  <si>
    <t>0,3259</t>
  </si>
  <si>
    <t>122</t>
  </si>
  <si>
    <t>692,0359</t>
  </si>
  <si>
    <t>47</t>
  </si>
  <si>
    <t>43,3288</t>
  </si>
  <si>
    <t>0,2857</t>
  </si>
  <si>
    <t>26,1</t>
  </si>
  <si>
    <t>9570,285</t>
  </si>
  <si>
    <t>0,1503</t>
  </si>
  <si>
    <t>366,6776</t>
  </si>
  <si>
    <t>46,4</t>
  </si>
  <si>
    <t>5,25</t>
  </si>
  <si>
    <t>348,69</t>
  </si>
  <si>
    <t>0,0165</t>
  </si>
  <si>
    <t>66,4171</t>
  </si>
  <si>
    <t>67,4118</t>
  </si>
  <si>
    <t>0,6154</t>
  </si>
  <si>
    <t>12,3214</t>
  </si>
  <si>
    <t>5215,028</t>
  </si>
  <si>
    <t>0,1002</t>
  </si>
  <si>
    <t>423,2487</t>
  </si>
  <si>
    <t>51,5025</t>
  </si>
  <si>
    <t>0,64</t>
  </si>
  <si>
    <t>41,6</t>
  </si>
  <si>
    <t>59017,1844</t>
  </si>
  <si>
    <t>0,5053</t>
  </si>
  <si>
    <t>214</t>
  </si>
  <si>
    <t>1418,6823</t>
  </si>
  <si>
    <t>84</t>
  </si>
  <si>
    <t>0,5263</t>
  </si>
  <si>
    <t>35,6008</t>
  </si>
  <si>
    <t>9,5</t>
  </si>
  <si>
    <t>1393,8286</t>
  </si>
  <si>
    <t>146,7188</t>
  </si>
  <si>
    <t>63,9361</t>
  </si>
  <si>
    <t>6,0952</t>
  </si>
  <si>
    <t>1214,0326</t>
  </si>
  <si>
    <t>0,0379</t>
  </si>
  <si>
    <t>199,1772</t>
  </si>
  <si>
    <t>56,5209</t>
  </si>
  <si>
    <t>4677,581</t>
  </si>
  <si>
    <t>0,0932</t>
  </si>
  <si>
    <t>311,8387</t>
  </si>
  <si>
    <t>53,9486</t>
  </si>
  <si>
    <t>85,3765</t>
  </si>
  <si>
    <t>38,7744</t>
  </si>
  <si>
    <t>0,0038</t>
  </si>
  <si>
    <t>15,5098</t>
  </si>
  <si>
    <t>78,6317</t>
  </si>
  <si>
    <t>0,5833</t>
  </si>
  <si>
    <t>19,9375</t>
  </si>
  <si>
    <t>6905,6166</t>
  </si>
  <si>
    <t>0,1209</t>
  </si>
  <si>
    <t>346,3632</t>
  </si>
  <si>
    <t>55,807</t>
  </si>
  <si>
    <t>2,6667</t>
  </si>
  <si>
    <t>59,8902</t>
  </si>
  <si>
    <t>0,0051</t>
  </si>
  <si>
    <t>22,4588</t>
  </si>
  <si>
    <t>77,467</t>
  </si>
  <si>
    <t>50,3226</t>
  </si>
  <si>
    <t>57313,7893</t>
  </si>
  <si>
    <t>0,4955</t>
  </si>
  <si>
    <t>1138,9279</t>
  </si>
  <si>
    <t>41,4692</t>
  </si>
  <si>
    <t>3,0</t>
  </si>
  <si>
    <t>6,75</t>
  </si>
  <si>
    <t>827,7112</t>
  </si>
  <si>
    <t>0,0294</t>
  </si>
  <si>
    <t>122,6239</t>
  </si>
  <si>
    <t>63,4841</t>
  </si>
  <si>
    <t>25,7727</t>
  </si>
  <si>
    <t>12878,8683</t>
  </si>
  <si>
    <t>0,1831</t>
  </si>
  <si>
    <t>89</t>
  </si>
  <si>
    <t>499,7092</t>
  </si>
  <si>
    <t>42,4827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</si>
  <si>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</si>
  <si>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</si>
  <si>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</si>
  <si>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</si>
  <si>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</si>
  <si>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</si>
  <si>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</si>
  <si>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</si>
  <si>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</si>
  <si>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</si>
  <si>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2434,2132</t>
  </si>
  <si>
    <t>29,6898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</si>
  <si>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</si>
  <si>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</si>
  <si>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</si>
  <si>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</si>
  <si>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</si>
  <si>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</si>
  <si>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</si>
  <si>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</si>
  <si>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</si>
  <si>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</si>
  <si>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</si>
  <si>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</si>
  <si>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</si>
  <si>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</si>
  <si>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2867,3511</t>
  </si>
  <si>
    <t>0,0673</t>
  </si>
  <si>
    <t>191,1567</t>
  </si>
  <si>
    <t>51,9797</t>
  </si>
  <si>
    <t>780,0</t>
  </si>
  <si>
    <t>0,0282</t>
  </si>
  <si>
    <t>104,0</t>
  </si>
  <si>
    <t>58,3078</t>
  </si>
  <si>
    <t>31,0196</t>
  </si>
  <si>
    <t>0,0033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</si>
  <si>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</si>
  <si>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</si>
  <si>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</si>
  <si>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</si>
  <si>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</si>
  <si>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</si>
  <si>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</si>
  <si>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</si>
  <si>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</si>
  <si>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</si>
  <si>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</si>
  <si>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</si>
  <si>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</si>
  <si>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</si>
  <si>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</si>
  <si>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</si>
  <si>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</si>
  <si>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</si>
  <si>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</si>
  <si>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</si>
  <si>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</si>
  <si>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</si>
  <si>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</si>
  <si>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</si>
  <si>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</si>
  <si>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</si>
  <si>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0,6364</t>
  </si>
  <si>
    <t>11,9</t>
  </si>
  <si>
    <t>2261,0</t>
  </si>
  <si>
    <t>0,0574</t>
  </si>
  <si>
    <t>190,0</t>
  </si>
  <si>
    <t>58,9493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</si>
  <si>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</si>
  <si>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</si>
  <si>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</si>
  <si>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</si>
  <si>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</si>
  <si>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</si>
  <si>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</si>
  <si>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</si>
  <si>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</si>
  <si>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</si>
  <si>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</si>
  <si>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</si>
  <si>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</si>
  <si>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</si>
  <si>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</si>
  <si>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</si>
  <si>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</si>
  <si>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</si>
  <si>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</si>
  <si>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</si>
  <si>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</si>
  <si>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</si>
  <si>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</si>
  <si>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</si>
  <si>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</si>
  <si>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11,375</t>
  </si>
  <si>
    <t>1069,3825</t>
  </si>
  <si>
    <t>0,0349</t>
  </si>
  <si>
    <t>94,0116</t>
  </si>
  <si>
    <t>69,0231</t>
  </si>
  <si>
    <t>10,5</t>
  </si>
  <si>
    <t>1089,1259</t>
  </si>
  <si>
    <t>0,0353</t>
  </si>
  <si>
    <t>103,7263</t>
  </si>
  <si>
    <t>57,3777</t>
  </si>
  <si>
    <t>0,25</t>
  </si>
  <si>
    <t>10,0</t>
  </si>
  <si>
    <t>629,0748</t>
  </si>
  <si>
    <t>0,0245</t>
  </si>
  <si>
    <t>62,9075</t>
  </si>
  <si>
    <t>58,459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</si>
  <si>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</si>
  <si>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</si>
  <si>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</si>
  <si>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</si>
  <si>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</si>
  <si>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</si>
  <si>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</si>
  <si>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</si>
  <si>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</si>
  <si>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</si>
  <si>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</si>
  <si>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</si>
  <si>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</si>
  <si>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</si>
  <si>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</si>
  <si>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</si>
  <si>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</si>
  <si>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</si>
  <si>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</si>
  <si>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</si>
  <si>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</si>
  <si>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</si>
  <si>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</si>
  <si>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</si>
  <si>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0,4706</t>
  </si>
  <si>
    <t>55,2391</t>
  </si>
  <si>
    <t>49081,3651</t>
  </si>
  <si>
    <t>0,4468</t>
  </si>
  <si>
    <t>153</t>
  </si>
  <si>
    <t>888,5253</t>
  </si>
  <si>
    <t>74</t>
  </si>
  <si>
    <t>0,8333</t>
  </si>
  <si>
    <t>38,1769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</si>
  <si>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</si>
  <si>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</si>
  <si>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</si>
  <si>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</si>
  <si>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</si>
  <si>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</si>
  <si>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</si>
  <si>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</si>
  <si>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</si>
  <si>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</si>
  <si>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48,9793</t>
  </si>
  <si>
    <t>344,1564</t>
  </si>
  <si>
    <t>57,3594</t>
  </si>
  <si>
    <t>64,1641</t>
  </si>
  <si>
    <t>7,8571</t>
  </si>
  <si>
    <t>720,8013</t>
  </si>
  <si>
    <t>0,0268</t>
  </si>
  <si>
    <t>91,7384</t>
  </si>
  <si>
    <t>61,2812</t>
  </si>
  <si>
    <t>18,6667</t>
  </si>
  <si>
    <t>3814,1539</t>
  </si>
  <si>
    <t>0,0814</t>
  </si>
  <si>
    <t>204,3297</t>
  </si>
  <si>
    <t>55,6923</t>
  </si>
  <si>
    <t>0,5625</t>
  </si>
  <si>
    <t>49,4706</t>
  </si>
  <si>
    <t>35796,2555</t>
  </si>
  <si>
    <t>0,3621</t>
  </si>
  <si>
    <t>131</t>
  </si>
  <si>
    <t>723,5866</t>
  </si>
  <si>
    <t>41,62</t>
  </si>
  <si>
    <t>0,3636</t>
  </si>
  <si>
    <t>34,5</t>
  </si>
  <si>
    <t>8790,2485</t>
  </si>
  <si>
    <t>0,142</t>
  </si>
  <si>
    <t>254,7898</t>
  </si>
  <si>
    <t>52,7437</t>
  </si>
  <si>
    <t>81,3571</t>
  </si>
  <si>
    <t>127,8942</t>
  </si>
  <si>
    <t>0,0085</t>
  </si>
  <si>
    <t>17,4167</t>
  </si>
  <si>
    <t>5716,0727</t>
  </si>
  <si>
    <t>0,1066</t>
  </si>
  <si>
    <t>63</t>
  </si>
  <si>
    <t>328,1956</t>
  </si>
  <si>
    <t>53,8167</t>
  </si>
  <si>
    <t>0,5172</t>
  </si>
  <si>
    <t>39,4167</t>
  </si>
  <si>
    <t>32798,5712</t>
  </si>
  <si>
    <t>0,3415</t>
  </si>
  <si>
    <t>132</t>
  </si>
  <si>
    <t>832,0991</t>
  </si>
  <si>
    <t>62</t>
  </si>
  <si>
    <t>0,1429</t>
  </si>
  <si>
    <t>40,1586</t>
  </si>
  <si>
    <t>0,0032</t>
  </si>
  <si>
    <t>71,2222</t>
  </si>
  <si>
    <t>77,9128</t>
  </si>
  <si>
    <t>24,0625</t>
  </si>
  <si>
    <t>11761,1466</t>
  </si>
  <si>
    <t>0,1724</t>
  </si>
  <si>
    <t>488,7749</t>
  </si>
  <si>
    <t>46,4733</t>
  </si>
  <si>
    <t>0,4737</t>
  </si>
  <si>
    <t>32,4103</t>
  </si>
  <si>
    <t>25910,9345</t>
  </si>
  <si>
    <t>0,2919</t>
  </si>
  <si>
    <t>799,4671</t>
  </si>
  <si>
    <t>0,1579</t>
  </si>
  <si>
    <t>40,5536</t>
  </si>
  <si>
    <t>0,7143</t>
  </si>
  <si>
    <t>13,975</t>
  </si>
  <si>
    <t>4511,7061</t>
  </si>
  <si>
    <t>0,091</t>
  </si>
  <si>
    <t>322,8412</t>
  </si>
  <si>
    <t>0,0909</t>
  </si>
  <si>
    <t>50,3228</t>
  </si>
  <si>
    <t>4,2</t>
  </si>
  <si>
    <t>188,885</t>
  </si>
  <si>
    <t>0,011</t>
  </si>
  <si>
    <t>70,0576</t>
  </si>
  <si>
    <t>188,0233</t>
  </si>
  <si>
    <t>0,875</t>
  </si>
  <si>
    <t>65,3683</t>
  </si>
  <si>
    <t>95,7844</t>
  </si>
  <si>
    <t>93,6766</t>
  </si>
  <si>
    <t>33,6883</t>
  </si>
  <si>
    <t>0,0035</t>
  </si>
  <si>
    <t>ShotResult</t>
  </si>
  <si>
    <t>ErrorResponse</t>
  </si>
  <si>
    <t>RegistrationRequest</t>
  </si>
  <si>
    <t>RegistrationResponse</t>
  </si>
  <si>
    <t>ShotPosition</t>
  </si>
  <si>
    <t>ShotRequest</t>
  </si>
  <si>
    <t>ShotResponse</t>
  </si>
  <si>
    <t>4,0</t>
  </si>
  <si>
    <t>75,8679</t>
  </si>
  <si>
    <t>41,3594</t>
  </si>
  <si>
    <t>0,004</t>
  </si>
  <si>
    <t>90,8902</t>
  </si>
  <si>
    <t>7,9248</t>
  </si>
  <si>
    <t>16,0</t>
  </si>
  <si>
    <t>6,3399</t>
  </si>
  <si>
    <t>ShotResult(boolean, boolean, IShip, boolean)</t>
  </si>
  <si>
    <t>repeated()</t>
  </si>
  <si>
    <t>ship()</t>
  </si>
  <si>
    <t>sunk()</t>
  </si>
  <si>
    <t>valid()</t>
  </si>
  <si>
    <t>ErrorResponse(String)</t>
  </si>
  <si>
    <t>ID</t>
  </si>
  <si>
    <t>Método</t>
  </si>
  <si>
    <t>CC NORM</t>
  </si>
  <si>
    <t>NOPM NORM</t>
  </si>
  <si>
    <t>LOC NORM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</si>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</sst>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3" borderId="1" xfId="0" applyNumberFormat="1" applyFont="1" applyFill="1" applyBorder="1"/>
    <xf numFmtId="49" fontId="0" fillId="2" borderId="1" xfId="0" applyNumberFormat="1" applyFont="1" applyFill="1" applyBorder="1"/>
    <xf numFmtId="49" fontId="0" fillId="2" borderId="2" xfId="0" applyNumberFormat="1" applyFont="1" applyFill="1" applyBorder="1"/>
    <xf numFmtId="49" fontId="0" fillId="3" borderId="2" xfId="0" applyNumberFormat="1" applyFont="1" applyFill="1" applyBorder="1"/>
    <xf numFmtId="49" fontId="0" fillId="2" borderId="3" xfId="0" applyNumberFormat="1" applyFont="1" applyFill="1" applyBorder="1"/>
    <xf numFmtId="49" fontId="0" fillId="2" borderId="4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maxOccurs="unbounded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maxOccurs="unbounded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xmlMaps" Target="xmlMap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Gráfico P9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'Metricas Final'!$B$2:$B$169</c:f>
              <c:strCache>
                <c:ptCount val="16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buildShip(String, Compass, Position)</c:v>
                </c:pt>
                <c:pt idx="4">
                  <c:v>sendShots(GameSession, List&lt;IPosition&gt;)</c:v>
                </c:pt>
                <c:pt idx="5">
                  <c:v>evaluateShots(List&lt;IPosition&gt;, IGame, GameSession)</c:v>
                </c:pt>
                <c:pt idx="6">
                  <c:v>Ship(String, Compass, IPosition, int)</c:v>
                </c:pt>
                <c:pt idx="7">
                  <c:v>computeShots(IGame)</c:v>
                </c:pt>
                <c:pt idx="8">
                  <c:v>menu()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addComponentsMenu()</c:v>
                </c:pt>
                <c:pt idx="12">
                  <c:v>getHitButNotSunkPositions(IGame, Set&lt;IPosition&gt;)</c:v>
                </c:pt>
                <c:pt idx="13">
                  <c:v>Caravel(Compass, IPosition)</c:v>
                </c:pt>
                <c:pt idx="14">
                  <c:v>Carrack(Compass, IPosition)</c:v>
                </c:pt>
                <c:pt idx="15">
                  <c:v>Frigate(Compass, IPosition)</c:v>
                </c:pt>
                <c:pt idx="16">
                  <c:v>botaoNeon(String, String, String)</c:v>
                </c:pt>
                <c:pt idx="17">
                  <c:v>Move(int, List&lt;IPosition&gt;, List&lt;ShotResult&gt;)</c:v>
                </c:pt>
                <c:pt idx="18">
                  <c:v>fireSingleShot(IPosition, boolean)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main(String[])</c:v>
                </c:pt>
                <c:pt idx="26">
                  <c:v>printShips(IFleet, char[][])</c:v>
                </c:pt>
                <c:pt idx="27">
                  <c:v>readClassicPosition(Scanner)</c:v>
                </c:pt>
                <c:pt idx="28">
                  <c:v>run(int, GameWindow)</c:v>
                </c:pt>
                <c:pt idx="29">
                  <c:v>readMove(int, Scanner)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charToCompass(char)</c:v>
                </c:pt>
                <c:pt idx="33">
                  <c:v>randomEnemyFire()</c:v>
                </c:pt>
                <c:pt idx="34">
                  <c:v>Barge(Compass, IPosition)</c:v>
                </c:pt>
                <c:pt idx="35">
                  <c:v>jsonShots(List&lt;IPosition&gt;)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fireShots(List&lt;IPosition&gt;)</c:v>
                </c:pt>
                <c:pt idx="43">
                  <c:v>updateBoard()</c:v>
                </c:pt>
                <c:pt idx="44">
                  <c:v>buildFleet(Scanner)</c:v>
                </c:pt>
                <c:pt idx="45">
                  <c:v>addShip(IShip)</c:v>
                </c:pt>
                <c:pt idx="46">
                  <c:v>equals(Object)</c:v>
                </c:pt>
                <c:pt idx="47">
                  <c:v>getShipsLike(String)</c:v>
                </c:pt>
                <c:pt idx="48">
                  <c:v>shipAt(IPosition)</c:v>
                </c:pt>
                <c:pt idx="49">
                  <c:v>colisionRisk(IShip)</c:v>
                </c:pt>
                <c:pt idx="50">
                  <c:v>fillSouth(IPosition)</c:v>
                </c:pt>
                <c:pt idx="51">
                  <c:v>getLeftMostPos()</c:v>
                </c:pt>
                <c:pt idx="52">
                  <c:v>fillEast(IPosition)</c:v>
                </c:pt>
                <c:pt idx="53">
                  <c:v>fillNorth(IPosition)</c:v>
                </c:pt>
                <c:pt idx="54">
                  <c:v>fillWest(IPosition)</c:v>
                </c:pt>
                <c:pt idx="55">
                  <c:v>repeatedShot(IPosition)</c:v>
                </c:pt>
                <c:pt idx="56">
                  <c:v>printShips(List&lt;IShip&gt;)</c:v>
                </c:pt>
                <c:pt idx="57">
                  <c:v>getAdjacentPositions()</c:v>
                </c:pt>
                <c:pt idx="58">
                  <c:v>readShip(Scanner)</c:v>
                </c:pt>
                <c:pt idx="59">
                  <c:v>Game(IFleet)</c:v>
                </c:pt>
                <c:pt idx="60">
                  <c:v>getTopMostPos()</c:v>
                </c:pt>
                <c:pt idx="61">
                  <c:v>readPosition(Scanner)</c:v>
                </c:pt>
                <c:pt idx="62">
                  <c:v>printShipsByCategory(String)</c:v>
                </c:pt>
                <c:pt idx="63">
                  <c:v>Compass(char)</c:v>
                </c:pt>
                <c:pt idx="64">
                  <c:v>getBottomMostPos()</c:v>
                </c:pt>
                <c:pt idx="65">
                  <c:v>main(String[])</c:v>
                </c:pt>
                <c:pt idx="66">
                  <c:v>getSession(String)</c:v>
                </c:pt>
                <c:pt idx="67">
                  <c:v>removeSession(String)</c:v>
                </c:pt>
                <c:pt idx="68">
                  <c:v>createRandom()</c:v>
                </c:pt>
                <c:pt idx="69">
                  <c:v>isInside()</c:v>
                </c:pt>
                <c:pt idx="70">
                  <c:v>adjacentPositions()</c:v>
                </c:pt>
                <c:pt idx="71">
                  <c:v>ErrorResponse(String)</c:v>
                </c:pt>
                <c:pt idx="72">
                  <c:v>getRightMostPos()</c:v>
                </c:pt>
                <c:pt idx="73">
                  <c:v>checkwin()</c:v>
                </c:pt>
                <c:pt idx="74">
                  <c:v>valueOf(String)</c:v>
                </c:pt>
                <c:pt idx="75">
                  <c:v>processEnemyFire(boolean)</c:v>
                </c:pt>
                <c:pt idx="76">
                  <c:v>equals(Object)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shoot(IPosition)</c:v>
                </c:pt>
                <c:pt idx="80">
                  <c:v>tooCloseTo(IPosition)</c:v>
                </c:pt>
                <c:pt idx="81">
                  <c:v>tooCloseTo(IShip)</c:v>
                </c:pt>
                <c:pt idx="82">
                  <c:v>shoot(IPosition)</c:v>
                </c:pt>
                <c:pt idx="83">
                  <c:v>tooCloseTo(IShip)</c:v>
                </c:pt>
                <c:pt idx="84">
                  <c:v>occupies(IPosition)</c:v>
                </c:pt>
                <c:pt idx="85">
                  <c:v>tooCloseTo(IPosition)</c:v>
                </c:pt>
                <c:pt idx="86">
                  <c:v>getFloatingShips()</c:v>
                </c:pt>
                <c:pt idx="87">
                  <c:v>getSunkShips()</c:v>
                </c:pt>
                <c:pt idx="88">
                  <c:v>stillFloating()</c:v>
                </c:pt>
                <c:pt idx="89">
                  <c:v>randomPosition()</c:v>
                </c:pt>
                <c:pt idx="90">
                  <c:v>GameWindow()</c:v>
                </c:pt>
                <c:pt idx="91">
                  <c:v>isAdjacentTo(IPosition)</c:v>
                </c:pt>
                <c:pt idx="92">
                  <c:v>shotsResult()</c:v>
                </c:pt>
                <c:pt idx="93">
                  <c:v>sink()</c:v>
                </c:pt>
                <c:pt idx="94">
                  <c:v>menuHelp()</c:v>
                </c:pt>
                <c:pt idx="95">
                  <c:v>printStatus()</c:v>
                </c:pt>
                <c:pt idx="96">
                  <c:v>addComponentsTabuleiro()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getDirection()</c:v>
                </c:pt>
                <c:pt idx="101">
                  <c:v>hashCode()</c:v>
                </c:pt>
                <c:pt idx="102">
                  <c:v>Fleet()</c:v>
                </c:pt>
                <c:pt idx="103">
                  <c:v>printAllShips()</c:v>
                </c:pt>
                <c:pt idx="104">
                  <c:v>printFloatingShips()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CallbackClient()</c:v>
                </c:pt>
                <c:pt idx="108">
                  <c:v>getAlienFleet()</c:v>
                </c:pt>
                <c:pt idx="109">
                  <c:v>getAlienMoves()</c:v>
                </c:pt>
                <c:pt idx="110">
                  <c:v>getHits()</c:v>
                </c:pt>
                <c:pt idx="111">
                  <c:v>getInvalidShots()</c:v>
                </c:pt>
                <c:pt idx="112">
                  <c:v>getMyFleet()</c:v>
                </c:pt>
                <c:pt idx="113">
                  <c:v>getMyMoves()</c:v>
                </c:pt>
                <c:pt idx="114">
                  <c:v>getRepeatedShots()</c:v>
                </c:pt>
                <c:pt idx="115">
                  <c:v>getSunkShips()</c:v>
                </c:pt>
                <c:pt idx="116">
                  <c:v>start()</c:v>
                </c:pt>
                <c:pt idx="117">
                  <c:v>markAiWins()</c:v>
                </c:pt>
                <c:pt idx="118">
                  <c:v>markStudentWins()</c:v>
                </c:pt>
                <c:pt idx="119">
                  <c:v>getFieldRajada()</c:v>
                </c:pt>
                <c:pt idx="120">
                  <c:v>getRajada()</c:v>
                </c:pt>
                <c:pt idx="121">
                  <c:v>getCallbackUrl()</c:v>
                </c:pt>
                <c:pt idx="122">
                  <c:v>getGame()</c:v>
                </c:pt>
                <c:pt idx="123">
                  <c:v>getGameId()</c:v>
                </c:pt>
                <c:pt idx="124">
                  <c:v>getPlayerName()</c:v>
                </c:pt>
                <c:pt idx="125">
                  <c:v>getShotsPerTurn()</c:v>
                </c:pt>
                <c:pt idx="126">
                  <c:v>getWinner()</c:v>
                </c:pt>
                <c:pt idx="127">
                  <c:v>isGameOver()</c:v>
                </c:pt>
                <c:pt idx="128">
                  <c:v>repeated()</c:v>
                </c:pt>
                <c:pt idx="129">
                  <c:v>ship()</c:v>
                </c:pt>
                <c:pt idx="130">
                  <c:v>sunk()</c:v>
                </c:pt>
                <c:pt idx="131">
                  <c:v>valid()</c:v>
                </c:pt>
                <c:pt idx="132">
                  <c:v>values()</c:v>
                </c:pt>
                <c:pt idx="133">
                  <c:v>addShip(IShip)</c:v>
                </c:pt>
                <c:pt idx="134">
                  <c:v>getFloatingShips()</c:v>
                </c:pt>
                <c:pt idx="135">
                  <c:v>getShipsLike(String)</c:v>
                </c:pt>
                <c:pt idx="136">
                  <c:v>shipAt(IPosition)</c:v>
                </c:pt>
                <c:pt idx="137">
                  <c:v>fireShots(List&lt;IPosition&gt;)</c:v>
                </c:pt>
                <c:pt idx="138">
                  <c:v>fireSingleShot(IPosition, boolean)</c:v>
                </c:pt>
                <c:pt idx="139">
                  <c:v>randomEnemyFire()</c:v>
                </c:pt>
                <c:pt idx="140">
                  <c:v>readEnemyFire(Scanner)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adjacentPositions()</c:v>
                </c:pt>
                <c:pt idx="145">
                  <c:v>getClassicColumn()</c:v>
                </c:pt>
                <c:pt idx="146">
                  <c:v>getClassicRow()</c:v>
                </c:pt>
                <c:pt idx="147">
                  <c:v>getColumn()</c:v>
                </c:pt>
                <c:pt idx="148">
                  <c:v>getRow()</c:v>
                </c:pt>
                <c:pt idx="149">
                  <c:v>isHit()</c:v>
                </c:pt>
                <c:pt idx="150">
                  <c:v>isInside()</c:v>
                </c:pt>
                <c:pt idx="151">
                  <c:v>isOccupied()</c:v>
                </c:pt>
                <c:pt idx="152">
                  <c:v>occupy()</c:v>
                </c:pt>
                <c:pt idx="153">
                  <c:v>shoot()</c:v>
                </c:pt>
                <c:pt idx="154">
                  <c:v>getAdjacentPositions()</c:v>
                </c:pt>
                <c:pt idx="155">
                  <c:v>getBearing()</c:v>
                </c:pt>
                <c:pt idx="156">
                  <c:v>getBottomMostPos()</c:v>
                </c:pt>
                <c:pt idx="157">
                  <c:v>getCategory()</c:v>
                </c:pt>
                <c:pt idx="158">
                  <c:v>getLeftMostPos()</c:v>
                </c:pt>
                <c:pt idx="159">
                  <c:v>getPosition()</c:v>
                </c:pt>
                <c:pt idx="160">
                  <c:v>getPositions()</c:v>
                </c:pt>
                <c:pt idx="161">
                  <c:v>getRightMostPos()</c:v>
                </c:pt>
                <c:pt idx="162">
                  <c:v>getSize()</c:v>
                </c:pt>
                <c:pt idx="163">
                  <c:v>getTopMostPos()</c:v>
                </c:pt>
                <c:pt idx="164">
                  <c:v>isInsideBoard()</c:v>
                </c:pt>
                <c:pt idx="165">
                  <c:v>sink()</c:v>
                </c:pt>
                <c:pt idx="166">
                  <c:v>stillFloating()</c:v>
                </c:pt>
                <c:pt idx="167">
                  <c:v>isInsideBoard()</c:v>
                </c:pt>
              </c:strCache>
            </c:strRef>
          </c:cat>
          <c:val>
            <c:numRef>
              <c:f>'Metricas Final'!$C$2:$C$169</c:f>
              <c:numCache>
                <c:formatCode>General</c:formatCode>
                <c:ptCount val="168"/>
                <c:pt idx="0">
                  <c:v>37</c:v>
                </c:pt>
                <c:pt idx="1">
                  <c:v>5</c:v>
                </c:pt>
                <c:pt idx="2">
                  <c:v>12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1</c:v>
                </c:pt>
                <c:pt idx="7">
                  <c:v>19</c:v>
                </c:pt>
                <c:pt idx="8">
                  <c:v>20</c:v>
                </c:pt>
                <c:pt idx="9">
                  <c:v>1</c:v>
                </c:pt>
                <c:pt idx="10">
                  <c:v>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11</c:v>
                </c:pt>
                <c:pt idx="26">
                  <c:v>5</c:v>
                </c:pt>
                <c:pt idx="27">
                  <c:v>8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6</c:v>
                </c:pt>
                <c:pt idx="33">
                  <c:v>10</c:v>
                </c:pt>
                <c:pt idx="34">
                  <c:v>1</c:v>
                </c:pt>
                <c:pt idx="35">
                  <c:v>3</c:v>
                </c:pt>
                <c:pt idx="36">
                  <c:v>5</c:v>
                </c:pt>
                <c:pt idx="37">
                  <c:v>6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7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5</c:v>
                </c:pt>
                <c:pt idx="58">
                  <c:v>1</c:v>
                </c:pt>
                <c:pt idx="59">
                  <c:v>1</c:v>
                </c:pt>
                <c:pt idx="60">
                  <c:v>7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3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3</c:v>
                </c:pt>
                <c:pt idx="73">
                  <c:v>5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E-433E-968F-7CDE7CC09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17039"/>
        <c:axId val="1353097120"/>
      </c:barChart>
      <c:catAx>
        <c:axId val="4391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53097120"/>
        <c:crosses val="autoZero"/>
        <c:auto val="1"/>
        <c:lblAlgn val="ctr"/>
        <c:lblOffset val="100"/>
        <c:noMultiLvlLbl val="0"/>
      </c:catAx>
      <c:valAx>
        <c:axId val="13530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391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CC + NOPM + LOC normalizados, por método P10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'Metricas Final'!$B$2:$B$169</c:f>
              <c:strCache>
                <c:ptCount val="16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buildShip(String, Compass, Position)</c:v>
                </c:pt>
                <c:pt idx="4">
                  <c:v>sendShots(GameSession, List&lt;IPosition&gt;)</c:v>
                </c:pt>
                <c:pt idx="5">
                  <c:v>evaluateShots(List&lt;IPosition&gt;, IGame, GameSession)</c:v>
                </c:pt>
                <c:pt idx="6">
                  <c:v>Ship(String, Compass, IPosition, int)</c:v>
                </c:pt>
                <c:pt idx="7">
                  <c:v>computeShots(IGame)</c:v>
                </c:pt>
                <c:pt idx="8">
                  <c:v>menu()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addComponentsMenu()</c:v>
                </c:pt>
                <c:pt idx="12">
                  <c:v>getHitButNotSunkPositions(IGame, Set&lt;IPosition&gt;)</c:v>
                </c:pt>
                <c:pt idx="13">
                  <c:v>Caravel(Compass, IPosition)</c:v>
                </c:pt>
                <c:pt idx="14">
                  <c:v>Carrack(Compass, IPosition)</c:v>
                </c:pt>
                <c:pt idx="15">
                  <c:v>Frigate(Compass, IPosition)</c:v>
                </c:pt>
                <c:pt idx="16">
                  <c:v>botaoNeon(String, String, String)</c:v>
                </c:pt>
                <c:pt idx="17">
                  <c:v>Move(int, List&lt;IPosition&gt;, List&lt;ShotResult&gt;)</c:v>
                </c:pt>
                <c:pt idx="18">
                  <c:v>fireSingleShot(IPosition, boolean)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main(String[])</c:v>
                </c:pt>
                <c:pt idx="26">
                  <c:v>printShips(IFleet, char[][])</c:v>
                </c:pt>
                <c:pt idx="27">
                  <c:v>readClassicPosition(Scanner)</c:v>
                </c:pt>
                <c:pt idx="28">
                  <c:v>run(int, GameWindow)</c:v>
                </c:pt>
                <c:pt idx="29">
                  <c:v>readMove(int, Scanner)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charToCompass(char)</c:v>
                </c:pt>
                <c:pt idx="33">
                  <c:v>randomEnemyFire()</c:v>
                </c:pt>
                <c:pt idx="34">
                  <c:v>Barge(Compass, IPosition)</c:v>
                </c:pt>
                <c:pt idx="35">
                  <c:v>jsonShots(List&lt;IPosition&gt;)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fireShots(List&lt;IPosition&gt;)</c:v>
                </c:pt>
                <c:pt idx="43">
                  <c:v>updateBoard()</c:v>
                </c:pt>
                <c:pt idx="44">
                  <c:v>buildFleet(Scanner)</c:v>
                </c:pt>
                <c:pt idx="45">
                  <c:v>addShip(IShip)</c:v>
                </c:pt>
                <c:pt idx="46">
                  <c:v>equals(Object)</c:v>
                </c:pt>
                <c:pt idx="47">
                  <c:v>getShipsLike(String)</c:v>
                </c:pt>
                <c:pt idx="48">
                  <c:v>shipAt(IPosition)</c:v>
                </c:pt>
                <c:pt idx="49">
                  <c:v>colisionRisk(IShip)</c:v>
                </c:pt>
                <c:pt idx="50">
                  <c:v>fillSouth(IPosition)</c:v>
                </c:pt>
                <c:pt idx="51">
                  <c:v>getLeftMostPos()</c:v>
                </c:pt>
                <c:pt idx="52">
                  <c:v>fillEast(IPosition)</c:v>
                </c:pt>
                <c:pt idx="53">
                  <c:v>fillNorth(IPosition)</c:v>
                </c:pt>
                <c:pt idx="54">
                  <c:v>fillWest(IPosition)</c:v>
                </c:pt>
                <c:pt idx="55">
                  <c:v>repeatedShot(IPosition)</c:v>
                </c:pt>
                <c:pt idx="56">
                  <c:v>printShips(List&lt;IShip&gt;)</c:v>
                </c:pt>
                <c:pt idx="57">
                  <c:v>getAdjacentPositions()</c:v>
                </c:pt>
                <c:pt idx="58">
                  <c:v>readShip(Scanner)</c:v>
                </c:pt>
                <c:pt idx="59">
                  <c:v>Game(IFleet)</c:v>
                </c:pt>
                <c:pt idx="60">
                  <c:v>getTopMostPos()</c:v>
                </c:pt>
                <c:pt idx="61">
                  <c:v>readPosition(Scanner)</c:v>
                </c:pt>
                <c:pt idx="62">
                  <c:v>printShipsByCategory(String)</c:v>
                </c:pt>
                <c:pt idx="63">
                  <c:v>Compass(char)</c:v>
                </c:pt>
                <c:pt idx="64">
                  <c:v>getBottomMostPos()</c:v>
                </c:pt>
                <c:pt idx="65">
                  <c:v>main(String[])</c:v>
                </c:pt>
                <c:pt idx="66">
                  <c:v>getSession(String)</c:v>
                </c:pt>
                <c:pt idx="67">
                  <c:v>removeSession(String)</c:v>
                </c:pt>
                <c:pt idx="68">
                  <c:v>createRandom()</c:v>
                </c:pt>
                <c:pt idx="69">
                  <c:v>isInside()</c:v>
                </c:pt>
                <c:pt idx="70">
                  <c:v>adjacentPositions()</c:v>
                </c:pt>
                <c:pt idx="71">
                  <c:v>ErrorResponse(String)</c:v>
                </c:pt>
                <c:pt idx="72">
                  <c:v>getRightMostPos()</c:v>
                </c:pt>
                <c:pt idx="73">
                  <c:v>checkwin()</c:v>
                </c:pt>
                <c:pt idx="74">
                  <c:v>valueOf(String)</c:v>
                </c:pt>
                <c:pt idx="75">
                  <c:v>processEnemyFire(boolean)</c:v>
                </c:pt>
                <c:pt idx="76">
                  <c:v>equals(Object)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shoot(IPosition)</c:v>
                </c:pt>
                <c:pt idx="80">
                  <c:v>tooCloseTo(IPosition)</c:v>
                </c:pt>
                <c:pt idx="81">
                  <c:v>tooCloseTo(IShip)</c:v>
                </c:pt>
                <c:pt idx="82">
                  <c:v>shoot(IPosition)</c:v>
                </c:pt>
                <c:pt idx="83">
                  <c:v>tooCloseTo(IShip)</c:v>
                </c:pt>
                <c:pt idx="84">
                  <c:v>occupies(IPosition)</c:v>
                </c:pt>
                <c:pt idx="85">
                  <c:v>tooCloseTo(IPosition)</c:v>
                </c:pt>
                <c:pt idx="86">
                  <c:v>getFloatingShips()</c:v>
                </c:pt>
                <c:pt idx="87">
                  <c:v>getSunkShips()</c:v>
                </c:pt>
                <c:pt idx="88">
                  <c:v>stillFloating()</c:v>
                </c:pt>
                <c:pt idx="89">
                  <c:v>randomPosition()</c:v>
                </c:pt>
                <c:pt idx="90">
                  <c:v>GameWindow()</c:v>
                </c:pt>
                <c:pt idx="91">
                  <c:v>isAdjacentTo(IPosition)</c:v>
                </c:pt>
                <c:pt idx="92">
                  <c:v>shotsResult()</c:v>
                </c:pt>
                <c:pt idx="93">
                  <c:v>sink()</c:v>
                </c:pt>
                <c:pt idx="94">
                  <c:v>menuHelp()</c:v>
                </c:pt>
                <c:pt idx="95">
                  <c:v>printStatus()</c:v>
                </c:pt>
                <c:pt idx="96">
                  <c:v>addComponentsTabuleiro()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getDirection()</c:v>
                </c:pt>
                <c:pt idx="101">
                  <c:v>hashCode()</c:v>
                </c:pt>
                <c:pt idx="102">
                  <c:v>Fleet()</c:v>
                </c:pt>
                <c:pt idx="103">
                  <c:v>printAllShips()</c:v>
                </c:pt>
                <c:pt idx="104">
                  <c:v>printFloatingShips()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CallbackClient()</c:v>
                </c:pt>
                <c:pt idx="108">
                  <c:v>getAlienFleet()</c:v>
                </c:pt>
                <c:pt idx="109">
                  <c:v>getAlienMoves()</c:v>
                </c:pt>
                <c:pt idx="110">
                  <c:v>getHits()</c:v>
                </c:pt>
                <c:pt idx="111">
                  <c:v>getInvalidShots()</c:v>
                </c:pt>
                <c:pt idx="112">
                  <c:v>getMyFleet()</c:v>
                </c:pt>
                <c:pt idx="113">
                  <c:v>getMyMoves()</c:v>
                </c:pt>
                <c:pt idx="114">
                  <c:v>getRepeatedShots()</c:v>
                </c:pt>
                <c:pt idx="115">
                  <c:v>getSunkShips()</c:v>
                </c:pt>
                <c:pt idx="116">
                  <c:v>start()</c:v>
                </c:pt>
                <c:pt idx="117">
                  <c:v>markAiWins()</c:v>
                </c:pt>
                <c:pt idx="118">
                  <c:v>markStudentWins()</c:v>
                </c:pt>
                <c:pt idx="119">
                  <c:v>getFieldRajada()</c:v>
                </c:pt>
                <c:pt idx="120">
                  <c:v>getRajada()</c:v>
                </c:pt>
                <c:pt idx="121">
                  <c:v>getCallbackUrl()</c:v>
                </c:pt>
                <c:pt idx="122">
                  <c:v>getGame()</c:v>
                </c:pt>
                <c:pt idx="123">
                  <c:v>getGameId()</c:v>
                </c:pt>
                <c:pt idx="124">
                  <c:v>getPlayerName()</c:v>
                </c:pt>
                <c:pt idx="125">
                  <c:v>getShotsPerTurn()</c:v>
                </c:pt>
                <c:pt idx="126">
                  <c:v>getWinner()</c:v>
                </c:pt>
                <c:pt idx="127">
                  <c:v>isGameOver()</c:v>
                </c:pt>
                <c:pt idx="128">
                  <c:v>repeated()</c:v>
                </c:pt>
                <c:pt idx="129">
                  <c:v>ship()</c:v>
                </c:pt>
                <c:pt idx="130">
                  <c:v>sunk()</c:v>
                </c:pt>
                <c:pt idx="131">
                  <c:v>valid()</c:v>
                </c:pt>
                <c:pt idx="132">
                  <c:v>values()</c:v>
                </c:pt>
                <c:pt idx="133">
                  <c:v>addShip(IShip)</c:v>
                </c:pt>
                <c:pt idx="134">
                  <c:v>getFloatingShips()</c:v>
                </c:pt>
                <c:pt idx="135">
                  <c:v>getShipsLike(String)</c:v>
                </c:pt>
                <c:pt idx="136">
                  <c:v>shipAt(IPosition)</c:v>
                </c:pt>
                <c:pt idx="137">
                  <c:v>fireShots(List&lt;IPosition&gt;)</c:v>
                </c:pt>
                <c:pt idx="138">
                  <c:v>fireSingleShot(IPosition, boolean)</c:v>
                </c:pt>
                <c:pt idx="139">
                  <c:v>randomEnemyFire()</c:v>
                </c:pt>
                <c:pt idx="140">
                  <c:v>readEnemyFire(Scanner)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adjacentPositions()</c:v>
                </c:pt>
                <c:pt idx="145">
                  <c:v>getClassicColumn()</c:v>
                </c:pt>
                <c:pt idx="146">
                  <c:v>getClassicRow()</c:v>
                </c:pt>
                <c:pt idx="147">
                  <c:v>getColumn()</c:v>
                </c:pt>
                <c:pt idx="148">
                  <c:v>getRow()</c:v>
                </c:pt>
                <c:pt idx="149">
                  <c:v>isHit()</c:v>
                </c:pt>
                <c:pt idx="150">
                  <c:v>isInside()</c:v>
                </c:pt>
                <c:pt idx="151">
                  <c:v>isOccupied()</c:v>
                </c:pt>
                <c:pt idx="152">
                  <c:v>occupy()</c:v>
                </c:pt>
                <c:pt idx="153">
                  <c:v>shoot()</c:v>
                </c:pt>
                <c:pt idx="154">
                  <c:v>getAdjacentPositions()</c:v>
                </c:pt>
                <c:pt idx="155">
                  <c:v>getBearing()</c:v>
                </c:pt>
                <c:pt idx="156">
                  <c:v>getBottomMostPos()</c:v>
                </c:pt>
                <c:pt idx="157">
                  <c:v>getCategory()</c:v>
                </c:pt>
                <c:pt idx="158">
                  <c:v>getLeftMostPos()</c:v>
                </c:pt>
                <c:pt idx="159">
                  <c:v>getPosition()</c:v>
                </c:pt>
                <c:pt idx="160">
                  <c:v>getPositions()</c:v>
                </c:pt>
                <c:pt idx="161">
                  <c:v>getRightMostPos()</c:v>
                </c:pt>
                <c:pt idx="162">
                  <c:v>getSize()</c:v>
                </c:pt>
                <c:pt idx="163">
                  <c:v>getTopMostPos()</c:v>
                </c:pt>
                <c:pt idx="164">
                  <c:v>isInsideBoard()</c:v>
                </c:pt>
                <c:pt idx="165">
                  <c:v>sink()</c:v>
                </c:pt>
                <c:pt idx="166">
                  <c:v>stillFloating()</c:v>
                </c:pt>
                <c:pt idx="167">
                  <c:v>isInsideBoard()</c:v>
                </c:pt>
              </c:strCache>
            </c:strRef>
          </c:cat>
          <c:val>
            <c:numRef>
              <c:f>'Metricas Final'!$F$2:$F$169</c:f>
              <c:numCache>
                <c:formatCode>General</c:formatCode>
                <c:ptCount val="168"/>
                <c:pt idx="0">
                  <c:v>1</c:v>
                </c:pt>
                <c:pt idx="1">
                  <c:v>0.13513513513513514</c:v>
                </c:pt>
                <c:pt idx="2">
                  <c:v>0.32432432432432434</c:v>
                </c:pt>
                <c:pt idx="3">
                  <c:v>0.1891891891891892</c:v>
                </c:pt>
                <c:pt idx="4">
                  <c:v>0.24324324324324326</c:v>
                </c:pt>
                <c:pt idx="5">
                  <c:v>0.16216216216216217</c:v>
                </c:pt>
                <c:pt idx="6">
                  <c:v>2.7027027027027029E-2</c:v>
                </c:pt>
                <c:pt idx="7">
                  <c:v>0.51351351351351349</c:v>
                </c:pt>
                <c:pt idx="8">
                  <c:v>0.54054054054054057</c:v>
                </c:pt>
                <c:pt idx="9">
                  <c:v>2.7027027027027029E-2</c:v>
                </c:pt>
                <c:pt idx="10">
                  <c:v>0.10810810810810811</c:v>
                </c:pt>
                <c:pt idx="11">
                  <c:v>0.3783783783783784</c:v>
                </c:pt>
                <c:pt idx="12">
                  <c:v>0.27027027027027029</c:v>
                </c:pt>
                <c:pt idx="13">
                  <c:v>0.24324324324324326</c:v>
                </c:pt>
                <c:pt idx="14">
                  <c:v>0.24324324324324326</c:v>
                </c:pt>
                <c:pt idx="15">
                  <c:v>0.24324324324324326</c:v>
                </c:pt>
                <c:pt idx="16">
                  <c:v>2.7027027027027029E-2</c:v>
                </c:pt>
                <c:pt idx="17">
                  <c:v>2.7027027027027029E-2</c:v>
                </c:pt>
                <c:pt idx="18">
                  <c:v>0.16216216216216217</c:v>
                </c:pt>
                <c:pt idx="19">
                  <c:v>2.7027027027027029E-2</c:v>
                </c:pt>
                <c:pt idx="20">
                  <c:v>2.7027027027027029E-2</c:v>
                </c:pt>
                <c:pt idx="21">
                  <c:v>0.13513513513513514</c:v>
                </c:pt>
                <c:pt idx="22">
                  <c:v>0.16216216216216217</c:v>
                </c:pt>
                <c:pt idx="23">
                  <c:v>0.1891891891891892</c:v>
                </c:pt>
                <c:pt idx="24">
                  <c:v>0.16216216216216217</c:v>
                </c:pt>
                <c:pt idx="25">
                  <c:v>0.29729729729729731</c:v>
                </c:pt>
                <c:pt idx="26">
                  <c:v>0.13513513513513514</c:v>
                </c:pt>
                <c:pt idx="27">
                  <c:v>0.21621621621621623</c:v>
                </c:pt>
                <c:pt idx="28">
                  <c:v>5.4054054054054057E-2</c:v>
                </c:pt>
                <c:pt idx="29">
                  <c:v>5.4054054054054057E-2</c:v>
                </c:pt>
                <c:pt idx="30">
                  <c:v>2.7027027027027029E-2</c:v>
                </c:pt>
                <c:pt idx="31">
                  <c:v>2.7027027027027029E-2</c:v>
                </c:pt>
                <c:pt idx="32">
                  <c:v>0.16216216216216217</c:v>
                </c:pt>
                <c:pt idx="33">
                  <c:v>0.27027027027027029</c:v>
                </c:pt>
                <c:pt idx="34">
                  <c:v>2.7027027027027029E-2</c:v>
                </c:pt>
                <c:pt idx="35">
                  <c:v>8.1081081081081086E-2</c:v>
                </c:pt>
                <c:pt idx="36">
                  <c:v>0.13513513513513514</c:v>
                </c:pt>
                <c:pt idx="37">
                  <c:v>0.16216216216216217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2.7027027027027029E-2</c:v>
                </c:pt>
                <c:pt idx="41">
                  <c:v>2.7027027027027029E-2</c:v>
                </c:pt>
                <c:pt idx="42">
                  <c:v>8.1081081081081086E-2</c:v>
                </c:pt>
                <c:pt idx="43">
                  <c:v>0.1891891891891892</c:v>
                </c:pt>
                <c:pt idx="44">
                  <c:v>0.10810810810810811</c:v>
                </c:pt>
                <c:pt idx="45">
                  <c:v>0.10810810810810811</c:v>
                </c:pt>
                <c:pt idx="46">
                  <c:v>0.10810810810810811</c:v>
                </c:pt>
                <c:pt idx="47">
                  <c:v>8.1081081081081086E-2</c:v>
                </c:pt>
                <c:pt idx="48">
                  <c:v>8.1081081081081086E-2</c:v>
                </c:pt>
                <c:pt idx="49">
                  <c:v>8.1081081081081086E-2</c:v>
                </c:pt>
                <c:pt idx="50">
                  <c:v>8.1081081081081086E-2</c:v>
                </c:pt>
                <c:pt idx="51">
                  <c:v>8.1081081081081086E-2</c:v>
                </c:pt>
                <c:pt idx="52">
                  <c:v>5.4054054054054057E-2</c:v>
                </c:pt>
                <c:pt idx="53">
                  <c:v>5.4054054054054057E-2</c:v>
                </c:pt>
                <c:pt idx="54">
                  <c:v>5.4054054054054057E-2</c:v>
                </c:pt>
                <c:pt idx="55">
                  <c:v>8.1081081081081086E-2</c:v>
                </c:pt>
                <c:pt idx="56">
                  <c:v>5.4054054054054057E-2</c:v>
                </c:pt>
                <c:pt idx="57">
                  <c:v>0.13513513513513514</c:v>
                </c:pt>
                <c:pt idx="58">
                  <c:v>2.7027027027027029E-2</c:v>
                </c:pt>
                <c:pt idx="59">
                  <c:v>2.7027027027027029E-2</c:v>
                </c:pt>
                <c:pt idx="60">
                  <c:v>0.1891891891891892</c:v>
                </c:pt>
                <c:pt idx="61">
                  <c:v>2.7027027027027029E-2</c:v>
                </c:pt>
                <c:pt idx="62">
                  <c:v>2.7027027027027029E-2</c:v>
                </c:pt>
                <c:pt idx="63">
                  <c:v>2.7027027027027029E-2</c:v>
                </c:pt>
                <c:pt idx="64">
                  <c:v>8.1081081081081086E-2</c:v>
                </c:pt>
                <c:pt idx="65">
                  <c:v>2.7027027027027029E-2</c:v>
                </c:pt>
                <c:pt idx="66">
                  <c:v>2.7027027027027029E-2</c:v>
                </c:pt>
                <c:pt idx="67">
                  <c:v>2.7027027027027029E-2</c:v>
                </c:pt>
                <c:pt idx="68">
                  <c:v>0.10810810810810811</c:v>
                </c:pt>
                <c:pt idx="69">
                  <c:v>0.10810810810810811</c:v>
                </c:pt>
                <c:pt idx="70">
                  <c:v>8.1081081081081086E-2</c:v>
                </c:pt>
                <c:pt idx="71">
                  <c:v>2.7027027027027029E-2</c:v>
                </c:pt>
                <c:pt idx="72">
                  <c:v>8.1081081081081086E-2</c:v>
                </c:pt>
                <c:pt idx="73">
                  <c:v>0.13513513513513514</c:v>
                </c:pt>
                <c:pt idx="74">
                  <c:v>2.7027027027027029E-2</c:v>
                </c:pt>
                <c:pt idx="75">
                  <c:v>2.7027027027027029E-2</c:v>
                </c:pt>
                <c:pt idx="76">
                  <c:v>2.7027027027027029E-2</c:v>
                </c:pt>
                <c:pt idx="77">
                  <c:v>2.7027027027027029E-2</c:v>
                </c:pt>
                <c:pt idx="78">
                  <c:v>2.7027027027027029E-2</c:v>
                </c:pt>
                <c:pt idx="79">
                  <c:v>2.7027027027027029E-2</c:v>
                </c:pt>
                <c:pt idx="80">
                  <c:v>2.7027027027027029E-2</c:v>
                </c:pt>
                <c:pt idx="81">
                  <c:v>2.7027027027027029E-2</c:v>
                </c:pt>
                <c:pt idx="82">
                  <c:v>8.1081081081081086E-2</c:v>
                </c:pt>
                <c:pt idx="83">
                  <c:v>8.1081081081081086E-2</c:v>
                </c:pt>
                <c:pt idx="84">
                  <c:v>8.1081081081081086E-2</c:v>
                </c:pt>
                <c:pt idx="85">
                  <c:v>8.1081081081081086E-2</c:v>
                </c:pt>
                <c:pt idx="86">
                  <c:v>8.1081081081081086E-2</c:v>
                </c:pt>
                <c:pt idx="87">
                  <c:v>8.1081081081081086E-2</c:v>
                </c:pt>
                <c:pt idx="88">
                  <c:v>8.1081081081081086E-2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5.4054054054054057E-2</c:v>
                </c:pt>
                <c:pt idx="92">
                  <c:v>8.1081081081081086E-2</c:v>
                </c:pt>
                <c:pt idx="93">
                  <c:v>5.4054054054054057E-2</c:v>
                </c:pt>
                <c:pt idx="94">
                  <c:v>2.7027027027027029E-2</c:v>
                </c:pt>
                <c:pt idx="95">
                  <c:v>2.7027027027027029E-2</c:v>
                </c:pt>
                <c:pt idx="96">
                  <c:v>5.4054054054054057E-2</c:v>
                </c:pt>
                <c:pt idx="97">
                  <c:v>2.7027027027027029E-2</c:v>
                </c:pt>
                <c:pt idx="98">
                  <c:v>2.7027027027027029E-2</c:v>
                </c:pt>
                <c:pt idx="99">
                  <c:v>2.7027027027027029E-2</c:v>
                </c:pt>
                <c:pt idx="100">
                  <c:v>2.7027027027027029E-2</c:v>
                </c:pt>
                <c:pt idx="101">
                  <c:v>2.7027027027027029E-2</c:v>
                </c:pt>
                <c:pt idx="102">
                  <c:v>2.7027027027027029E-2</c:v>
                </c:pt>
                <c:pt idx="103">
                  <c:v>2.7027027027027029E-2</c:v>
                </c:pt>
                <c:pt idx="104">
                  <c:v>2.7027027027027029E-2</c:v>
                </c:pt>
                <c:pt idx="105">
                  <c:v>2.7027027027027029E-2</c:v>
                </c:pt>
                <c:pt idx="106">
                  <c:v>2.7027027027027029E-2</c:v>
                </c:pt>
                <c:pt idx="107">
                  <c:v>2.7027027027027029E-2</c:v>
                </c:pt>
                <c:pt idx="108">
                  <c:v>2.7027027027027029E-2</c:v>
                </c:pt>
                <c:pt idx="109">
                  <c:v>2.7027027027027029E-2</c:v>
                </c:pt>
                <c:pt idx="110">
                  <c:v>2.7027027027027029E-2</c:v>
                </c:pt>
                <c:pt idx="111">
                  <c:v>2.7027027027027029E-2</c:v>
                </c:pt>
                <c:pt idx="112">
                  <c:v>2.7027027027027029E-2</c:v>
                </c:pt>
                <c:pt idx="113">
                  <c:v>2.7027027027027029E-2</c:v>
                </c:pt>
                <c:pt idx="114">
                  <c:v>2.7027027027027029E-2</c:v>
                </c:pt>
                <c:pt idx="115">
                  <c:v>2.7027027027027029E-2</c:v>
                </c:pt>
                <c:pt idx="116">
                  <c:v>2.7027027027027029E-2</c:v>
                </c:pt>
                <c:pt idx="117">
                  <c:v>2.7027027027027029E-2</c:v>
                </c:pt>
                <c:pt idx="118">
                  <c:v>2.7027027027027029E-2</c:v>
                </c:pt>
                <c:pt idx="119">
                  <c:v>2.7027027027027029E-2</c:v>
                </c:pt>
                <c:pt idx="120">
                  <c:v>2.7027027027027029E-2</c:v>
                </c:pt>
                <c:pt idx="121">
                  <c:v>2.7027027027027029E-2</c:v>
                </c:pt>
                <c:pt idx="122">
                  <c:v>2.7027027027027029E-2</c:v>
                </c:pt>
                <c:pt idx="123">
                  <c:v>2.7027027027027029E-2</c:v>
                </c:pt>
                <c:pt idx="124">
                  <c:v>2.7027027027027029E-2</c:v>
                </c:pt>
                <c:pt idx="125">
                  <c:v>2.7027027027027029E-2</c:v>
                </c:pt>
                <c:pt idx="126">
                  <c:v>2.7027027027027029E-2</c:v>
                </c:pt>
                <c:pt idx="127">
                  <c:v>2.7027027027027029E-2</c:v>
                </c:pt>
                <c:pt idx="128">
                  <c:v>2.7027027027027029E-2</c:v>
                </c:pt>
                <c:pt idx="129">
                  <c:v>2.7027027027027029E-2</c:v>
                </c:pt>
                <c:pt idx="130">
                  <c:v>2.7027027027027029E-2</c:v>
                </c:pt>
                <c:pt idx="131">
                  <c:v>2.7027027027027029E-2</c:v>
                </c:pt>
                <c:pt idx="132">
                  <c:v>2.7027027027027029E-2</c:v>
                </c:pt>
                <c:pt idx="133">
                  <c:v>2.7027027027027029E-2</c:v>
                </c:pt>
                <c:pt idx="134">
                  <c:v>2.7027027027027029E-2</c:v>
                </c:pt>
                <c:pt idx="135">
                  <c:v>2.7027027027027029E-2</c:v>
                </c:pt>
                <c:pt idx="136">
                  <c:v>2.7027027027027029E-2</c:v>
                </c:pt>
                <c:pt idx="137">
                  <c:v>2.7027027027027029E-2</c:v>
                </c:pt>
                <c:pt idx="138">
                  <c:v>2.7027027027027029E-2</c:v>
                </c:pt>
                <c:pt idx="139">
                  <c:v>2.7027027027027029E-2</c:v>
                </c:pt>
                <c:pt idx="140">
                  <c:v>2.7027027027027029E-2</c:v>
                </c:pt>
                <c:pt idx="141">
                  <c:v>2.7027027027027029E-2</c:v>
                </c:pt>
                <c:pt idx="142">
                  <c:v>2.7027027027027029E-2</c:v>
                </c:pt>
                <c:pt idx="143">
                  <c:v>2.7027027027027029E-2</c:v>
                </c:pt>
                <c:pt idx="144">
                  <c:v>2.7027027027027029E-2</c:v>
                </c:pt>
                <c:pt idx="145">
                  <c:v>2.7027027027027029E-2</c:v>
                </c:pt>
                <c:pt idx="146">
                  <c:v>2.7027027027027029E-2</c:v>
                </c:pt>
                <c:pt idx="147">
                  <c:v>2.7027027027027029E-2</c:v>
                </c:pt>
                <c:pt idx="148">
                  <c:v>2.7027027027027029E-2</c:v>
                </c:pt>
                <c:pt idx="149">
                  <c:v>2.7027027027027029E-2</c:v>
                </c:pt>
                <c:pt idx="150">
                  <c:v>2.7027027027027029E-2</c:v>
                </c:pt>
                <c:pt idx="151">
                  <c:v>2.7027027027027029E-2</c:v>
                </c:pt>
                <c:pt idx="152">
                  <c:v>2.7027027027027029E-2</c:v>
                </c:pt>
                <c:pt idx="153">
                  <c:v>2.7027027027027029E-2</c:v>
                </c:pt>
                <c:pt idx="154">
                  <c:v>2.7027027027027029E-2</c:v>
                </c:pt>
                <c:pt idx="155">
                  <c:v>2.7027027027027029E-2</c:v>
                </c:pt>
                <c:pt idx="156">
                  <c:v>2.7027027027027029E-2</c:v>
                </c:pt>
                <c:pt idx="157">
                  <c:v>2.7027027027027029E-2</c:v>
                </c:pt>
                <c:pt idx="158">
                  <c:v>2.7027027027027029E-2</c:v>
                </c:pt>
                <c:pt idx="159">
                  <c:v>2.7027027027027029E-2</c:v>
                </c:pt>
                <c:pt idx="160">
                  <c:v>2.7027027027027029E-2</c:v>
                </c:pt>
                <c:pt idx="161">
                  <c:v>2.7027027027027029E-2</c:v>
                </c:pt>
                <c:pt idx="162">
                  <c:v>2.7027027027027029E-2</c:v>
                </c:pt>
                <c:pt idx="163">
                  <c:v>2.7027027027027029E-2</c:v>
                </c:pt>
                <c:pt idx="164">
                  <c:v>2.7027027027027029E-2</c:v>
                </c:pt>
                <c:pt idx="165">
                  <c:v>2.7027027027027029E-2</c:v>
                </c:pt>
                <c:pt idx="166">
                  <c:v>2.7027027027027029E-2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7-44F2-86F5-E0029AFD710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'Metricas Final'!$B$2:$B$169</c:f>
              <c:strCache>
                <c:ptCount val="16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buildShip(String, Compass, Position)</c:v>
                </c:pt>
                <c:pt idx="4">
                  <c:v>sendShots(GameSession, List&lt;IPosition&gt;)</c:v>
                </c:pt>
                <c:pt idx="5">
                  <c:v>evaluateShots(List&lt;IPosition&gt;, IGame, GameSession)</c:v>
                </c:pt>
                <c:pt idx="6">
                  <c:v>Ship(String, Compass, IPosition, int)</c:v>
                </c:pt>
                <c:pt idx="7">
                  <c:v>computeShots(IGame)</c:v>
                </c:pt>
                <c:pt idx="8">
                  <c:v>menu()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addComponentsMenu()</c:v>
                </c:pt>
                <c:pt idx="12">
                  <c:v>getHitButNotSunkPositions(IGame, Set&lt;IPosition&gt;)</c:v>
                </c:pt>
                <c:pt idx="13">
                  <c:v>Caravel(Compass, IPosition)</c:v>
                </c:pt>
                <c:pt idx="14">
                  <c:v>Carrack(Compass, IPosition)</c:v>
                </c:pt>
                <c:pt idx="15">
                  <c:v>Frigate(Compass, IPosition)</c:v>
                </c:pt>
                <c:pt idx="16">
                  <c:v>botaoNeon(String, String, String)</c:v>
                </c:pt>
                <c:pt idx="17">
                  <c:v>Move(int, List&lt;IPosition&gt;, List&lt;ShotResult&gt;)</c:v>
                </c:pt>
                <c:pt idx="18">
                  <c:v>fireSingleShot(IPosition, boolean)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main(String[])</c:v>
                </c:pt>
                <c:pt idx="26">
                  <c:v>printShips(IFleet, char[][])</c:v>
                </c:pt>
                <c:pt idx="27">
                  <c:v>readClassicPosition(Scanner)</c:v>
                </c:pt>
                <c:pt idx="28">
                  <c:v>run(int, GameWindow)</c:v>
                </c:pt>
                <c:pt idx="29">
                  <c:v>readMove(int, Scanner)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charToCompass(char)</c:v>
                </c:pt>
                <c:pt idx="33">
                  <c:v>randomEnemyFire()</c:v>
                </c:pt>
                <c:pt idx="34">
                  <c:v>Barge(Compass, IPosition)</c:v>
                </c:pt>
                <c:pt idx="35">
                  <c:v>jsonShots(List&lt;IPosition&gt;)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fireShots(List&lt;IPosition&gt;)</c:v>
                </c:pt>
                <c:pt idx="43">
                  <c:v>updateBoard()</c:v>
                </c:pt>
                <c:pt idx="44">
                  <c:v>buildFleet(Scanner)</c:v>
                </c:pt>
                <c:pt idx="45">
                  <c:v>addShip(IShip)</c:v>
                </c:pt>
                <c:pt idx="46">
                  <c:v>equals(Object)</c:v>
                </c:pt>
                <c:pt idx="47">
                  <c:v>getShipsLike(String)</c:v>
                </c:pt>
                <c:pt idx="48">
                  <c:v>shipAt(IPosition)</c:v>
                </c:pt>
                <c:pt idx="49">
                  <c:v>colisionRisk(IShip)</c:v>
                </c:pt>
                <c:pt idx="50">
                  <c:v>fillSouth(IPosition)</c:v>
                </c:pt>
                <c:pt idx="51">
                  <c:v>getLeftMostPos()</c:v>
                </c:pt>
                <c:pt idx="52">
                  <c:v>fillEast(IPosition)</c:v>
                </c:pt>
                <c:pt idx="53">
                  <c:v>fillNorth(IPosition)</c:v>
                </c:pt>
                <c:pt idx="54">
                  <c:v>fillWest(IPosition)</c:v>
                </c:pt>
                <c:pt idx="55">
                  <c:v>repeatedShot(IPosition)</c:v>
                </c:pt>
                <c:pt idx="56">
                  <c:v>printShips(List&lt;IShip&gt;)</c:v>
                </c:pt>
                <c:pt idx="57">
                  <c:v>getAdjacentPositions()</c:v>
                </c:pt>
                <c:pt idx="58">
                  <c:v>readShip(Scanner)</c:v>
                </c:pt>
                <c:pt idx="59">
                  <c:v>Game(IFleet)</c:v>
                </c:pt>
                <c:pt idx="60">
                  <c:v>getTopMostPos()</c:v>
                </c:pt>
                <c:pt idx="61">
                  <c:v>readPosition(Scanner)</c:v>
                </c:pt>
                <c:pt idx="62">
                  <c:v>printShipsByCategory(String)</c:v>
                </c:pt>
                <c:pt idx="63">
                  <c:v>Compass(char)</c:v>
                </c:pt>
                <c:pt idx="64">
                  <c:v>getBottomMostPos()</c:v>
                </c:pt>
                <c:pt idx="65">
                  <c:v>main(String[])</c:v>
                </c:pt>
                <c:pt idx="66">
                  <c:v>getSession(String)</c:v>
                </c:pt>
                <c:pt idx="67">
                  <c:v>removeSession(String)</c:v>
                </c:pt>
                <c:pt idx="68">
                  <c:v>createRandom()</c:v>
                </c:pt>
                <c:pt idx="69">
                  <c:v>isInside()</c:v>
                </c:pt>
                <c:pt idx="70">
                  <c:v>adjacentPositions()</c:v>
                </c:pt>
                <c:pt idx="71">
                  <c:v>ErrorResponse(String)</c:v>
                </c:pt>
                <c:pt idx="72">
                  <c:v>getRightMostPos()</c:v>
                </c:pt>
                <c:pt idx="73">
                  <c:v>checkwin()</c:v>
                </c:pt>
                <c:pt idx="74">
                  <c:v>valueOf(String)</c:v>
                </c:pt>
                <c:pt idx="75">
                  <c:v>processEnemyFire(boolean)</c:v>
                </c:pt>
                <c:pt idx="76">
                  <c:v>equals(Object)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shoot(IPosition)</c:v>
                </c:pt>
                <c:pt idx="80">
                  <c:v>tooCloseTo(IPosition)</c:v>
                </c:pt>
                <c:pt idx="81">
                  <c:v>tooCloseTo(IShip)</c:v>
                </c:pt>
                <c:pt idx="82">
                  <c:v>shoot(IPosition)</c:v>
                </c:pt>
                <c:pt idx="83">
                  <c:v>tooCloseTo(IShip)</c:v>
                </c:pt>
                <c:pt idx="84">
                  <c:v>occupies(IPosition)</c:v>
                </c:pt>
                <c:pt idx="85">
                  <c:v>tooCloseTo(IPosition)</c:v>
                </c:pt>
                <c:pt idx="86">
                  <c:v>getFloatingShips()</c:v>
                </c:pt>
                <c:pt idx="87">
                  <c:v>getSunkShips()</c:v>
                </c:pt>
                <c:pt idx="88">
                  <c:v>stillFloating()</c:v>
                </c:pt>
                <c:pt idx="89">
                  <c:v>randomPosition()</c:v>
                </c:pt>
                <c:pt idx="90">
                  <c:v>GameWindow()</c:v>
                </c:pt>
                <c:pt idx="91">
                  <c:v>isAdjacentTo(IPosition)</c:v>
                </c:pt>
                <c:pt idx="92">
                  <c:v>shotsResult()</c:v>
                </c:pt>
                <c:pt idx="93">
                  <c:v>sink()</c:v>
                </c:pt>
                <c:pt idx="94">
                  <c:v>menuHelp()</c:v>
                </c:pt>
                <c:pt idx="95">
                  <c:v>printStatus()</c:v>
                </c:pt>
                <c:pt idx="96">
                  <c:v>addComponentsTabuleiro()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getDirection()</c:v>
                </c:pt>
                <c:pt idx="101">
                  <c:v>hashCode()</c:v>
                </c:pt>
                <c:pt idx="102">
                  <c:v>Fleet()</c:v>
                </c:pt>
                <c:pt idx="103">
                  <c:v>printAllShips()</c:v>
                </c:pt>
                <c:pt idx="104">
                  <c:v>printFloatingShips()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CallbackClient()</c:v>
                </c:pt>
                <c:pt idx="108">
                  <c:v>getAlienFleet()</c:v>
                </c:pt>
                <c:pt idx="109">
                  <c:v>getAlienMoves()</c:v>
                </c:pt>
                <c:pt idx="110">
                  <c:v>getHits()</c:v>
                </c:pt>
                <c:pt idx="111">
                  <c:v>getInvalidShots()</c:v>
                </c:pt>
                <c:pt idx="112">
                  <c:v>getMyFleet()</c:v>
                </c:pt>
                <c:pt idx="113">
                  <c:v>getMyMoves()</c:v>
                </c:pt>
                <c:pt idx="114">
                  <c:v>getRepeatedShots()</c:v>
                </c:pt>
                <c:pt idx="115">
                  <c:v>getSunkShips()</c:v>
                </c:pt>
                <c:pt idx="116">
                  <c:v>start()</c:v>
                </c:pt>
                <c:pt idx="117">
                  <c:v>markAiWins()</c:v>
                </c:pt>
                <c:pt idx="118">
                  <c:v>markStudentWins()</c:v>
                </c:pt>
                <c:pt idx="119">
                  <c:v>getFieldRajada()</c:v>
                </c:pt>
                <c:pt idx="120">
                  <c:v>getRajada()</c:v>
                </c:pt>
                <c:pt idx="121">
                  <c:v>getCallbackUrl()</c:v>
                </c:pt>
                <c:pt idx="122">
                  <c:v>getGame()</c:v>
                </c:pt>
                <c:pt idx="123">
                  <c:v>getGameId()</c:v>
                </c:pt>
                <c:pt idx="124">
                  <c:v>getPlayerName()</c:v>
                </c:pt>
                <c:pt idx="125">
                  <c:v>getShotsPerTurn()</c:v>
                </c:pt>
                <c:pt idx="126">
                  <c:v>getWinner()</c:v>
                </c:pt>
                <c:pt idx="127">
                  <c:v>isGameOver()</c:v>
                </c:pt>
                <c:pt idx="128">
                  <c:v>repeated()</c:v>
                </c:pt>
                <c:pt idx="129">
                  <c:v>ship()</c:v>
                </c:pt>
                <c:pt idx="130">
                  <c:v>sunk()</c:v>
                </c:pt>
                <c:pt idx="131">
                  <c:v>valid()</c:v>
                </c:pt>
                <c:pt idx="132">
                  <c:v>values()</c:v>
                </c:pt>
                <c:pt idx="133">
                  <c:v>addShip(IShip)</c:v>
                </c:pt>
                <c:pt idx="134">
                  <c:v>getFloatingShips()</c:v>
                </c:pt>
                <c:pt idx="135">
                  <c:v>getShipsLike(String)</c:v>
                </c:pt>
                <c:pt idx="136">
                  <c:v>shipAt(IPosition)</c:v>
                </c:pt>
                <c:pt idx="137">
                  <c:v>fireShots(List&lt;IPosition&gt;)</c:v>
                </c:pt>
                <c:pt idx="138">
                  <c:v>fireSingleShot(IPosition, boolean)</c:v>
                </c:pt>
                <c:pt idx="139">
                  <c:v>randomEnemyFire()</c:v>
                </c:pt>
                <c:pt idx="140">
                  <c:v>readEnemyFire(Scanner)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adjacentPositions()</c:v>
                </c:pt>
                <c:pt idx="145">
                  <c:v>getClassicColumn()</c:v>
                </c:pt>
                <c:pt idx="146">
                  <c:v>getClassicRow()</c:v>
                </c:pt>
                <c:pt idx="147">
                  <c:v>getColumn()</c:v>
                </c:pt>
                <c:pt idx="148">
                  <c:v>getRow()</c:v>
                </c:pt>
                <c:pt idx="149">
                  <c:v>isHit()</c:v>
                </c:pt>
                <c:pt idx="150">
                  <c:v>isInside()</c:v>
                </c:pt>
                <c:pt idx="151">
                  <c:v>isOccupied()</c:v>
                </c:pt>
                <c:pt idx="152">
                  <c:v>occupy()</c:v>
                </c:pt>
                <c:pt idx="153">
                  <c:v>shoot()</c:v>
                </c:pt>
                <c:pt idx="154">
                  <c:v>getAdjacentPositions()</c:v>
                </c:pt>
                <c:pt idx="155">
                  <c:v>getBearing()</c:v>
                </c:pt>
                <c:pt idx="156">
                  <c:v>getBottomMostPos()</c:v>
                </c:pt>
                <c:pt idx="157">
                  <c:v>getCategory()</c:v>
                </c:pt>
                <c:pt idx="158">
                  <c:v>getLeftMostPos()</c:v>
                </c:pt>
                <c:pt idx="159">
                  <c:v>getPosition()</c:v>
                </c:pt>
                <c:pt idx="160">
                  <c:v>getPositions()</c:v>
                </c:pt>
                <c:pt idx="161">
                  <c:v>getRightMostPos()</c:v>
                </c:pt>
                <c:pt idx="162">
                  <c:v>getSize()</c:v>
                </c:pt>
                <c:pt idx="163">
                  <c:v>getTopMostPos()</c:v>
                </c:pt>
                <c:pt idx="164">
                  <c:v>isInsideBoard()</c:v>
                </c:pt>
                <c:pt idx="165">
                  <c:v>sink()</c:v>
                </c:pt>
                <c:pt idx="166">
                  <c:v>stillFloating()</c:v>
                </c:pt>
                <c:pt idx="167">
                  <c:v>isInsideBoard()</c:v>
                </c:pt>
              </c:strCache>
            </c:strRef>
          </c:cat>
          <c:val>
            <c:numRef>
              <c:f>'Metricas Final'!$G$2:$G$169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0.75</c:v>
                </c:pt>
                <c:pt idx="4">
                  <c:v>0.5</c:v>
                </c:pt>
                <c:pt idx="5">
                  <c:v>0.75</c:v>
                </c:pt>
                <c:pt idx="6">
                  <c:v>1</c:v>
                </c:pt>
                <c:pt idx="7">
                  <c:v>0.25</c:v>
                </c:pt>
                <c:pt idx="8">
                  <c:v>0</c:v>
                </c:pt>
                <c:pt idx="9">
                  <c:v>1</c:v>
                </c:pt>
                <c:pt idx="10">
                  <c:v>0.75</c:v>
                </c:pt>
                <c:pt idx="11">
                  <c:v>0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0.75</c:v>
                </c:pt>
                <c:pt idx="20">
                  <c:v>0.75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0.25</c:v>
                </c:pt>
                <c:pt idx="25">
                  <c:v>0</c:v>
                </c:pt>
                <c:pt idx="26">
                  <c:v>0.5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0.25</c:v>
                </c:pt>
                <c:pt idx="33">
                  <c:v>0</c:v>
                </c:pt>
                <c:pt idx="34">
                  <c:v>0.5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0.25</c:v>
                </c:pt>
                <c:pt idx="43">
                  <c:v>0</c:v>
                </c:pt>
                <c:pt idx="44">
                  <c:v>0.25</c:v>
                </c:pt>
                <c:pt idx="45">
                  <c:v>0.25</c:v>
                </c:pt>
                <c:pt idx="46">
                  <c:v>0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0.25</c:v>
                </c:pt>
                <c:pt idx="60">
                  <c:v>0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0.25</c:v>
                </c:pt>
                <c:pt idx="72">
                  <c:v>0</c:v>
                </c:pt>
                <c:pt idx="73">
                  <c:v>0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7-44F2-86F5-E0029AFD710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'Metricas Final'!$B$2:$B$169</c:f>
              <c:strCache>
                <c:ptCount val="16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buildShip(String, Compass, Position)</c:v>
                </c:pt>
                <c:pt idx="4">
                  <c:v>sendShots(GameSession, List&lt;IPosition&gt;)</c:v>
                </c:pt>
                <c:pt idx="5">
                  <c:v>evaluateShots(List&lt;IPosition&gt;, IGame, GameSession)</c:v>
                </c:pt>
                <c:pt idx="6">
                  <c:v>Ship(String, Compass, IPosition, int)</c:v>
                </c:pt>
                <c:pt idx="7">
                  <c:v>computeShots(IGame)</c:v>
                </c:pt>
                <c:pt idx="8">
                  <c:v>menu()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addComponentsMenu()</c:v>
                </c:pt>
                <c:pt idx="12">
                  <c:v>getHitButNotSunkPositions(IGame, Set&lt;IPosition&gt;)</c:v>
                </c:pt>
                <c:pt idx="13">
                  <c:v>Caravel(Compass, IPosition)</c:v>
                </c:pt>
                <c:pt idx="14">
                  <c:v>Carrack(Compass, IPosition)</c:v>
                </c:pt>
                <c:pt idx="15">
                  <c:v>Frigate(Compass, IPosition)</c:v>
                </c:pt>
                <c:pt idx="16">
                  <c:v>botaoNeon(String, String, String)</c:v>
                </c:pt>
                <c:pt idx="17">
                  <c:v>Move(int, List&lt;IPosition&gt;, List&lt;ShotResult&gt;)</c:v>
                </c:pt>
                <c:pt idx="18">
                  <c:v>fireSingleShot(IPosition, boolean)</c:v>
                </c:pt>
                <c:pt idx="19">
                  <c:v>GameSession(String, String, String)</c:v>
                </c:pt>
                <c:pt idx="20">
                  <c:v>GameController(GameRegistry, CallbackClient, AiShotStrategy)</c:v>
                </c:pt>
                <c:pt idx="21">
                  <c:v>Galleon(Compass, IPosition)</c:v>
                </c:pt>
                <c:pt idx="22">
                  <c:v>buildHuntPool(Set&lt;IPosition&gt;, List&lt;IPosition&gt;)</c:v>
                </c:pt>
                <c:pt idx="23">
                  <c:v>printBoardShots(List&lt;IMove&gt;, char[][])</c:v>
                </c:pt>
                <c:pt idx="24">
                  <c:v>readEnemyFire(Scanner)</c:v>
                </c:pt>
                <c:pt idx="25">
                  <c:v>main(String[])</c:v>
                </c:pt>
                <c:pt idx="26">
                  <c:v>printShips(IFleet, char[][])</c:v>
                </c:pt>
                <c:pt idx="27">
                  <c:v>readClassicPosition(Scanner)</c:v>
                </c:pt>
                <c:pt idx="28">
                  <c:v>run(int, GameWindow)</c:v>
                </c:pt>
                <c:pt idx="29">
                  <c:v>readMove(int, Scanner)</c:v>
                </c:pt>
                <c:pt idx="30">
                  <c:v>Position(char, int)</c:v>
                </c:pt>
                <c:pt idx="31">
                  <c:v>Position(int, int)</c:v>
                </c:pt>
                <c:pt idx="32">
                  <c:v>charToCompass(char)</c:v>
                </c:pt>
                <c:pt idx="33">
                  <c:v>randomEnemyFire()</c:v>
                </c:pt>
                <c:pt idx="34">
                  <c:v>Barge(Compass, IPosition)</c:v>
                </c:pt>
                <c:pt idx="35">
                  <c:v>jsonShots(List&lt;IPosition&gt;)</c:v>
                </c:pt>
                <c:pt idx="36">
                  <c:v>register(RegistrationRequest)</c:v>
                </c:pt>
                <c:pt idx="37">
                  <c:v>printBoardFrame(char[][])</c:v>
                </c:pt>
                <c:pt idx="38">
                  <c:v>createSession(String, String)</c:v>
                </c:pt>
                <c:pt idx="39">
                  <c:v>printAlienBoard(boolean, boolean)</c:v>
                </c:pt>
                <c:pt idx="40">
                  <c:v>printMyBoard(boolean, boolean)</c:v>
                </c:pt>
                <c:pt idx="41">
                  <c:v>error(HttpStatus, String)</c:v>
                </c:pt>
                <c:pt idx="42">
                  <c:v>fireShots(List&lt;IPosition&gt;)</c:v>
                </c:pt>
                <c:pt idx="43">
                  <c:v>updateBoard()</c:v>
                </c:pt>
                <c:pt idx="44">
                  <c:v>buildFleet(Scanner)</c:v>
                </c:pt>
                <c:pt idx="45">
                  <c:v>addShip(IShip)</c:v>
                </c:pt>
                <c:pt idx="46">
                  <c:v>equals(Object)</c:v>
                </c:pt>
                <c:pt idx="47">
                  <c:v>getShipsLike(String)</c:v>
                </c:pt>
                <c:pt idx="48">
                  <c:v>shipAt(IPosition)</c:v>
                </c:pt>
                <c:pt idx="49">
                  <c:v>colisionRisk(IShip)</c:v>
                </c:pt>
                <c:pt idx="50">
                  <c:v>fillSouth(IPosition)</c:v>
                </c:pt>
                <c:pt idx="51">
                  <c:v>getLeftMostPos()</c:v>
                </c:pt>
                <c:pt idx="52">
                  <c:v>fillEast(IPosition)</c:v>
                </c:pt>
                <c:pt idx="53">
                  <c:v>fillNorth(IPosition)</c:v>
                </c:pt>
                <c:pt idx="54">
                  <c:v>fillWest(IPosition)</c:v>
                </c:pt>
                <c:pt idx="55">
                  <c:v>repeatedShot(IPosition)</c:v>
                </c:pt>
                <c:pt idx="56">
                  <c:v>printShips(List&lt;IShip&gt;)</c:v>
                </c:pt>
                <c:pt idx="57">
                  <c:v>getAdjacentPositions()</c:v>
                </c:pt>
                <c:pt idx="58">
                  <c:v>readShip(Scanner)</c:v>
                </c:pt>
                <c:pt idx="59">
                  <c:v>Game(IFleet)</c:v>
                </c:pt>
                <c:pt idx="60">
                  <c:v>getTopMostPos()</c:v>
                </c:pt>
                <c:pt idx="61">
                  <c:v>readPosition(Scanner)</c:v>
                </c:pt>
                <c:pt idx="62">
                  <c:v>printShipsByCategory(String)</c:v>
                </c:pt>
                <c:pt idx="63">
                  <c:v>Compass(char)</c:v>
                </c:pt>
                <c:pt idx="64">
                  <c:v>getBottomMostPos()</c:v>
                </c:pt>
                <c:pt idx="65">
                  <c:v>main(String[])</c:v>
                </c:pt>
                <c:pt idx="66">
                  <c:v>getSession(String)</c:v>
                </c:pt>
                <c:pt idx="67">
                  <c:v>removeSession(String)</c:v>
                </c:pt>
                <c:pt idx="68">
                  <c:v>createRandom()</c:v>
                </c:pt>
                <c:pt idx="69">
                  <c:v>isInside()</c:v>
                </c:pt>
                <c:pt idx="70">
                  <c:v>adjacentPositions()</c:v>
                </c:pt>
                <c:pt idx="71">
                  <c:v>ErrorResponse(String)</c:v>
                </c:pt>
                <c:pt idx="72">
                  <c:v>getRightMostPos()</c:v>
                </c:pt>
                <c:pt idx="73">
                  <c:v>checkwin()</c:v>
                </c:pt>
                <c:pt idx="74">
                  <c:v>valueOf(String)</c:v>
                </c:pt>
                <c:pt idx="75">
                  <c:v>processEnemyFire(boolean)</c:v>
                </c:pt>
                <c:pt idx="76">
                  <c:v>equals(Object)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shoot(IPosition)</c:v>
                </c:pt>
                <c:pt idx="80">
                  <c:v>tooCloseTo(IPosition)</c:v>
                </c:pt>
                <c:pt idx="81">
                  <c:v>tooCloseTo(IShip)</c:v>
                </c:pt>
                <c:pt idx="82">
                  <c:v>shoot(IPosition)</c:v>
                </c:pt>
                <c:pt idx="83">
                  <c:v>tooCloseTo(IShip)</c:v>
                </c:pt>
                <c:pt idx="84">
                  <c:v>occupies(IPosition)</c:v>
                </c:pt>
                <c:pt idx="85">
                  <c:v>tooCloseTo(IPosition)</c:v>
                </c:pt>
                <c:pt idx="86">
                  <c:v>getFloatingShips()</c:v>
                </c:pt>
                <c:pt idx="87">
                  <c:v>getSunkShips()</c:v>
                </c:pt>
                <c:pt idx="88">
                  <c:v>stillFloating()</c:v>
                </c:pt>
                <c:pt idx="89">
                  <c:v>randomPosition()</c:v>
                </c:pt>
                <c:pt idx="90">
                  <c:v>GameWindow()</c:v>
                </c:pt>
                <c:pt idx="91">
                  <c:v>isAdjacentTo(IPosition)</c:v>
                </c:pt>
                <c:pt idx="92">
                  <c:v>shotsResult()</c:v>
                </c:pt>
                <c:pt idx="93">
                  <c:v>sink()</c:v>
                </c:pt>
                <c:pt idx="94">
                  <c:v>menuHelp()</c:v>
                </c:pt>
                <c:pt idx="95">
                  <c:v>printStatus()</c:v>
                </c:pt>
                <c:pt idx="96">
                  <c:v>addComponentsTabuleiro()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getDirection()</c:v>
                </c:pt>
                <c:pt idx="101">
                  <c:v>hashCode()</c:v>
                </c:pt>
                <c:pt idx="102">
                  <c:v>Fleet()</c:v>
                </c:pt>
                <c:pt idx="103">
                  <c:v>printAllShips()</c:v>
                </c:pt>
                <c:pt idx="104">
                  <c:v>printFloatingShips()</c:v>
                </c:pt>
                <c:pt idx="105">
                  <c:v>getRemainingShips()</c:v>
                </c:pt>
                <c:pt idx="106">
                  <c:v>over()</c:v>
                </c:pt>
                <c:pt idx="107">
                  <c:v>CallbackClient()</c:v>
                </c:pt>
                <c:pt idx="108">
                  <c:v>getAlienFleet()</c:v>
                </c:pt>
                <c:pt idx="109">
                  <c:v>getAlienMoves()</c:v>
                </c:pt>
                <c:pt idx="110">
                  <c:v>getHits()</c:v>
                </c:pt>
                <c:pt idx="111">
                  <c:v>getInvalidShots()</c:v>
                </c:pt>
                <c:pt idx="112">
                  <c:v>getMyFleet()</c:v>
                </c:pt>
                <c:pt idx="113">
                  <c:v>getMyMoves()</c:v>
                </c:pt>
                <c:pt idx="114">
                  <c:v>getRepeatedShots()</c:v>
                </c:pt>
                <c:pt idx="115">
                  <c:v>getSunkShips()</c:v>
                </c:pt>
                <c:pt idx="116">
                  <c:v>start()</c:v>
                </c:pt>
                <c:pt idx="117">
                  <c:v>markAiWins()</c:v>
                </c:pt>
                <c:pt idx="118">
                  <c:v>markStudentWins()</c:v>
                </c:pt>
                <c:pt idx="119">
                  <c:v>getFieldRajada()</c:v>
                </c:pt>
                <c:pt idx="120">
                  <c:v>getRajada()</c:v>
                </c:pt>
                <c:pt idx="121">
                  <c:v>getCallbackUrl()</c:v>
                </c:pt>
                <c:pt idx="122">
                  <c:v>getGame()</c:v>
                </c:pt>
                <c:pt idx="123">
                  <c:v>getGameId()</c:v>
                </c:pt>
                <c:pt idx="124">
                  <c:v>getPlayerName()</c:v>
                </c:pt>
                <c:pt idx="125">
                  <c:v>getShotsPerTurn()</c:v>
                </c:pt>
                <c:pt idx="126">
                  <c:v>getWinner()</c:v>
                </c:pt>
                <c:pt idx="127">
                  <c:v>isGameOver()</c:v>
                </c:pt>
                <c:pt idx="128">
                  <c:v>repeated()</c:v>
                </c:pt>
                <c:pt idx="129">
                  <c:v>ship()</c:v>
                </c:pt>
                <c:pt idx="130">
                  <c:v>sunk()</c:v>
                </c:pt>
                <c:pt idx="131">
                  <c:v>valid()</c:v>
                </c:pt>
                <c:pt idx="132">
                  <c:v>values()</c:v>
                </c:pt>
                <c:pt idx="133">
                  <c:v>addShip(IShip)</c:v>
                </c:pt>
                <c:pt idx="134">
                  <c:v>getFloatingShips()</c:v>
                </c:pt>
                <c:pt idx="135">
                  <c:v>getShipsLike(String)</c:v>
                </c:pt>
                <c:pt idx="136">
                  <c:v>shipAt(IPosition)</c:v>
                </c:pt>
                <c:pt idx="137">
                  <c:v>fireShots(List&lt;IPosition&gt;)</c:v>
                </c:pt>
                <c:pt idx="138">
                  <c:v>fireSingleShot(IPosition, boolean)</c:v>
                </c:pt>
                <c:pt idx="139">
                  <c:v>randomEnemyFire()</c:v>
                </c:pt>
                <c:pt idx="140">
                  <c:v>readEnemyFire(Scanner)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adjacentPositions()</c:v>
                </c:pt>
                <c:pt idx="145">
                  <c:v>getClassicColumn()</c:v>
                </c:pt>
                <c:pt idx="146">
                  <c:v>getClassicRow()</c:v>
                </c:pt>
                <c:pt idx="147">
                  <c:v>getColumn()</c:v>
                </c:pt>
                <c:pt idx="148">
                  <c:v>getRow()</c:v>
                </c:pt>
                <c:pt idx="149">
                  <c:v>isHit()</c:v>
                </c:pt>
                <c:pt idx="150">
                  <c:v>isInside()</c:v>
                </c:pt>
                <c:pt idx="151">
                  <c:v>isOccupied()</c:v>
                </c:pt>
                <c:pt idx="152">
                  <c:v>occupy()</c:v>
                </c:pt>
                <c:pt idx="153">
                  <c:v>shoot()</c:v>
                </c:pt>
                <c:pt idx="154">
                  <c:v>getAdjacentPositions()</c:v>
                </c:pt>
                <c:pt idx="155">
                  <c:v>getBearing()</c:v>
                </c:pt>
                <c:pt idx="156">
                  <c:v>getBottomMostPos()</c:v>
                </c:pt>
                <c:pt idx="157">
                  <c:v>getCategory()</c:v>
                </c:pt>
                <c:pt idx="158">
                  <c:v>getLeftMostPos()</c:v>
                </c:pt>
                <c:pt idx="159">
                  <c:v>getPosition()</c:v>
                </c:pt>
                <c:pt idx="160">
                  <c:v>getPositions()</c:v>
                </c:pt>
                <c:pt idx="161">
                  <c:v>getRightMostPos()</c:v>
                </c:pt>
                <c:pt idx="162">
                  <c:v>getSize()</c:v>
                </c:pt>
                <c:pt idx="163">
                  <c:v>getTopMostPos()</c:v>
                </c:pt>
                <c:pt idx="164">
                  <c:v>isInsideBoard()</c:v>
                </c:pt>
                <c:pt idx="165">
                  <c:v>sink()</c:v>
                </c:pt>
                <c:pt idx="166">
                  <c:v>stillFloating()</c:v>
                </c:pt>
                <c:pt idx="167">
                  <c:v>isInsideBoard()</c:v>
                </c:pt>
              </c:strCache>
            </c:strRef>
          </c:cat>
          <c:val>
            <c:numRef>
              <c:f>'Metricas Final'!$H$2:$H$169</c:f>
              <c:numCache>
                <c:formatCode>General</c:formatCode>
                <c:ptCount val="168"/>
                <c:pt idx="0">
                  <c:v>1</c:v>
                </c:pt>
                <c:pt idx="1">
                  <c:v>0.2318840579710145</c:v>
                </c:pt>
                <c:pt idx="2">
                  <c:v>0.43478260869565216</c:v>
                </c:pt>
                <c:pt idx="3">
                  <c:v>0.2608695652173913</c:v>
                </c:pt>
                <c:pt idx="4">
                  <c:v>0.44927536231884058</c:v>
                </c:pt>
                <c:pt idx="5">
                  <c:v>0.27536231884057971</c:v>
                </c:pt>
                <c:pt idx="6">
                  <c:v>0.13768115942028986</c:v>
                </c:pt>
                <c:pt idx="7">
                  <c:v>0.39855072463768115</c:v>
                </c:pt>
                <c:pt idx="8">
                  <c:v>0.53623188405797106</c:v>
                </c:pt>
                <c:pt idx="9">
                  <c:v>2.8985507246376812E-2</c:v>
                </c:pt>
                <c:pt idx="10">
                  <c:v>0.14492753623188406</c:v>
                </c:pt>
                <c:pt idx="11">
                  <c:v>0.60869565217391308</c:v>
                </c:pt>
                <c:pt idx="12">
                  <c:v>0.19565217391304349</c:v>
                </c:pt>
                <c:pt idx="13">
                  <c:v>0.19565217391304349</c:v>
                </c:pt>
                <c:pt idx="14">
                  <c:v>0.19565217391304349</c:v>
                </c:pt>
                <c:pt idx="15">
                  <c:v>0.19565217391304349</c:v>
                </c:pt>
                <c:pt idx="16">
                  <c:v>0.13043478260869565</c:v>
                </c:pt>
                <c:pt idx="17">
                  <c:v>0.13043478260869565</c:v>
                </c:pt>
                <c:pt idx="18">
                  <c:v>0.2391304347826087</c:v>
                </c:pt>
                <c:pt idx="19">
                  <c:v>6.5217391304347824E-2</c:v>
                </c:pt>
                <c:pt idx="20">
                  <c:v>5.0724637681159424E-2</c:v>
                </c:pt>
                <c:pt idx="21">
                  <c:v>0.16666666666666666</c:v>
                </c:pt>
                <c:pt idx="22">
                  <c:v>0.13768115942028986</c:v>
                </c:pt>
                <c:pt idx="23">
                  <c:v>9.420289855072464E-2</c:v>
                </c:pt>
                <c:pt idx="24">
                  <c:v>0.30434782608695654</c:v>
                </c:pt>
                <c:pt idx="25">
                  <c:v>0.41304347826086957</c:v>
                </c:pt>
                <c:pt idx="26">
                  <c:v>6.5217391304347824E-2</c:v>
                </c:pt>
                <c:pt idx="27">
                  <c:v>0.2318840579710145</c:v>
                </c:pt>
                <c:pt idx="28">
                  <c:v>0.10144927536231885</c:v>
                </c:pt>
                <c:pt idx="29">
                  <c:v>7.2463768115942032E-2</c:v>
                </c:pt>
                <c:pt idx="30">
                  <c:v>9.420289855072464E-2</c:v>
                </c:pt>
                <c:pt idx="31">
                  <c:v>9.420289855072464E-2</c:v>
                </c:pt>
                <c:pt idx="32">
                  <c:v>0.20289855072463769</c:v>
                </c:pt>
                <c:pt idx="33">
                  <c:v>0.34057971014492755</c:v>
                </c:pt>
                <c:pt idx="34">
                  <c:v>7.9710144927536225E-2</c:v>
                </c:pt>
                <c:pt idx="35">
                  <c:v>0.27536231884057971</c:v>
                </c:pt>
                <c:pt idx="36">
                  <c:v>0.21014492753623187</c:v>
                </c:pt>
                <c:pt idx="37">
                  <c:v>0.18115942028985507</c:v>
                </c:pt>
                <c:pt idx="38">
                  <c:v>5.0724637681159424E-2</c:v>
                </c:pt>
                <c:pt idx="39">
                  <c:v>2.8985507246376812E-2</c:v>
                </c:pt>
                <c:pt idx="40">
                  <c:v>2.8985507246376812E-2</c:v>
                </c:pt>
                <c:pt idx="41">
                  <c:v>2.8985507246376812E-2</c:v>
                </c:pt>
                <c:pt idx="42">
                  <c:v>0.21739130434782608</c:v>
                </c:pt>
                <c:pt idx="43">
                  <c:v>0.35507246376811596</c:v>
                </c:pt>
                <c:pt idx="44">
                  <c:v>0.18115942028985507</c:v>
                </c:pt>
                <c:pt idx="45">
                  <c:v>0.16666666666666666</c:v>
                </c:pt>
                <c:pt idx="46">
                  <c:v>0.37681159420289856</c:v>
                </c:pt>
                <c:pt idx="47">
                  <c:v>0.15217391304347827</c:v>
                </c:pt>
                <c:pt idx="48">
                  <c:v>0.14492753623188406</c:v>
                </c:pt>
                <c:pt idx="49">
                  <c:v>0.11594202898550725</c:v>
                </c:pt>
                <c:pt idx="50">
                  <c:v>9.420289855072464E-2</c:v>
                </c:pt>
                <c:pt idx="51">
                  <c:v>0.31159420289855072</c:v>
                </c:pt>
                <c:pt idx="52">
                  <c:v>8.6956521739130432E-2</c:v>
                </c:pt>
                <c:pt idx="53">
                  <c:v>8.6956521739130432E-2</c:v>
                </c:pt>
                <c:pt idx="54">
                  <c:v>8.6956521739130432E-2</c:v>
                </c:pt>
                <c:pt idx="55">
                  <c:v>5.7971014492753624E-2</c:v>
                </c:pt>
                <c:pt idx="56">
                  <c:v>7.9710144927536225E-2</c:v>
                </c:pt>
                <c:pt idx="57">
                  <c:v>0.24637681159420291</c:v>
                </c:pt>
                <c:pt idx="58">
                  <c:v>0.10144927536231885</c:v>
                </c:pt>
                <c:pt idx="59">
                  <c:v>9.420289855072464E-2</c:v>
                </c:pt>
                <c:pt idx="60">
                  <c:v>0.18115942028985507</c:v>
                </c:pt>
                <c:pt idx="61">
                  <c:v>8.6956521739130432E-2</c:v>
                </c:pt>
                <c:pt idx="62">
                  <c:v>7.9710144927536225E-2</c:v>
                </c:pt>
                <c:pt idx="63">
                  <c:v>6.5217391304347824E-2</c:v>
                </c:pt>
                <c:pt idx="64">
                  <c:v>0.24637681159420291</c:v>
                </c:pt>
                <c:pt idx="65">
                  <c:v>2.8985507246376812E-2</c:v>
                </c:pt>
                <c:pt idx="66">
                  <c:v>2.8985507246376812E-2</c:v>
                </c:pt>
                <c:pt idx="67">
                  <c:v>2.8985507246376812E-2</c:v>
                </c:pt>
                <c:pt idx="68">
                  <c:v>0.19565217391304349</c:v>
                </c:pt>
                <c:pt idx="69">
                  <c:v>0.18840579710144928</c:v>
                </c:pt>
                <c:pt idx="70">
                  <c:v>0.21014492753623187</c:v>
                </c:pt>
                <c:pt idx="71">
                  <c:v>7.246376811594203E-3</c:v>
                </c:pt>
                <c:pt idx="72">
                  <c:v>0.20289855072463769</c:v>
                </c:pt>
                <c:pt idx="73">
                  <c:v>0.14492753623188406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0.15217391304347827</c:v>
                </c:pt>
                <c:pt idx="83">
                  <c:v>0.15217391304347827</c:v>
                </c:pt>
                <c:pt idx="84">
                  <c:v>0.14492753623188406</c:v>
                </c:pt>
                <c:pt idx="85">
                  <c:v>0.14492753623188406</c:v>
                </c:pt>
                <c:pt idx="86">
                  <c:v>0.13768115942028986</c:v>
                </c:pt>
                <c:pt idx="87">
                  <c:v>0.13768115942028986</c:v>
                </c:pt>
                <c:pt idx="88">
                  <c:v>0.13043478260869565</c:v>
                </c:pt>
                <c:pt idx="89">
                  <c:v>0.18115942028985507</c:v>
                </c:pt>
                <c:pt idx="90">
                  <c:v>0.17391304347826086</c:v>
                </c:pt>
                <c:pt idx="91">
                  <c:v>0.14492753623188406</c:v>
                </c:pt>
                <c:pt idx="92">
                  <c:v>0.11594202898550725</c:v>
                </c:pt>
                <c:pt idx="93">
                  <c:v>9.420289855072464E-2</c:v>
                </c:pt>
                <c:pt idx="94">
                  <c:v>0.11594202898550725</c:v>
                </c:pt>
                <c:pt idx="95">
                  <c:v>0.10144927536231885</c:v>
                </c:pt>
                <c:pt idx="96">
                  <c:v>6.5217391304347824E-2</c:v>
                </c:pt>
                <c:pt idx="97">
                  <c:v>7.2463768115942032E-2</c:v>
                </c:pt>
                <c:pt idx="98">
                  <c:v>7.2463768115942032E-2</c:v>
                </c:pt>
                <c:pt idx="99">
                  <c:v>7.2463768115942032E-2</c:v>
                </c:pt>
                <c:pt idx="100">
                  <c:v>6.5217391304347824E-2</c:v>
                </c:pt>
                <c:pt idx="101">
                  <c:v>6.5217391304347824E-2</c:v>
                </c:pt>
                <c:pt idx="102">
                  <c:v>5.0724637681159424E-2</c:v>
                </c:pt>
                <c:pt idx="103">
                  <c:v>5.0724637681159424E-2</c:v>
                </c:pt>
                <c:pt idx="104">
                  <c:v>5.0724637681159424E-2</c:v>
                </c:pt>
                <c:pt idx="105">
                  <c:v>4.3478260869565216E-2</c:v>
                </c:pt>
                <c:pt idx="106">
                  <c:v>4.3478260869565216E-2</c:v>
                </c:pt>
                <c:pt idx="107">
                  <c:v>4.3478260869565216E-2</c:v>
                </c:pt>
                <c:pt idx="108">
                  <c:v>3.6231884057971016E-2</c:v>
                </c:pt>
                <c:pt idx="109">
                  <c:v>3.6231884057971016E-2</c:v>
                </c:pt>
                <c:pt idx="110">
                  <c:v>3.6231884057971016E-2</c:v>
                </c:pt>
                <c:pt idx="111">
                  <c:v>3.6231884057971016E-2</c:v>
                </c:pt>
                <c:pt idx="112">
                  <c:v>3.6231884057971016E-2</c:v>
                </c:pt>
                <c:pt idx="113">
                  <c:v>3.6231884057971016E-2</c:v>
                </c:pt>
                <c:pt idx="114">
                  <c:v>3.6231884057971016E-2</c:v>
                </c:pt>
                <c:pt idx="115">
                  <c:v>3.6231884057971016E-2</c:v>
                </c:pt>
                <c:pt idx="116">
                  <c:v>2.8985507246376812E-2</c:v>
                </c:pt>
                <c:pt idx="117">
                  <c:v>2.8985507246376812E-2</c:v>
                </c:pt>
                <c:pt idx="118">
                  <c:v>2.8985507246376812E-2</c:v>
                </c:pt>
                <c:pt idx="119">
                  <c:v>2.1739130434782608E-2</c:v>
                </c:pt>
                <c:pt idx="120">
                  <c:v>2.1739130434782608E-2</c:v>
                </c:pt>
                <c:pt idx="121">
                  <c:v>7.246376811594203E-3</c:v>
                </c:pt>
                <c:pt idx="122">
                  <c:v>7.246376811594203E-3</c:v>
                </c:pt>
                <c:pt idx="123">
                  <c:v>7.246376811594203E-3</c:v>
                </c:pt>
                <c:pt idx="124">
                  <c:v>7.246376811594203E-3</c:v>
                </c:pt>
                <c:pt idx="125">
                  <c:v>7.246376811594203E-3</c:v>
                </c:pt>
                <c:pt idx="126">
                  <c:v>7.246376811594203E-3</c:v>
                </c:pt>
                <c:pt idx="127">
                  <c:v>7.246376811594203E-3</c:v>
                </c:pt>
                <c:pt idx="128">
                  <c:v>7.246376811594203E-3</c:v>
                </c:pt>
                <c:pt idx="129">
                  <c:v>7.246376811594203E-3</c:v>
                </c:pt>
                <c:pt idx="130">
                  <c:v>7.246376811594203E-3</c:v>
                </c:pt>
                <c:pt idx="131">
                  <c:v>7.246376811594203E-3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7-44F2-86F5-E0029AFD7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929696"/>
        <c:axId val="2007870432"/>
      </c:areaChart>
      <c:catAx>
        <c:axId val="171092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7870432"/>
        <c:crosses val="autoZero"/>
        <c:auto val="1"/>
        <c:lblAlgn val="ctr"/>
        <c:lblOffset val="100"/>
        <c:noMultiLvlLbl val="0"/>
      </c:catAx>
      <c:valAx>
        <c:axId val="20078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1092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0</xdr:row>
      <xdr:rowOff>190499</xdr:rowOff>
    </xdr:from>
    <xdr:to>
      <xdr:col>16</xdr:col>
      <xdr:colOff>600075</xdr:colOff>
      <xdr:row>14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B1C968-2640-CE3B-485C-667817203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16</xdr:row>
      <xdr:rowOff>4762</xdr:rowOff>
    </xdr:from>
    <xdr:to>
      <xdr:col>20</xdr:col>
      <xdr:colOff>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DCC6A6-1196-D374-9881-9E7842350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281401-60C3-4584-9311-2919F28BB446}" name="Tabela2" displayName="Tabela2" ref="A1:C30" totalsRowShown="0">
  <autoFilter ref="A1:C30" xr:uid="{D2281401-60C3-4584-9311-2919F28BB446}"/>
  <tableColumns count="3">
    <tableColumn id="1" xr3:uid="{7AF66A8F-00F9-46C8-BA69-E4FFE4A71926}" name="description" dataDxfId="33"/>
    <tableColumn id="2" xr3:uid="{BB32CA55-8BAA-4878-A07A-E96F6930B178}" name="name" dataDxfId="32"/>
    <tableColumn id="3" xr3:uid="{F171EBF5-729C-4CE6-A373-EAC0297CF998}" name="value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D40866-6EA7-4485-9C37-2922BBF45780}" name="Tabela3" displayName="Tabela3" ref="A1:D45" totalsRowShown="0">
  <autoFilter ref="A1:D45" xr:uid="{91D40866-6EA7-4485-9C37-2922BBF45780}"/>
  <tableColumns count="4">
    <tableColumn id="1" xr3:uid="{F60255DC-C0F4-4DBB-971A-E659B6FEBDBC}" name="name2" dataDxfId="30"/>
    <tableColumn id="2" xr3:uid="{A4F0556A-98AF-4A27-9D51-4DE916C3805C}" name="description3" dataDxfId="29"/>
    <tableColumn id="3" xr3:uid="{EC864CD7-C692-4F84-B82E-06E2B3276175}" name="name4" dataDxfId="28"/>
    <tableColumn id="4" xr3:uid="{459BDF07-B3C7-4ACC-9E1B-966F5221099E}" name="value5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1066E-A51A-4E4B-894E-650A5DB5F702}" name="Tabela4" displayName="Tabela4" ref="A1:D812" totalsRowShown="0">
  <autoFilter ref="A1:D812" xr:uid="{02E1066E-A51A-4E4B-894E-650A5DB5F702}"/>
  <tableColumns count="4">
    <tableColumn id="1" xr3:uid="{E7A4ABF3-128F-44B5-99EC-030FCC72C4DD}" name="name6" dataDxfId="26"/>
    <tableColumn id="2" xr3:uid="{63430021-E243-4CC9-98E5-370CEBEA8F3D}" name="description7" dataDxfId="25"/>
    <tableColumn id="3" xr3:uid="{B147C9E4-CFEC-4C14-B9C6-A519B6D13CF1}" name="name8" dataDxfId="24"/>
    <tableColumn id="4" xr3:uid="{1B03D233-4043-4335-BC9A-968023A0B901}" name="value9" dataDxfId="2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ABC74-FA5A-4DA6-801F-C5819A2F22F6}" name="Tabela5" displayName="Tabela5" ref="A1:L3894" totalsRowShown="0">
  <autoFilter ref="A1:L3894" xr:uid="{1F1ABC74-FA5A-4DA6-801F-C5819A2F22F6}"/>
  <tableColumns count="12">
    <tableColumn id="1" xr3:uid="{D37F2EEA-9E82-4DE7-9757-173EBA82808B}" name="name10" dataDxfId="22"/>
    <tableColumn id="2" xr3:uid="{826CD72B-8591-48DF-9067-CFC17AD6E66B}" name="description11" dataDxfId="21"/>
    <tableColumn id="3" xr3:uid="{C0E6CEB6-05DE-4203-AC4F-89852902E99F}" name="name12" dataDxfId="20"/>
    <tableColumn id="4" xr3:uid="{0DC9E928-4BC2-49C4-81E4-89283E8FA8BF}" name="value13" dataDxfId="19"/>
    <tableColumn id="5" xr3:uid="{3A1133BB-28EF-4030-BFFE-7834189FC58A}" name="name14" dataDxfId="18"/>
    <tableColumn id="6" xr3:uid="{A75798A9-C81F-4FAA-85EF-DD516E4A3866}" name="description15" dataDxfId="17"/>
    <tableColumn id="7" xr3:uid="{42A5C151-D056-42BB-89EA-EE88AF4E82B0}" name="name16" dataDxfId="16"/>
    <tableColumn id="8" xr3:uid="{A9361199-46C1-4BFB-AD99-2BEC93AB88D5}" name="value17" dataDxfId="15"/>
    <tableColumn id="9" xr3:uid="{211FEAD8-EF3C-4B8B-9A06-4B91235507B3}" name="name18" dataDxfId="14"/>
    <tableColumn id="10" xr3:uid="{126D5D48-35FE-4538-A99D-6193F32E0183}" name="description19" dataDxfId="13"/>
    <tableColumn id="11" xr3:uid="{84146A28-114F-4CC1-8FAC-256C1E9614A1}" name="name20" dataDxfId="12"/>
    <tableColumn id="12" xr3:uid="{6E006F67-4128-4B3B-8F81-AD72E95D5B0D}" name="value21" dataDxfId="1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F18822-EDEC-4CE4-A06A-1803D09065EB}" name="Tabela9" displayName="Tabela9" ref="A1:D3675" totalsRowShown="0" headerRowDxfId="10" headerRowBorderDxfId="8" tableBorderDxfId="9" totalsRowBorderDxfId="7">
  <autoFilter ref="A1:D3675" xr:uid="{A6F18822-EDEC-4CE4-A06A-1803D09065EB}"/>
  <tableColumns count="4">
    <tableColumn id="1" xr3:uid="{A0821721-2E86-49FF-8F12-9C161FA73622}" name="Coluna1" dataDxfId="6"/>
    <tableColumn id="2" xr3:uid="{30A120C3-3ED4-4C16-90F7-DEEEBFFBC6BE}" name="Coluna2" dataDxfId="5"/>
    <tableColumn id="3" xr3:uid="{349BAA44-6206-4328-B9AB-04F9E5B5E396}" name="Coluna3" dataDxfId="4"/>
    <tableColumn id="4" xr3:uid="{0562254B-DB2D-481B-8921-CB56EF4FA401}" name="I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B2A57B-1354-4CEA-86ED-2EB00E751983}" name="Tabela10" displayName="Tabela10" ref="A1:I169" totalsRowShown="0">
  <autoFilter ref="A1:I169" xr:uid="{DCB2A57B-1354-4CEA-86ED-2EB00E751983}"/>
  <sortState xmlns:xlrd2="http://schemas.microsoft.com/office/spreadsheetml/2017/richdata2" ref="A2:I169">
    <sortCondition descending="1" ref="I1:I169"/>
  </sortState>
  <tableColumns count="9">
    <tableColumn id="1" xr3:uid="{612F31D3-A2E9-48B5-A10A-9262F83872AB}" name="ID"/>
    <tableColumn id="2" xr3:uid="{40F7C415-29F3-4E4E-93D7-BF0427EA896D}" name="Método">
      <calculatedColumnFormula>INDEX(Metodo_limpo!A:A, MATCH(A2, Metodo_limpo!D:D, 0))</calculatedColumnFormula>
    </tableColumn>
    <tableColumn id="3" xr3:uid="{69C1D1E7-B79B-4720-9EFE-7F203087BEDB}" name="CC">
      <calculatedColumnFormula>SUMIFS(Metodo_limpo!C:C, Metodo_limpo!D:D, A2, Metodo_limpo!B:B, "CC")</calculatedColumnFormula>
    </tableColumn>
    <tableColumn id="4" xr3:uid="{4476F058-8590-4624-A524-752A825748EC}" name="NOPM">
      <calculatedColumnFormula>SUMIFS(Metodo_limpo!C:C, Metodo_limpo!D:D, A2, Metodo_limpo!B:B, "NOPM")</calculatedColumnFormula>
    </tableColumn>
    <tableColumn id="5" xr3:uid="{6E32CACA-329E-43A9-AACA-3F77BC9E6EDA}" name="LOC">
      <calculatedColumnFormula>SUMIFS(Metodo_limpo!C:C, Metodo_limpo!D:D, A2, Metodo_limpo!B:B, "LOC")</calculatedColumnFormula>
    </tableColumn>
    <tableColumn id="6" xr3:uid="{B573ADB1-A756-42D1-8C69-BBC94E2E73D7}" name="CC NORM" dataDxfId="3">
      <calculatedColumnFormula>(C2-MIN(C$2:C$169))/(MAX(C$2:C$169)-MIN(C$2:C$169))</calculatedColumnFormula>
    </tableColumn>
    <tableColumn id="7" xr3:uid="{9D1C2BDE-E1D0-4CE4-A8BF-79FF2989F808}" name="NOPM NORM" dataDxfId="2">
      <calculatedColumnFormula>(D2-MIN(D$2:D$169))/(MAX(D$2:D$169)-MIN(D$2:D$169))</calculatedColumnFormula>
    </tableColumn>
    <tableColumn id="8" xr3:uid="{A66D95A5-B6C1-4DB8-8E5F-0D38124E98A4}" name="LOC NORM" dataDxfId="1">
      <calculatedColumnFormula>(E2-MIN(E$2:E$169))/(MAX(E$2:E$169)-MIN(E$2:E$169))</calculatedColumnFormula>
    </tableColumn>
    <tableColumn id="9" xr3:uid="{252525A5-7C22-4193-A4A9-4F0E88878A10}" name="SOMA" dataDxfId="0">
      <calculatedColumnFormula>F2+G2+H2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6950-B3DC-43FE-BAC4-665E38E3C88E}">
  <dimension ref="A1:C5169"/>
  <sheetViews>
    <sheetView workbookViewId="0">
      <selection activeCell="G8" sqref="G8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1" t="s">
        <v>26</v>
      </c>
      <c r="B2" s="1" t="s">
        <v>55</v>
      </c>
      <c r="C2" s="1" t="s">
        <v>78</v>
      </c>
    </row>
    <row r="3" spans="1:3" x14ac:dyDescent="0.25">
      <c r="A3" s="1" t="s">
        <v>27</v>
      </c>
      <c r="B3" s="1" t="s">
        <v>56</v>
      </c>
      <c r="C3" s="1" t="s">
        <v>79</v>
      </c>
    </row>
    <row r="4" spans="1:3" x14ac:dyDescent="0.25">
      <c r="A4" s="1" t="s">
        <v>28</v>
      </c>
      <c r="B4" s="1" t="s">
        <v>57</v>
      </c>
      <c r="C4" s="1" t="s">
        <v>80</v>
      </c>
    </row>
    <row r="5" spans="1:3" x14ac:dyDescent="0.25">
      <c r="A5" s="1" t="s">
        <v>29</v>
      </c>
      <c r="B5" s="1" t="s">
        <v>29</v>
      </c>
      <c r="C5" s="1" t="s">
        <v>81</v>
      </c>
    </row>
    <row r="6" spans="1:3" x14ac:dyDescent="0.25">
      <c r="A6" s="1" t="s">
        <v>30</v>
      </c>
      <c r="B6" s="1" t="s">
        <v>30</v>
      </c>
      <c r="C6" s="1" t="s">
        <v>82</v>
      </c>
    </row>
    <row r="7" spans="1:3" x14ac:dyDescent="0.25">
      <c r="A7" s="1" t="s">
        <v>31</v>
      </c>
      <c r="B7" s="1" t="s">
        <v>31</v>
      </c>
      <c r="C7" s="1" t="s">
        <v>83</v>
      </c>
    </row>
    <row r="8" spans="1:3" x14ac:dyDescent="0.25">
      <c r="A8" s="1" t="s">
        <v>32</v>
      </c>
      <c r="B8" s="1" t="s">
        <v>32</v>
      </c>
      <c r="C8" s="1" t="s">
        <v>84</v>
      </c>
    </row>
    <row r="9" spans="1:3" x14ac:dyDescent="0.25">
      <c r="A9" s="1" t="s">
        <v>33</v>
      </c>
      <c r="B9" s="1" t="s">
        <v>58</v>
      </c>
      <c r="C9" s="1" t="s">
        <v>85</v>
      </c>
    </row>
    <row r="10" spans="1:3" x14ac:dyDescent="0.25">
      <c r="A10" s="1" t="s">
        <v>34</v>
      </c>
      <c r="B10" s="1" t="s">
        <v>59</v>
      </c>
      <c r="C10" s="1" t="s">
        <v>86</v>
      </c>
    </row>
    <row r="11" spans="1:3" x14ac:dyDescent="0.25">
      <c r="A11" s="1" t="s">
        <v>35</v>
      </c>
      <c r="B11" s="1" t="s">
        <v>60</v>
      </c>
      <c r="C11" s="1" t="s">
        <v>87</v>
      </c>
    </row>
    <row r="12" spans="1:3" x14ac:dyDescent="0.25">
      <c r="A12" s="1" t="s">
        <v>36</v>
      </c>
      <c r="B12" s="1" t="s">
        <v>61</v>
      </c>
      <c r="C12" s="1" t="s">
        <v>88</v>
      </c>
    </row>
    <row r="13" spans="1:3" x14ac:dyDescent="0.25">
      <c r="A13" s="1" t="s">
        <v>37</v>
      </c>
      <c r="B13" s="1" t="s">
        <v>62</v>
      </c>
      <c r="C13" s="1" t="s">
        <v>89</v>
      </c>
    </row>
    <row r="14" spans="1:3" x14ac:dyDescent="0.25">
      <c r="A14" s="1" t="s">
        <v>38</v>
      </c>
      <c r="B14" s="1" t="s">
        <v>63</v>
      </c>
      <c r="C14" s="1" t="s">
        <v>90</v>
      </c>
    </row>
    <row r="15" spans="1:3" x14ac:dyDescent="0.25">
      <c r="A15" s="1" t="s">
        <v>39</v>
      </c>
      <c r="B15" s="1" t="s">
        <v>64</v>
      </c>
      <c r="C15" s="1" t="s">
        <v>91</v>
      </c>
    </row>
    <row r="16" spans="1:3" x14ac:dyDescent="0.25">
      <c r="A16" s="1" t="s">
        <v>40</v>
      </c>
      <c r="B16" s="1" t="s">
        <v>65</v>
      </c>
      <c r="C16" s="1" t="s">
        <v>92</v>
      </c>
    </row>
    <row r="17" spans="1:3" x14ac:dyDescent="0.25">
      <c r="A17" s="1" t="s">
        <v>41</v>
      </c>
      <c r="B17" s="1" t="s">
        <v>66</v>
      </c>
      <c r="C17" s="1" t="s">
        <v>78</v>
      </c>
    </row>
    <row r="18" spans="1:3" x14ac:dyDescent="0.25">
      <c r="A18" s="1" t="s">
        <v>42</v>
      </c>
      <c r="B18" s="1" t="s">
        <v>67</v>
      </c>
      <c r="C18" s="1" t="s">
        <v>93</v>
      </c>
    </row>
    <row r="19" spans="1:3" x14ac:dyDescent="0.25">
      <c r="A19" s="1" t="s">
        <v>43</v>
      </c>
      <c r="B19" s="1" t="s">
        <v>68</v>
      </c>
      <c r="C19" s="1" t="s">
        <v>94</v>
      </c>
    </row>
    <row r="20" spans="1:3" x14ac:dyDescent="0.25">
      <c r="A20" s="1" t="s">
        <v>44</v>
      </c>
      <c r="B20" s="1" t="s">
        <v>69</v>
      </c>
      <c r="C20" s="1" t="s">
        <v>95</v>
      </c>
    </row>
    <row r="21" spans="1:3" x14ac:dyDescent="0.25">
      <c r="A21" s="1" t="s">
        <v>45</v>
      </c>
      <c r="B21" s="1" t="s">
        <v>70</v>
      </c>
      <c r="C21" s="1" t="s">
        <v>96</v>
      </c>
    </row>
    <row r="22" spans="1:3" x14ac:dyDescent="0.25">
      <c r="A22" s="1" t="s">
        <v>46</v>
      </c>
      <c r="B22" s="1" t="s">
        <v>71</v>
      </c>
      <c r="C22" s="1" t="s">
        <v>97</v>
      </c>
    </row>
    <row r="23" spans="1:3" x14ac:dyDescent="0.25">
      <c r="A23" s="1" t="s">
        <v>47</v>
      </c>
      <c r="B23" s="1" t="s">
        <v>72</v>
      </c>
      <c r="C23" s="1" t="s">
        <v>78</v>
      </c>
    </row>
    <row r="24" spans="1:3" x14ac:dyDescent="0.25">
      <c r="A24" s="1" t="s">
        <v>48</v>
      </c>
      <c r="B24" s="1" t="s">
        <v>73</v>
      </c>
      <c r="C24" s="1" t="s">
        <v>78</v>
      </c>
    </row>
    <row r="25" spans="1:3" x14ac:dyDescent="0.25">
      <c r="A25" s="1" t="s">
        <v>49</v>
      </c>
      <c r="B25" s="1" t="s">
        <v>74</v>
      </c>
      <c r="C25" s="1" t="s">
        <v>78</v>
      </c>
    </row>
    <row r="26" spans="1:3" x14ac:dyDescent="0.25">
      <c r="A26" s="1" t="s">
        <v>50</v>
      </c>
      <c r="B26" s="1" t="s">
        <v>75</v>
      </c>
      <c r="C26" s="1" t="s">
        <v>78</v>
      </c>
    </row>
    <row r="27" spans="1:3" x14ac:dyDescent="0.25">
      <c r="A27" s="1" t="s">
        <v>51</v>
      </c>
      <c r="B27" s="1" t="s">
        <v>76</v>
      </c>
      <c r="C27" s="1" t="s">
        <v>98</v>
      </c>
    </row>
    <row r="28" spans="1:3" x14ac:dyDescent="0.25">
      <c r="A28" s="1" t="s">
        <v>52</v>
      </c>
      <c r="B28" s="1" t="s">
        <v>77</v>
      </c>
      <c r="C28" s="1" t="s">
        <v>99</v>
      </c>
    </row>
    <row r="29" spans="1:3" x14ac:dyDescent="0.25">
      <c r="A29" s="1" t="s">
        <v>53</v>
      </c>
      <c r="B29" s="1" t="s">
        <v>53</v>
      </c>
      <c r="C29" s="1" t="s">
        <v>100</v>
      </c>
    </row>
    <row r="30" spans="1:3" x14ac:dyDescent="0.25">
      <c r="A30" s="1" t="s">
        <v>54</v>
      </c>
      <c r="B30" s="1" t="s">
        <v>54</v>
      </c>
      <c r="C30" s="1" t="s">
        <v>101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  <row r="4122" spans="1:3" x14ac:dyDescent="0.25">
      <c r="A4122" s="1"/>
      <c r="B4122" s="1"/>
      <c r="C4122" s="1"/>
    </row>
    <row r="4123" spans="1:3" x14ac:dyDescent="0.25">
      <c r="A4123" s="1"/>
      <c r="B4123" s="1"/>
      <c r="C4123" s="1"/>
    </row>
    <row r="4124" spans="1:3" x14ac:dyDescent="0.25">
      <c r="A4124" s="1"/>
      <c r="B4124" s="1"/>
      <c r="C4124" s="1"/>
    </row>
    <row r="4125" spans="1:3" x14ac:dyDescent="0.25">
      <c r="A4125" s="1"/>
      <c r="B4125" s="1"/>
      <c r="C4125" s="1"/>
    </row>
    <row r="4126" spans="1:3" x14ac:dyDescent="0.25">
      <c r="A4126" s="1"/>
      <c r="B4126" s="1"/>
      <c r="C4126" s="1"/>
    </row>
    <row r="4127" spans="1:3" x14ac:dyDescent="0.25">
      <c r="A4127" s="1"/>
      <c r="B4127" s="1"/>
      <c r="C4127" s="1"/>
    </row>
    <row r="4128" spans="1:3" x14ac:dyDescent="0.25">
      <c r="A4128" s="1"/>
      <c r="B4128" s="1"/>
      <c r="C4128" s="1"/>
    </row>
    <row r="4129" spans="1:3" x14ac:dyDescent="0.25">
      <c r="A4129" s="1"/>
      <c r="B4129" s="1"/>
      <c r="C4129" s="1"/>
    </row>
    <row r="4130" spans="1:3" x14ac:dyDescent="0.25">
      <c r="A4130" s="1"/>
      <c r="B4130" s="1"/>
      <c r="C4130" s="1"/>
    </row>
    <row r="4131" spans="1:3" x14ac:dyDescent="0.25">
      <c r="A4131" s="1"/>
      <c r="B4131" s="1"/>
      <c r="C4131" s="1"/>
    </row>
    <row r="4132" spans="1:3" x14ac:dyDescent="0.25">
      <c r="A4132" s="1"/>
      <c r="B4132" s="1"/>
      <c r="C4132" s="1"/>
    </row>
    <row r="4133" spans="1:3" x14ac:dyDescent="0.25">
      <c r="A4133" s="1"/>
      <c r="B4133" s="1"/>
      <c r="C4133" s="1"/>
    </row>
    <row r="4134" spans="1:3" x14ac:dyDescent="0.25">
      <c r="A4134" s="1"/>
      <c r="B4134" s="1"/>
      <c r="C4134" s="1"/>
    </row>
    <row r="4135" spans="1:3" x14ac:dyDescent="0.25">
      <c r="A4135" s="1"/>
      <c r="B4135" s="1"/>
      <c r="C4135" s="1"/>
    </row>
    <row r="4136" spans="1:3" x14ac:dyDescent="0.25">
      <c r="A4136" s="1"/>
      <c r="B4136" s="1"/>
      <c r="C4136" s="1"/>
    </row>
    <row r="4137" spans="1:3" x14ac:dyDescent="0.25">
      <c r="A4137" s="1"/>
      <c r="B4137" s="1"/>
      <c r="C4137" s="1"/>
    </row>
    <row r="4138" spans="1:3" x14ac:dyDescent="0.25">
      <c r="A4138" s="1"/>
      <c r="B4138" s="1"/>
      <c r="C4138" s="1"/>
    </row>
    <row r="4139" spans="1:3" x14ac:dyDescent="0.25">
      <c r="A4139" s="1"/>
      <c r="B4139" s="1"/>
      <c r="C4139" s="1"/>
    </row>
    <row r="4140" spans="1:3" x14ac:dyDescent="0.25">
      <c r="A4140" s="1"/>
      <c r="B4140" s="1"/>
      <c r="C4140" s="1"/>
    </row>
    <row r="4141" spans="1:3" x14ac:dyDescent="0.25">
      <c r="A4141" s="1"/>
      <c r="B4141" s="1"/>
      <c r="C4141" s="1"/>
    </row>
    <row r="4142" spans="1:3" x14ac:dyDescent="0.25">
      <c r="A4142" s="1"/>
      <c r="B4142" s="1"/>
      <c r="C4142" s="1"/>
    </row>
    <row r="4143" spans="1:3" x14ac:dyDescent="0.25">
      <c r="A4143" s="1"/>
      <c r="B4143" s="1"/>
      <c r="C4143" s="1"/>
    </row>
    <row r="4144" spans="1:3" x14ac:dyDescent="0.25">
      <c r="A4144" s="1"/>
      <c r="B4144" s="1"/>
      <c r="C4144" s="1"/>
    </row>
    <row r="4145" spans="1:3" x14ac:dyDescent="0.25">
      <c r="A4145" s="1"/>
      <c r="B4145" s="1"/>
      <c r="C4145" s="1"/>
    </row>
    <row r="4146" spans="1:3" x14ac:dyDescent="0.25">
      <c r="A4146" s="1"/>
      <c r="B4146" s="1"/>
      <c r="C4146" s="1"/>
    </row>
    <row r="4147" spans="1:3" x14ac:dyDescent="0.25">
      <c r="A4147" s="1"/>
      <c r="B4147" s="1"/>
      <c r="C4147" s="1"/>
    </row>
    <row r="4148" spans="1:3" x14ac:dyDescent="0.25">
      <c r="A4148" s="1"/>
      <c r="B4148" s="1"/>
      <c r="C4148" s="1"/>
    </row>
    <row r="4149" spans="1:3" x14ac:dyDescent="0.25">
      <c r="A4149" s="1"/>
      <c r="B4149" s="1"/>
      <c r="C4149" s="1"/>
    </row>
    <row r="4150" spans="1:3" x14ac:dyDescent="0.25">
      <c r="A4150" s="1"/>
      <c r="B4150" s="1"/>
      <c r="C4150" s="1"/>
    </row>
    <row r="4151" spans="1:3" x14ac:dyDescent="0.25">
      <c r="A4151" s="1"/>
      <c r="B4151" s="1"/>
      <c r="C4151" s="1"/>
    </row>
    <row r="4152" spans="1:3" x14ac:dyDescent="0.25">
      <c r="A4152" s="1"/>
      <c r="B4152" s="1"/>
      <c r="C4152" s="1"/>
    </row>
    <row r="4153" spans="1:3" x14ac:dyDescent="0.25">
      <c r="A4153" s="1"/>
      <c r="B4153" s="1"/>
      <c r="C4153" s="1"/>
    </row>
    <row r="4154" spans="1:3" x14ac:dyDescent="0.25">
      <c r="A4154" s="1"/>
      <c r="B4154" s="1"/>
      <c r="C4154" s="1"/>
    </row>
    <row r="4155" spans="1:3" x14ac:dyDescent="0.25">
      <c r="A4155" s="1"/>
      <c r="B4155" s="1"/>
      <c r="C4155" s="1"/>
    </row>
    <row r="4156" spans="1:3" x14ac:dyDescent="0.25">
      <c r="A4156" s="1"/>
      <c r="B4156" s="1"/>
      <c r="C4156" s="1"/>
    </row>
    <row r="4157" spans="1:3" x14ac:dyDescent="0.25">
      <c r="A4157" s="1"/>
      <c r="B4157" s="1"/>
      <c r="C4157" s="1"/>
    </row>
    <row r="4158" spans="1:3" x14ac:dyDescent="0.25">
      <c r="A4158" s="1"/>
      <c r="B4158" s="1"/>
      <c r="C4158" s="1"/>
    </row>
    <row r="4159" spans="1:3" x14ac:dyDescent="0.25">
      <c r="A4159" s="1"/>
      <c r="B4159" s="1"/>
      <c r="C4159" s="1"/>
    </row>
    <row r="4160" spans="1:3" x14ac:dyDescent="0.25">
      <c r="A4160" s="1"/>
      <c r="B4160" s="1"/>
      <c r="C4160" s="1"/>
    </row>
    <row r="4161" spans="1:3" x14ac:dyDescent="0.25">
      <c r="A4161" s="1"/>
      <c r="B4161" s="1"/>
      <c r="C4161" s="1"/>
    </row>
    <row r="4162" spans="1:3" x14ac:dyDescent="0.25">
      <c r="A4162" s="1"/>
      <c r="B4162" s="1"/>
      <c r="C4162" s="1"/>
    </row>
    <row r="4163" spans="1:3" x14ac:dyDescent="0.25">
      <c r="A4163" s="1"/>
      <c r="B4163" s="1"/>
      <c r="C4163" s="1"/>
    </row>
    <row r="4164" spans="1:3" x14ac:dyDescent="0.25">
      <c r="A4164" s="1"/>
      <c r="B4164" s="1"/>
      <c r="C4164" s="1"/>
    </row>
    <row r="4165" spans="1:3" x14ac:dyDescent="0.25">
      <c r="A4165" s="1"/>
      <c r="B4165" s="1"/>
      <c r="C4165" s="1"/>
    </row>
    <row r="4166" spans="1:3" x14ac:dyDescent="0.25">
      <c r="A4166" s="1"/>
      <c r="B4166" s="1"/>
      <c r="C4166" s="1"/>
    </row>
    <row r="4167" spans="1:3" x14ac:dyDescent="0.25">
      <c r="A4167" s="1"/>
      <c r="B4167" s="1"/>
      <c r="C4167" s="1"/>
    </row>
    <row r="4168" spans="1:3" x14ac:dyDescent="0.25">
      <c r="A4168" s="1"/>
      <c r="B4168" s="1"/>
      <c r="C4168" s="1"/>
    </row>
    <row r="4169" spans="1:3" x14ac:dyDescent="0.25">
      <c r="A4169" s="1"/>
      <c r="B4169" s="1"/>
      <c r="C4169" s="1"/>
    </row>
    <row r="4170" spans="1:3" x14ac:dyDescent="0.25">
      <c r="A4170" s="1"/>
      <c r="B4170" s="1"/>
      <c r="C4170" s="1"/>
    </row>
    <row r="4171" spans="1:3" x14ac:dyDescent="0.25">
      <c r="A4171" s="1"/>
      <c r="B4171" s="1"/>
      <c r="C4171" s="1"/>
    </row>
    <row r="4172" spans="1:3" x14ac:dyDescent="0.25">
      <c r="A4172" s="1"/>
      <c r="B4172" s="1"/>
      <c r="C4172" s="1"/>
    </row>
    <row r="4173" spans="1:3" x14ac:dyDescent="0.25">
      <c r="A4173" s="1"/>
      <c r="B4173" s="1"/>
      <c r="C4173" s="1"/>
    </row>
    <row r="4174" spans="1:3" x14ac:dyDescent="0.25">
      <c r="A4174" s="1"/>
      <c r="B4174" s="1"/>
      <c r="C4174" s="1"/>
    </row>
    <row r="4175" spans="1:3" x14ac:dyDescent="0.25">
      <c r="A4175" s="1"/>
      <c r="B4175" s="1"/>
      <c r="C4175" s="1"/>
    </row>
    <row r="4176" spans="1:3" x14ac:dyDescent="0.25">
      <c r="A4176" s="1"/>
      <c r="B4176" s="1"/>
      <c r="C4176" s="1"/>
    </row>
    <row r="4177" spans="1:3" x14ac:dyDescent="0.25">
      <c r="A4177" s="1"/>
      <c r="B4177" s="1"/>
      <c r="C4177" s="1"/>
    </row>
    <row r="4178" spans="1:3" x14ac:dyDescent="0.25">
      <c r="A4178" s="1"/>
      <c r="B4178" s="1"/>
      <c r="C4178" s="1"/>
    </row>
    <row r="4179" spans="1:3" x14ac:dyDescent="0.25">
      <c r="A4179" s="1"/>
      <c r="B4179" s="1"/>
      <c r="C4179" s="1"/>
    </row>
    <row r="4180" spans="1:3" x14ac:dyDescent="0.25">
      <c r="A4180" s="1"/>
      <c r="B4180" s="1"/>
      <c r="C4180" s="1"/>
    </row>
    <row r="4181" spans="1:3" x14ac:dyDescent="0.25">
      <c r="A4181" s="1"/>
      <c r="B4181" s="1"/>
      <c r="C4181" s="1"/>
    </row>
    <row r="4182" spans="1:3" x14ac:dyDescent="0.25">
      <c r="A4182" s="1"/>
      <c r="B4182" s="1"/>
      <c r="C4182" s="1"/>
    </row>
    <row r="4183" spans="1:3" x14ac:dyDescent="0.25">
      <c r="A4183" s="1"/>
      <c r="B4183" s="1"/>
      <c r="C4183" s="1"/>
    </row>
    <row r="4184" spans="1:3" x14ac:dyDescent="0.25">
      <c r="A4184" s="1"/>
      <c r="B4184" s="1"/>
      <c r="C4184" s="1"/>
    </row>
    <row r="4185" spans="1:3" x14ac:dyDescent="0.25">
      <c r="A4185" s="1"/>
      <c r="B4185" s="1"/>
      <c r="C4185" s="1"/>
    </row>
    <row r="4186" spans="1:3" x14ac:dyDescent="0.25">
      <c r="A4186" s="1"/>
      <c r="B4186" s="1"/>
      <c r="C4186" s="1"/>
    </row>
    <row r="4187" spans="1:3" x14ac:dyDescent="0.25">
      <c r="A4187" s="1"/>
      <c r="B4187" s="1"/>
      <c r="C4187" s="1"/>
    </row>
    <row r="4188" spans="1:3" x14ac:dyDescent="0.25">
      <c r="A4188" s="1"/>
      <c r="B4188" s="1"/>
      <c r="C4188" s="1"/>
    </row>
    <row r="4189" spans="1:3" x14ac:dyDescent="0.25">
      <c r="A4189" s="1"/>
      <c r="B4189" s="1"/>
      <c r="C4189" s="1"/>
    </row>
    <row r="4190" spans="1:3" x14ac:dyDescent="0.25">
      <c r="A4190" s="1"/>
      <c r="B4190" s="1"/>
      <c r="C4190" s="1"/>
    </row>
    <row r="4191" spans="1:3" x14ac:dyDescent="0.25">
      <c r="A4191" s="1"/>
      <c r="B4191" s="1"/>
      <c r="C4191" s="1"/>
    </row>
    <row r="4192" spans="1:3" x14ac:dyDescent="0.25">
      <c r="A4192" s="1"/>
      <c r="B4192" s="1"/>
      <c r="C4192" s="1"/>
    </row>
    <row r="4193" spans="1:3" x14ac:dyDescent="0.25">
      <c r="A4193" s="1"/>
      <c r="B4193" s="1"/>
      <c r="C4193" s="1"/>
    </row>
    <row r="4194" spans="1:3" x14ac:dyDescent="0.25">
      <c r="A4194" s="1"/>
      <c r="B4194" s="1"/>
      <c r="C4194" s="1"/>
    </row>
    <row r="4195" spans="1:3" x14ac:dyDescent="0.25">
      <c r="A4195" s="1"/>
      <c r="B4195" s="1"/>
      <c r="C4195" s="1"/>
    </row>
    <row r="4196" spans="1:3" x14ac:dyDescent="0.25">
      <c r="A4196" s="1"/>
      <c r="B4196" s="1"/>
      <c r="C4196" s="1"/>
    </row>
    <row r="4197" spans="1:3" x14ac:dyDescent="0.25">
      <c r="A4197" s="1"/>
      <c r="B4197" s="1"/>
      <c r="C4197" s="1"/>
    </row>
    <row r="4198" spans="1:3" x14ac:dyDescent="0.25">
      <c r="A4198" s="1"/>
      <c r="B4198" s="1"/>
      <c r="C4198" s="1"/>
    </row>
    <row r="4199" spans="1:3" x14ac:dyDescent="0.25">
      <c r="A4199" s="1"/>
      <c r="B4199" s="1"/>
      <c r="C4199" s="1"/>
    </row>
    <row r="4200" spans="1:3" x14ac:dyDescent="0.25">
      <c r="A4200" s="1"/>
      <c r="B4200" s="1"/>
      <c r="C4200" s="1"/>
    </row>
    <row r="4201" spans="1:3" x14ac:dyDescent="0.25">
      <c r="A4201" s="1"/>
      <c r="B4201" s="1"/>
      <c r="C4201" s="1"/>
    </row>
    <row r="4202" spans="1:3" x14ac:dyDescent="0.25">
      <c r="A4202" s="1"/>
      <c r="B4202" s="1"/>
      <c r="C4202" s="1"/>
    </row>
    <row r="4203" spans="1:3" x14ac:dyDescent="0.25">
      <c r="A4203" s="1"/>
      <c r="B4203" s="1"/>
      <c r="C4203" s="1"/>
    </row>
    <row r="4204" spans="1:3" x14ac:dyDescent="0.25">
      <c r="A4204" s="1"/>
      <c r="B4204" s="1"/>
      <c r="C4204" s="1"/>
    </row>
    <row r="4205" spans="1:3" x14ac:dyDescent="0.25">
      <c r="A4205" s="1"/>
      <c r="B4205" s="1"/>
      <c r="C4205" s="1"/>
    </row>
    <row r="4206" spans="1:3" x14ac:dyDescent="0.25">
      <c r="A4206" s="1"/>
      <c r="B4206" s="1"/>
      <c r="C4206" s="1"/>
    </row>
    <row r="4207" spans="1:3" x14ac:dyDescent="0.25">
      <c r="A4207" s="1"/>
      <c r="B4207" s="1"/>
      <c r="C4207" s="1"/>
    </row>
    <row r="4208" spans="1:3" x14ac:dyDescent="0.25">
      <c r="A4208" s="1"/>
      <c r="B4208" s="1"/>
      <c r="C4208" s="1"/>
    </row>
    <row r="4209" spans="1:3" x14ac:dyDescent="0.25">
      <c r="A4209" s="1"/>
      <c r="B4209" s="1"/>
      <c r="C4209" s="1"/>
    </row>
    <row r="4210" spans="1:3" x14ac:dyDescent="0.25">
      <c r="A4210" s="1"/>
      <c r="B4210" s="1"/>
      <c r="C4210" s="1"/>
    </row>
    <row r="4211" spans="1:3" x14ac:dyDescent="0.25">
      <c r="A4211" s="1"/>
      <c r="B4211" s="1"/>
      <c r="C4211" s="1"/>
    </row>
    <row r="4212" spans="1:3" x14ac:dyDescent="0.25">
      <c r="A4212" s="1"/>
      <c r="B4212" s="1"/>
      <c r="C4212" s="1"/>
    </row>
    <row r="4213" spans="1:3" x14ac:dyDescent="0.25">
      <c r="A4213" s="1"/>
      <c r="B4213" s="1"/>
      <c r="C4213" s="1"/>
    </row>
    <row r="4214" spans="1:3" x14ac:dyDescent="0.25">
      <c r="A4214" s="1"/>
      <c r="B4214" s="1"/>
      <c r="C4214" s="1"/>
    </row>
    <row r="4215" spans="1:3" x14ac:dyDescent="0.25">
      <c r="A4215" s="1"/>
      <c r="B4215" s="1"/>
      <c r="C4215" s="1"/>
    </row>
    <row r="4216" spans="1:3" x14ac:dyDescent="0.25">
      <c r="A4216" s="1"/>
      <c r="B4216" s="1"/>
      <c r="C4216" s="1"/>
    </row>
    <row r="4217" spans="1:3" x14ac:dyDescent="0.25">
      <c r="A4217" s="1"/>
      <c r="B4217" s="1"/>
      <c r="C4217" s="1"/>
    </row>
    <row r="4218" spans="1:3" x14ac:dyDescent="0.25">
      <c r="A4218" s="1"/>
      <c r="B4218" s="1"/>
      <c r="C4218" s="1"/>
    </row>
    <row r="4219" spans="1:3" x14ac:dyDescent="0.25">
      <c r="A4219" s="1"/>
      <c r="B4219" s="1"/>
      <c r="C4219" s="1"/>
    </row>
    <row r="4220" spans="1:3" x14ac:dyDescent="0.25">
      <c r="A4220" s="1"/>
      <c r="B4220" s="1"/>
      <c r="C4220" s="1"/>
    </row>
    <row r="4221" spans="1:3" x14ac:dyDescent="0.25">
      <c r="A4221" s="1"/>
      <c r="B4221" s="1"/>
      <c r="C4221" s="1"/>
    </row>
    <row r="4222" spans="1:3" x14ac:dyDescent="0.25">
      <c r="A4222" s="1"/>
      <c r="B4222" s="1"/>
      <c r="C4222" s="1"/>
    </row>
    <row r="4223" spans="1:3" x14ac:dyDescent="0.25">
      <c r="A4223" s="1"/>
      <c r="B4223" s="1"/>
      <c r="C4223" s="1"/>
    </row>
    <row r="4224" spans="1:3" x14ac:dyDescent="0.25">
      <c r="A4224" s="1"/>
      <c r="B4224" s="1"/>
      <c r="C4224" s="1"/>
    </row>
    <row r="4225" spans="1:3" x14ac:dyDescent="0.25">
      <c r="A4225" s="1"/>
      <c r="B4225" s="1"/>
      <c r="C4225" s="1"/>
    </row>
    <row r="4226" spans="1:3" x14ac:dyDescent="0.25">
      <c r="A4226" s="1"/>
      <c r="B4226" s="1"/>
      <c r="C4226" s="1"/>
    </row>
    <row r="4227" spans="1:3" x14ac:dyDescent="0.25">
      <c r="A4227" s="1"/>
      <c r="B4227" s="1"/>
      <c r="C4227" s="1"/>
    </row>
    <row r="4228" spans="1:3" x14ac:dyDescent="0.25">
      <c r="A4228" s="1"/>
      <c r="B4228" s="1"/>
      <c r="C4228" s="1"/>
    </row>
    <row r="4229" spans="1:3" x14ac:dyDescent="0.25">
      <c r="A4229" s="1"/>
      <c r="B4229" s="1"/>
      <c r="C4229" s="1"/>
    </row>
    <row r="4230" spans="1:3" x14ac:dyDescent="0.25">
      <c r="A4230" s="1"/>
      <c r="B4230" s="1"/>
      <c r="C4230" s="1"/>
    </row>
    <row r="4231" spans="1:3" x14ac:dyDescent="0.25">
      <c r="A4231" s="1"/>
      <c r="B4231" s="1"/>
      <c r="C4231" s="1"/>
    </row>
    <row r="4232" spans="1:3" x14ac:dyDescent="0.25">
      <c r="A4232" s="1"/>
      <c r="B4232" s="1"/>
      <c r="C4232" s="1"/>
    </row>
    <row r="4233" spans="1:3" x14ac:dyDescent="0.25">
      <c r="A4233" s="1"/>
      <c r="B4233" s="1"/>
      <c r="C4233" s="1"/>
    </row>
    <row r="4234" spans="1:3" x14ac:dyDescent="0.25">
      <c r="A4234" s="1"/>
      <c r="B4234" s="1"/>
      <c r="C4234" s="1"/>
    </row>
    <row r="4235" spans="1:3" x14ac:dyDescent="0.25">
      <c r="A4235" s="1"/>
      <c r="B4235" s="1"/>
      <c r="C4235" s="1"/>
    </row>
    <row r="4236" spans="1:3" x14ac:dyDescent="0.25">
      <c r="A4236" s="1"/>
      <c r="B4236" s="1"/>
      <c r="C4236" s="1"/>
    </row>
    <row r="4237" spans="1:3" x14ac:dyDescent="0.25">
      <c r="A4237" s="1"/>
      <c r="B4237" s="1"/>
      <c r="C4237" s="1"/>
    </row>
    <row r="4238" spans="1:3" x14ac:dyDescent="0.25">
      <c r="A4238" s="1"/>
      <c r="B4238" s="1"/>
      <c r="C4238" s="1"/>
    </row>
    <row r="4239" spans="1:3" x14ac:dyDescent="0.25">
      <c r="A4239" s="1"/>
      <c r="B4239" s="1"/>
      <c r="C4239" s="1"/>
    </row>
    <row r="4240" spans="1:3" x14ac:dyDescent="0.25">
      <c r="A4240" s="1"/>
      <c r="B4240" s="1"/>
      <c r="C4240" s="1"/>
    </row>
    <row r="4241" spans="1:3" x14ac:dyDescent="0.25">
      <c r="A4241" s="1"/>
      <c r="B4241" s="1"/>
      <c r="C4241" s="1"/>
    </row>
    <row r="4242" spans="1:3" x14ac:dyDescent="0.25">
      <c r="A4242" s="1"/>
      <c r="B4242" s="1"/>
      <c r="C4242" s="1"/>
    </row>
    <row r="4243" spans="1:3" x14ac:dyDescent="0.25">
      <c r="A4243" s="1"/>
      <c r="B4243" s="1"/>
      <c r="C4243" s="1"/>
    </row>
    <row r="4244" spans="1:3" x14ac:dyDescent="0.25">
      <c r="A4244" s="1"/>
      <c r="B4244" s="1"/>
      <c r="C4244" s="1"/>
    </row>
    <row r="4245" spans="1:3" x14ac:dyDescent="0.25">
      <c r="A4245" s="1"/>
      <c r="B4245" s="1"/>
      <c r="C4245" s="1"/>
    </row>
    <row r="4246" spans="1:3" x14ac:dyDescent="0.25">
      <c r="A4246" s="1"/>
      <c r="B4246" s="1"/>
      <c r="C4246" s="1"/>
    </row>
    <row r="4247" spans="1:3" x14ac:dyDescent="0.25">
      <c r="A4247" s="1"/>
      <c r="B4247" s="1"/>
      <c r="C4247" s="1"/>
    </row>
    <row r="4248" spans="1:3" x14ac:dyDescent="0.25">
      <c r="A4248" s="1"/>
      <c r="B4248" s="1"/>
      <c r="C4248" s="1"/>
    </row>
    <row r="4249" spans="1:3" x14ac:dyDescent="0.25">
      <c r="A4249" s="1"/>
      <c r="B4249" s="1"/>
      <c r="C4249" s="1"/>
    </row>
    <row r="4250" spans="1:3" x14ac:dyDescent="0.25">
      <c r="A4250" s="1"/>
      <c r="B4250" s="1"/>
      <c r="C4250" s="1"/>
    </row>
    <row r="4251" spans="1:3" x14ac:dyDescent="0.25">
      <c r="A4251" s="1"/>
      <c r="B4251" s="1"/>
      <c r="C4251" s="1"/>
    </row>
    <row r="4252" spans="1:3" x14ac:dyDescent="0.25">
      <c r="A4252" s="1"/>
      <c r="B4252" s="1"/>
      <c r="C4252" s="1"/>
    </row>
    <row r="4253" spans="1:3" x14ac:dyDescent="0.25">
      <c r="A4253" s="1"/>
      <c r="B4253" s="1"/>
      <c r="C4253" s="1"/>
    </row>
    <row r="4254" spans="1:3" x14ac:dyDescent="0.25">
      <c r="A4254" s="1"/>
      <c r="B4254" s="1"/>
      <c r="C4254" s="1"/>
    </row>
    <row r="4255" spans="1:3" x14ac:dyDescent="0.25">
      <c r="A4255" s="1"/>
      <c r="B4255" s="1"/>
      <c r="C4255" s="1"/>
    </row>
    <row r="4256" spans="1:3" x14ac:dyDescent="0.25">
      <c r="A4256" s="1"/>
      <c r="B4256" s="1"/>
      <c r="C4256" s="1"/>
    </row>
    <row r="4257" spans="1:3" x14ac:dyDescent="0.25">
      <c r="A4257" s="1"/>
      <c r="B4257" s="1"/>
      <c r="C4257" s="1"/>
    </row>
    <row r="4258" spans="1:3" x14ac:dyDescent="0.25">
      <c r="A4258" s="1"/>
      <c r="B4258" s="1"/>
      <c r="C4258" s="1"/>
    </row>
    <row r="4259" spans="1:3" x14ac:dyDescent="0.25">
      <c r="A4259" s="1"/>
      <c r="B4259" s="1"/>
      <c r="C4259" s="1"/>
    </row>
    <row r="4260" spans="1:3" x14ac:dyDescent="0.25">
      <c r="A4260" s="1"/>
      <c r="B4260" s="1"/>
      <c r="C4260" s="1"/>
    </row>
    <row r="4261" spans="1:3" x14ac:dyDescent="0.25">
      <c r="A4261" s="1"/>
      <c r="B4261" s="1"/>
      <c r="C4261" s="1"/>
    </row>
    <row r="4262" spans="1:3" x14ac:dyDescent="0.25">
      <c r="A4262" s="1"/>
      <c r="B4262" s="1"/>
      <c r="C4262" s="1"/>
    </row>
    <row r="4263" spans="1:3" x14ac:dyDescent="0.25">
      <c r="A4263" s="1"/>
      <c r="B4263" s="1"/>
      <c r="C4263" s="1"/>
    </row>
    <row r="4264" spans="1:3" x14ac:dyDescent="0.25">
      <c r="A4264" s="1"/>
      <c r="B4264" s="1"/>
      <c r="C4264" s="1"/>
    </row>
    <row r="4265" spans="1:3" x14ac:dyDescent="0.25">
      <c r="A4265" s="1"/>
      <c r="B4265" s="1"/>
      <c r="C4265" s="1"/>
    </row>
    <row r="4266" spans="1:3" x14ac:dyDescent="0.25">
      <c r="A4266" s="1"/>
      <c r="B4266" s="1"/>
      <c r="C4266" s="1"/>
    </row>
    <row r="4267" spans="1:3" x14ac:dyDescent="0.25">
      <c r="A4267" s="1"/>
      <c r="B4267" s="1"/>
      <c r="C4267" s="1"/>
    </row>
    <row r="4268" spans="1:3" x14ac:dyDescent="0.25">
      <c r="A4268" s="1"/>
      <c r="B4268" s="1"/>
      <c r="C4268" s="1"/>
    </row>
    <row r="4269" spans="1:3" x14ac:dyDescent="0.25">
      <c r="A4269" s="1"/>
      <c r="B4269" s="1"/>
      <c r="C4269" s="1"/>
    </row>
    <row r="4270" spans="1:3" x14ac:dyDescent="0.25">
      <c r="A4270" s="1"/>
      <c r="B4270" s="1"/>
      <c r="C4270" s="1"/>
    </row>
    <row r="4271" spans="1:3" x14ac:dyDescent="0.25">
      <c r="A4271" s="1"/>
      <c r="B4271" s="1"/>
      <c r="C4271" s="1"/>
    </row>
    <row r="4272" spans="1:3" x14ac:dyDescent="0.25">
      <c r="A4272" s="1"/>
      <c r="B4272" s="1"/>
      <c r="C4272" s="1"/>
    </row>
    <row r="4273" spans="1:3" x14ac:dyDescent="0.25">
      <c r="A4273" s="1"/>
      <c r="B4273" s="1"/>
      <c r="C4273" s="1"/>
    </row>
    <row r="4274" spans="1:3" x14ac:dyDescent="0.25">
      <c r="A4274" s="1"/>
      <c r="B4274" s="1"/>
      <c r="C4274" s="1"/>
    </row>
    <row r="4275" spans="1:3" x14ac:dyDescent="0.25">
      <c r="A4275" s="1"/>
      <c r="B4275" s="1"/>
      <c r="C4275" s="1"/>
    </row>
    <row r="4276" spans="1:3" x14ac:dyDescent="0.25">
      <c r="A4276" s="1"/>
      <c r="B4276" s="1"/>
      <c r="C4276" s="1"/>
    </row>
    <row r="4277" spans="1:3" x14ac:dyDescent="0.25">
      <c r="A4277" s="1"/>
      <c r="B4277" s="1"/>
      <c r="C4277" s="1"/>
    </row>
    <row r="4278" spans="1:3" x14ac:dyDescent="0.25">
      <c r="A4278" s="1"/>
      <c r="B4278" s="1"/>
      <c r="C4278" s="1"/>
    </row>
    <row r="4279" spans="1:3" x14ac:dyDescent="0.25">
      <c r="A4279" s="1"/>
      <c r="B4279" s="1"/>
      <c r="C4279" s="1"/>
    </row>
    <row r="4280" spans="1:3" x14ac:dyDescent="0.25">
      <c r="A4280" s="1"/>
      <c r="B4280" s="1"/>
      <c r="C4280" s="1"/>
    </row>
    <row r="4281" spans="1:3" x14ac:dyDescent="0.25">
      <c r="A4281" s="1"/>
      <c r="B4281" s="1"/>
      <c r="C4281" s="1"/>
    </row>
    <row r="4282" spans="1:3" x14ac:dyDescent="0.25">
      <c r="A4282" s="1"/>
      <c r="B4282" s="1"/>
      <c r="C4282" s="1"/>
    </row>
    <row r="4283" spans="1:3" x14ac:dyDescent="0.25">
      <c r="A4283" s="1"/>
      <c r="B4283" s="1"/>
      <c r="C4283" s="1"/>
    </row>
    <row r="4284" spans="1:3" x14ac:dyDescent="0.25">
      <c r="A4284" s="1"/>
      <c r="B4284" s="1"/>
      <c r="C4284" s="1"/>
    </row>
    <row r="4285" spans="1:3" x14ac:dyDescent="0.25">
      <c r="A4285" s="1"/>
      <c r="B4285" s="1"/>
      <c r="C4285" s="1"/>
    </row>
    <row r="4286" spans="1:3" x14ac:dyDescent="0.25">
      <c r="A4286" s="1"/>
      <c r="B4286" s="1"/>
      <c r="C4286" s="1"/>
    </row>
    <row r="4287" spans="1:3" x14ac:dyDescent="0.25">
      <c r="A4287" s="1"/>
      <c r="B4287" s="1"/>
      <c r="C4287" s="1"/>
    </row>
    <row r="4288" spans="1:3" x14ac:dyDescent="0.25">
      <c r="A4288" s="1"/>
      <c r="B4288" s="1"/>
      <c r="C4288" s="1"/>
    </row>
    <row r="4289" spans="1:3" x14ac:dyDescent="0.25">
      <c r="A4289" s="1"/>
      <c r="B4289" s="1"/>
      <c r="C4289" s="1"/>
    </row>
    <row r="4290" spans="1:3" x14ac:dyDescent="0.25">
      <c r="A4290" s="1"/>
      <c r="B4290" s="1"/>
      <c r="C4290" s="1"/>
    </row>
    <row r="4291" spans="1:3" x14ac:dyDescent="0.25">
      <c r="A4291" s="1"/>
      <c r="B4291" s="1"/>
      <c r="C4291" s="1"/>
    </row>
    <row r="4292" spans="1:3" x14ac:dyDescent="0.25">
      <c r="A4292" s="1"/>
      <c r="B4292" s="1"/>
      <c r="C4292" s="1"/>
    </row>
    <row r="4293" spans="1:3" x14ac:dyDescent="0.25">
      <c r="A4293" s="1"/>
      <c r="B4293" s="1"/>
      <c r="C4293" s="1"/>
    </row>
    <row r="4294" spans="1:3" x14ac:dyDescent="0.25">
      <c r="A4294" s="1"/>
      <c r="B4294" s="1"/>
      <c r="C4294" s="1"/>
    </row>
    <row r="4295" spans="1:3" x14ac:dyDescent="0.25">
      <c r="A4295" s="1"/>
      <c r="B4295" s="1"/>
      <c r="C4295" s="1"/>
    </row>
    <row r="4296" spans="1:3" x14ac:dyDescent="0.25">
      <c r="A4296" s="1"/>
      <c r="B4296" s="1"/>
      <c r="C4296" s="1"/>
    </row>
    <row r="4297" spans="1:3" x14ac:dyDescent="0.25">
      <c r="A4297" s="1"/>
      <c r="B4297" s="1"/>
      <c r="C4297" s="1"/>
    </row>
    <row r="4298" spans="1:3" x14ac:dyDescent="0.25">
      <c r="A4298" s="1"/>
      <c r="B4298" s="1"/>
      <c r="C4298" s="1"/>
    </row>
    <row r="4299" spans="1:3" x14ac:dyDescent="0.25">
      <c r="A4299" s="1"/>
      <c r="B4299" s="1"/>
      <c r="C4299" s="1"/>
    </row>
    <row r="4300" spans="1:3" x14ac:dyDescent="0.25">
      <c r="A4300" s="1"/>
      <c r="B4300" s="1"/>
      <c r="C4300" s="1"/>
    </row>
    <row r="4301" spans="1:3" x14ac:dyDescent="0.25">
      <c r="A4301" s="1"/>
      <c r="B4301" s="1"/>
      <c r="C4301" s="1"/>
    </row>
    <row r="4302" spans="1:3" x14ac:dyDescent="0.25">
      <c r="A4302" s="1"/>
      <c r="B4302" s="1"/>
      <c r="C4302" s="1"/>
    </row>
    <row r="4303" spans="1:3" x14ac:dyDescent="0.25">
      <c r="A4303" s="1"/>
      <c r="B4303" s="1"/>
      <c r="C4303" s="1"/>
    </row>
    <row r="4304" spans="1:3" x14ac:dyDescent="0.25">
      <c r="A4304" s="1"/>
      <c r="B4304" s="1"/>
      <c r="C4304" s="1"/>
    </row>
    <row r="4305" spans="1:3" x14ac:dyDescent="0.25">
      <c r="A4305" s="1"/>
      <c r="B4305" s="1"/>
      <c r="C4305" s="1"/>
    </row>
    <row r="4306" spans="1:3" x14ac:dyDescent="0.25">
      <c r="A4306" s="1"/>
      <c r="B4306" s="1"/>
      <c r="C4306" s="1"/>
    </row>
    <row r="4307" spans="1:3" x14ac:dyDescent="0.25">
      <c r="A4307" s="1"/>
      <c r="B4307" s="1"/>
      <c r="C4307" s="1"/>
    </row>
    <row r="4308" spans="1:3" x14ac:dyDescent="0.25">
      <c r="A4308" s="1"/>
      <c r="B4308" s="1"/>
      <c r="C4308" s="1"/>
    </row>
    <row r="4309" spans="1:3" x14ac:dyDescent="0.25">
      <c r="A4309" s="1"/>
      <c r="B4309" s="1"/>
      <c r="C4309" s="1"/>
    </row>
    <row r="4310" spans="1:3" x14ac:dyDescent="0.25">
      <c r="A4310" s="1"/>
      <c r="B4310" s="1"/>
      <c r="C4310" s="1"/>
    </row>
    <row r="4311" spans="1:3" x14ac:dyDescent="0.25">
      <c r="A4311" s="1"/>
      <c r="B4311" s="1"/>
      <c r="C4311" s="1"/>
    </row>
    <row r="4312" spans="1:3" x14ac:dyDescent="0.25">
      <c r="A4312" s="1"/>
      <c r="B4312" s="1"/>
      <c r="C4312" s="1"/>
    </row>
    <row r="4313" spans="1:3" x14ac:dyDescent="0.25">
      <c r="A4313" s="1"/>
      <c r="B4313" s="1"/>
      <c r="C4313" s="1"/>
    </row>
    <row r="4314" spans="1:3" x14ac:dyDescent="0.25">
      <c r="A4314" s="1"/>
      <c r="B4314" s="1"/>
      <c r="C4314" s="1"/>
    </row>
    <row r="4315" spans="1:3" x14ac:dyDescent="0.25">
      <c r="A4315" s="1"/>
      <c r="B4315" s="1"/>
      <c r="C4315" s="1"/>
    </row>
    <row r="4316" spans="1:3" x14ac:dyDescent="0.25">
      <c r="A4316" s="1"/>
      <c r="B4316" s="1"/>
      <c r="C4316" s="1"/>
    </row>
    <row r="4317" spans="1:3" x14ac:dyDescent="0.25">
      <c r="A4317" s="1"/>
      <c r="B4317" s="1"/>
      <c r="C4317" s="1"/>
    </row>
    <row r="4318" spans="1:3" x14ac:dyDescent="0.25">
      <c r="A4318" s="1"/>
      <c r="B4318" s="1"/>
      <c r="C4318" s="1"/>
    </row>
    <row r="4319" spans="1:3" x14ac:dyDescent="0.25">
      <c r="A4319" s="1"/>
      <c r="B4319" s="1"/>
      <c r="C4319" s="1"/>
    </row>
    <row r="4320" spans="1:3" x14ac:dyDescent="0.25">
      <c r="A4320" s="1"/>
      <c r="B4320" s="1"/>
      <c r="C4320" s="1"/>
    </row>
    <row r="4321" spans="1:3" x14ac:dyDescent="0.25">
      <c r="A4321" s="1"/>
      <c r="B4321" s="1"/>
      <c r="C4321" s="1"/>
    </row>
    <row r="4322" spans="1:3" x14ac:dyDescent="0.25">
      <c r="A4322" s="1"/>
      <c r="B4322" s="1"/>
      <c r="C4322" s="1"/>
    </row>
    <row r="4323" spans="1:3" x14ac:dyDescent="0.25">
      <c r="A4323" s="1"/>
      <c r="B4323" s="1"/>
      <c r="C4323" s="1"/>
    </row>
    <row r="4324" spans="1:3" x14ac:dyDescent="0.25">
      <c r="A4324" s="1"/>
      <c r="B4324" s="1"/>
      <c r="C4324" s="1"/>
    </row>
    <row r="4325" spans="1:3" x14ac:dyDescent="0.25">
      <c r="A4325" s="1"/>
      <c r="B4325" s="1"/>
      <c r="C4325" s="1"/>
    </row>
    <row r="4326" spans="1:3" x14ac:dyDescent="0.25">
      <c r="A4326" s="1"/>
      <c r="B4326" s="1"/>
      <c r="C4326" s="1"/>
    </row>
    <row r="4327" spans="1:3" x14ac:dyDescent="0.25">
      <c r="A4327" s="1"/>
      <c r="B4327" s="1"/>
      <c r="C4327" s="1"/>
    </row>
    <row r="4328" spans="1:3" x14ac:dyDescent="0.25">
      <c r="A4328" s="1"/>
      <c r="B4328" s="1"/>
      <c r="C4328" s="1"/>
    </row>
    <row r="4329" spans="1:3" x14ac:dyDescent="0.25">
      <c r="A4329" s="1"/>
      <c r="B4329" s="1"/>
      <c r="C4329" s="1"/>
    </row>
    <row r="4330" spans="1:3" x14ac:dyDescent="0.25">
      <c r="A4330" s="1"/>
      <c r="B4330" s="1"/>
      <c r="C4330" s="1"/>
    </row>
    <row r="4331" spans="1:3" x14ac:dyDescent="0.25">
      <c r="A4331" s="1"/>
      <c r="B4331" s="1"/>
      <c r="C4331" s="1"/>
    </row>
    <row r="4332" spans="1:3" x14ac:dyDescent="0.25">
      <c r="A4332" s="1"/>
      <c r="B4332" s="1"/>
      <c r="C4332" s="1"/>
    </row>
    <row r="4333" spans="1:3" x14ac:dyDescent="0.25">
      <c r="A4333" s="1"/>
      <c r="B4333" s="1"/>
      <c r="C4333" s="1"/>
    </row>
    <row r="4334" spans="1:3" x14ac:dyDescent="0.25">
      <c r="A4334" s="1"/>
      <c r="B4334" s="1"/>
      <c r="C4334" s="1"/>
    </row>
    <row r="4335" spans="1:3" x14ac:dyDescent="0.25">
      <c r="A4335" s="1"/>
      <c r="B4335" s="1"/>
      <c r="C4335" s="1"/>
    </row>
    <row r="4336" spans="1:3" x14ac:dyDescent="0.25">
      <c r="A4336" s="1"/>
      <c r="B4336" s="1"/>
      <c r="C4336" s="1"/>
    </row>
    <row r="4337" spans="1:3" x14ac:dyDescent="0.25">
      <c r="A4337" s="1"/>
      <c r="B4337" s="1"/>
      <c r="C4337" s="1"/>
    </row>
    <row r="4338" spans="1:3" x14ac:dyDescent="0.25">
      <c r="A4338" s="1"/>
      <c r="B4338" s="1"/>
      <c r="C4338" s="1"/>
    </row>
    <row r="4339" spans="1:3" x14ac:dyDescent="0.25">
      <c r="A4339" s="1"/>
      <c r="B4339" s="1"/>
      <c r="C4339" s="1"/>
    </row>
    <row r="4340" spans="1:3" x14ac:dyDescent="0.25">
      <c r="A4340" s="1"/>
      <c r="B4340" s="1"/>
      <c r="C4340" s="1"/>
    </row>
    <row r="4341" spans="1:3" x14ac:dyDescent="0.25">
      <c r="A4341" s="1"/>
      <c r="B4341" s="1"/>
      <c r="C4341" s="1"/>
    </row>
    <row r="4342" spans="1:3" x14ac:dyDescent="0.25">
      <c r="A4342" s="1"/>
      <c r="B4342" s="1"/>
      <c r="C4342" s="1"/>
    </row>
    <row r="4343" spans="1:3" x14ac:dyDescent="0.25">
      <c r="A4343" s="1"/>
      <c r="B4343" s="1"/>
      <c r="C4343" s="1"/>
    </row>
    <row r="4344" spans="1:3" x14ac:dyDescent="0.25">
      <c r="A4344" s="1"/>
      <c r="B4344" s="1"/>
      <c r="C4344" s="1"/>
    </row>
    <row r="4345" spans="1:3" x14ac:dyDescent="0.25">
      <c r="A4345" s="1"/>
      <c r="B4345" s="1"/>
      <c r="C4345" s="1"/>
    </row>
    <row r="4346" spans="1:3" x14ac:dyDescent="0.25">
      <c r="A4346" s="1"/>
      <c r="B4346" s="1"/>
      <c r="C4346" s="1"/>
    </row>
    <row r="4347" spans="1:3" x14ac:dyDescent="0.25">
      <c r="A4347" s="1"/>
      <c r="B4347" s="1"/>
      <c r="C4347" s="1"/>
    </row>
    <row r="4348" spans="1:3" x14ac:dyDescent="0.25">
      <c r="A4348" s="1"/>
      <c r="B4348" s="1"/>
      <c r="C4348" s="1"/>
    </row>
    <row r="4349" spans="1:3" x14ac:dyDescent="0.25">
      <c r="A4349" s="1"/>
      <c r="B4349" s="1"/>
      <c r="C4349" s="1"/>
    </row>
    <row r="4350" spans="1:3" x14ac:dyDescent="0.25">
      <c r="A4350" s="1"/>
      <c r="B4350" s="1"/>
      <c r="C4350" s="1"/>
    </row>
    <row r="4351" spans="1:3" x14ac:dyDescent="0.25">
      <c r="A4351" s="1"/>
      <c r="B4351" s="1"/>
      <c r="C4351" s="1"/>
    </row>
    <row r="4352" spans="1:3" x14ac:dyDescent="0.25">
      <c r="A4352" s="1"/>
      <c r="B4352" s="1"/>
      <c r="C4352" s="1"/>
    </row>
    <row r="4353" spans="1:3" x14ac:dyDescent="0.25">
      <c r="A4353" s="1"/>
      <c r="B4353" s="1"/>
      <c r="C4353" s="1"/>
    </row>
    <row r="4354" spans="1:3" x14ac:dyDescent="0.25">
      <c r="A4354" s="1"/>
      <c r="B4354" s="1"/>
      <c r="C4354" s="1"/>
    </row>
    <row r="4355" spans="1:3" x14ac:dyDescent="0.25">
      <c r="A4355" s="1"/>
      <c r="B4355" s="1"/>
      <c r="C4355" s="1"/>
    </row>
    <row r="4356" spans="1:3" x14ac:dyDescent="0.25">
      <c r="A4356" s="1"/>
      <c r="B4356" s="1"/>
      <c r="C4356" s="1"/>
    </row>
    <row r="4357" spans="1:3" x14ac:dyDescent="0.25">
      <c r="A4357" s="1"/>
      <c r="B4357" s="1"/>
      <c r="C4357" s="1"/>
    </row>
    <row r="4358" spans="1:3" x14ac:dyDescent="0.25">
      <c r="A4358" s="1"/>
      <c r="B4358" s="1"/>
      <c r="C4358" s="1"/>
    </row>
    <row r="4359" spans="1:3" x14ac:dyDescent="0.25">
      <c r="A4359" s="1"/>
      <c r="B4359" s="1"/>
      <c r="C4359" s="1"/>
    </row>
    <row r="4360" spans="1:3" x14ac:dyDescent="0.25">
      <c r="A4360" s="1"/>
      <c r="B4360" s="1"/>
      <c r="C4360" s="1"/>
    </row>
    <row r="4361" spans="1:3" x14ac:dyDescent="0.25">
      <c r="A4361" s="1"/>
      <c r="B4361" s="1"/>
      <c r="C4361" s="1"/>
    </row>
    <row r="4362" spans="1:3" x14ac:dyDescent="0.25">
      <c r="A4362" s="1"/>
      <c r="B4362" s="1"/>
      <c r="C4362" s="1"/>
    </row>
    <row r="4363" spans="1:3" x14ac:dyDescent="0.25">
      <c r="A4363" s="1"/>
      <c r="B4363" s="1"/>
      <c r="C4363" s="1"/>
    </row>
    <row r="4364" spans="1:3" x14ac:dyDescent="0.25">
      <c r="A4364" s="1"/>
      <c r="B4364" s="1"/>
      <c r="C4364" s="1"/>
    </row>
    <row r="4365" spans="1:3" x14ac:dyDescent="0.25">
      <c r="A4365" s="1"/>
      <c r="B4365" s="1"/>
      <c r="C4365" s="1"/>
    </row>
    <row r="4366" spans="1:3" x14ac:dyDescent="0.25">
      <c r="A4366" s="1"/>
      <c r="B4366" s="1"/>
      <c r="C4366" s="1"/>
    </row>
    <row r="4367" spans="1:3" x14ac:dyDescent="0.25">
      <c r="A4367" s="1"/>
      <c r="B4367" s="1"/>
      <c r="C4367" s="1"/>
    </row>
    <row r="4368" spans="1:3" x14ac:dyDescent="0.25">
      <c r="A4368" s="1"/>
      <c r="B4368" s="1"/>
      <c r="C4368" s="1"/>
    </row>
    <row r="4369" spans="1:3" x14ac:dyDescent="0.25">
      <c r="A4369" s="1"/>
      <c r="B4369" s="1"/>
      <c r="C4369" s="1"/>
    </row>
    <row r="4370" spans="1:3" x14ac:dyDescent="0.25">
      <c r="A4370" s="1"/>
      <c r="B4370" s="1"/>
      <c r="C4370" s="1"/>
    </row>
    <row r="4371" spans="1:3" x14ac:dyDescent="0.25">
      <c r="A4371" s="1"/>
      <c r="B4371" s="1"/>
      <c r="C4371" s="1"/>
    </row>
    <row r="4372" spans="1:3" x14ac:dyDescent="0.25">
      <c r="A4372" s="1"/>
      <c r="B4372" s="1"/>
      <c r="C4372" s="1"/>
    </row>
    <row r="4373" spans="1:3" x14ac:dyDescent="0.25">
      <c r="A4373" s="1"/>
      <c r="B4373" s="1"/>
      <c r="C4373" s="1"/>
    </row>
    <row r="4374" spans="1:3" x14ac:dyDescent="0.25">
      <c r="A4374" s="1"/>
      <c r="B4374" s="1"/>
      <c r="C4374" s="1"/>
    </row>
    <row r="4375" spans="1:3" x14ac:dyDescent="0.25">
      <c r="A4375" s="1"/>
      <c r="B4375" s="1"/>
      <c r="C4375" s="1"/>
    </row>
    <row r="4376" spans="1:3" x14ac:dyDescent="0.25">
      <c r="A4376" s="1"/>
      <c r="B4376" s="1"/>
      <c r="C4376" s="1"/>
    </row>
    <row r="4377" spans="1:3" x14ac:dyDescent="0.25">
      <c r="A4377" s="1"/>
      <c r="B4377" s="1"/>
      <c r="C4377" s="1"/>
    </row>
    <row r="4378" spans="1:3" x14ac:dyDescent="0.25">
      <c r="A4378" s="1"/>
      <c r="B4378" s="1"/>
      <c r="C4378" s="1"/>
    </row>
    <row r="4379" spans="1:3" x14ac:dyDescent="0.25">
      <c r="A4379" s="1"/>
      <c r="B4379" s="1"/>
      <c r="C4379" s="1"/>
    </row>
    <row r="4380" spans="1:3" x14ac:dyDescent="0.25">
      <c r="A4380" s="1"/>
      <c r="B4380" s="1"/>
      <c r="C4380" s="1"/>
    </row>
    <row r="4381" spans="1:3" x14ac:dyDescent="0.25">
      <c r="A4381" s="1"/>
      <c r="B4381" s="1"/>
      <c r="C4381" s="1"/>
    </row>
    <row r="4382" spans="1:3" x14ac:dyDescent="0.25">
      <c r="A4382" s="1"/>
      <c r="B4382" s="1"/>
      <c r="C4382" s="1"/>
    </row>
    <row r="4383" spans="1:3" x14ac:dyDescent="0.25">
      <c r="A4383" s="1"/>
      <c r="B4383" s="1"/>
      <c r="C4383" s="1"/>
    </row>
    <row r="4384" spans="1:3" x14ac:dyDescent="0.25">
      <c r="A4384" s="1"/>
      <c r="B4384" s="1"/>
      <c r="C4384" s="1"/>
    </row>
    <row r="4385" spans="1:3" x14ac:dyDescent="0.25">
      <c r="A4385" s="1"/>
      <c r="B4385" s="1"/>
      <c r="C4385" s="1"/>
    </row>
    <row r="4386" spans="1:3" x14ac:dyDescent="0.25">
      <c r="A4386" s="1"/>
      <c r="B4386" s="1"/>
      <c r="C4386" s="1"/>
    </row>
    <row r="4387" spans="1:3" x14ac:dyDescent="0.25">
      <c r="A4387" s="1"/>
      <c r="B4387" s="1"/>
      <c r="C4387" s="1"/>
    </row>
    <row r="4388" spans="1:3" x14ac:dyDescent="0.25">
      <c r="A4388" s="1"/>
      <c r="B4388" s="1"/>
      <c r="C4388" s="1"/>
    </row>
    <row r="4389" spans="1:3" x14ac:dyDescent="0.25">
      <c r="A4389" s="1"/>
      <c r="B4389" s="1"/>
      <c r="C4389" s="1"/>
    </row>
    <row r="4390" spans="1:3" x14ac:dyDescent="0.25">
      <c r="A4390" s="1"/>
      <c r="B4390" s="1"/>
      <c r="C4390" s="1"/>
    </row>
    <row r="4391" spans="1:3" x14ac:dyDescent="0.25">
      <c r="A4391" s="1"/>
      <c r="B4391" s="1"/>
      <c r="C4391" s="1"/>
    </row>
    <row r="4392" spans="1:3" x14ac:dyDescent="0.25">
      <c r="A4392" s="1"/>
      <c r="B4392" s="1"/>
      <c r="C4392" s="1"/>
    </row>
    <row r="4393" spans="1:3" x14ac:dyDescent="0.25">
      <c r="A4393" s="1"/>
      <c r="B4393" s="1"/>
      <c r="C4393" s="1"/>
    </row>
    <row r="4394" spans="1:3" x14ac:dyDescent="0.25">
      <c r="A4394" s="1"/>
      <c r="B4394" s="1"/>
      <c r="C4394" s="1"/>
    </row>
    <row r="4395" spans="1:3" x14ac:dyDescent="0.25">
      <c r="A4395" s="1"/>
      <c r="B4395" s="1"/>
      <c r="C4395" s="1"/>
    </row>
    <row r="4396" spans="1:3" x14ac:dyDescent="0.25">
      <c r="A4396" s="1"/>
      <c r="B4396" s="1"/>
      <c r="C4396" s="1"/>
    </row>
    <row r="4397" spans="1:3" x14ac:dyDescent="0.25">
      <c r="A4397" s="1"/>
      <c r="B4397" s="1"/>
      <c r="C4397" s="1"/>
    </row>
    <row r="4398" spans="1:3" x14ac:dyDescent="0.25">
      <c r="A4398" s="1"/>
      <c r="B4398" s="1"/>
      <c r="C4398" s="1"/>
    </row>
    <row r="4399" spans="1:3" x14ac:dyDescent="0.25">
      <c r="A4399" s="1"/>
      <c r="B4399" s="1"/>
      <c r="C4399" s="1"/>
    </row>
    <row r="4400" spans="1:3" x14ac:dyDescent="0.25">
      <c r="A4400" s="1"/>
      <c r="B4400" s="1"/>
      <c r="C4400" s="1"/>
    </row>
    <row r="4401" spans="1:3" x14ac:dyDescent="0.25">
      <c r="A4401" s="1"/>
      <c r="B4401" s="1"/>
      <c r="C4401" s="1"/>
    </row>
    <row r="4402" spans="1:3" x14ac:dyDescent="0.25">
      <c r="A4402" s="1"/>
      <c r="B4402" s="1"/>
      <c r="C4402" s="1"/>
    </row>
    <row r="4403" spans="1:3" x14ac:dyDescent="0.25">
      <c r="A4403" s="1"/>
      <c r="B4403" s="1"/>
      <c r="C4403" s="1"/>
    </row>
    <row r="4404" spans="1:3" x14ac:dyDescent="0.25">
      <c r="A4404" s="1"/>
      <c r="B4404" s="1"/>
      <c r="C4404" s="1"/>
    </row>
    <row r="4405" spans="1:3" x14ac:dyDescent="0.25">
      <c r="A4405" s="1"/>
      <c r="B4405" s="1"/>
      <c r="C4405" s="1"/>
    </row>
    <row r="4406" spans="1:3" x14ac:dyDescent="0.25">
      <c r="A4406" s="1"/>
      <c r="B4406" s="1"/>
      <c r="C4406" s="1"/>
    </row>
    <row r="4407" spans="1:3" x14ac:dyDescent="0.25">
      <c r="A4407" s="1"/>
      <c r="B4407" s="1"/>
      <c r="C4407" s="1"/>
    </row>
    <row r="4408" spans="1:3" x14ac:dyDescent="0.25">
      <c r="A4408" s="1"/>
      <c r="B4408" s="1"/>
      <c r="C4408" s="1"/>
    </row>
    <row r="4409" spans="1:3" x14ac:dyDescent="0.25">
      <c r="A4409" s="1"/>
      <c r="B4409" s="1"/>
      <c r="C4409" s="1"/>
    </row>
    <row r="4410" spans="1:3" x14ac:dyDescent="0.25">
      <c r="A4410" s="1"/>
      <c r="B4410" s="1"/>
      <c r="C4410" s="1"/>
    </row>
    <row r="4411" spans="1:3" x14ac:dyDescent="0.25">
      <c r="A4411" s="1"/>
      <c r="B4411" s="1"/>
      <c r="C4411" s="1"/>
    </row>
    <row r="4412" spans="1:3" x14ac:dyDescent="0.25">
      <c r="A4412" s="1"/>
      <c r="B4412" s="1"/>
      <c r="C4412" s="1"/>
    </row>
    <row r="4413" spans="1:3" x14ac:dyDescent="0.25">
      <c r="A4413" s="1"/>
      <c r="B4413" s="1"/>
      <c r="C4413" s="1"/>
    </row>
    <row r="4414" spans="1:3" x14ac:dyDescent="0.25">
      <c r="A4414" s="1"/>
      <c r="B4414" s="1"/>
      <c r="C4414" s="1"/>
    </row>
    <row r="4415" spans="1:3" x14ac:dyDescent="0.25">
      <c r="A4415" s="1"/>
      <c r="B4415" s="1"/>
      <c r="C4415" s="1"/>
    </row>
    <row r="4416" spans="1:3" x14ac:dyDescent="0.25">
      <c r="A4416" s="1"/>
      <c r="B4416" s="1"/>
      <c r="C4416" s="1"/>
    </row>
    <row r="4417" spans="1:3" x14ac:dyDescent="0.25">
      <c r="A4417" s="1"/>
      <c r="B4417" s="1"/>
      <c r="C4417" s="1"/>
    </row>
    <row r="4418" spans="1:3" x14ac:dyDescent="0.25">
      <c r="A4418" s="1"/>
      <c r="B4418" s="1"/>
      <c r="C4418" s="1"/>
    </row>
    <row r="4419" spans="1:3" x14ac:dyDescent="0.25">
      <c r="A4419" s="1"/>
      <c r="B4419" s="1"/>
      <c r="C4419" s="1"/>
    </row>
    <row r="4420" spans="1:3" x14ac:dyDescent="0.25">
      <c r="A4420" s="1"/>
      <c r="B4420" s="1"/>
      <c r="C4420" s="1"/>
    </row>
    <row r="4421" spans="1:3" x14ac:dyDescent="0.25">
      <c r="A4421" s="1"/>
      <c r="B4421" s="1"/>
      <c r="C4421" s="1"/>
    </row>
    <row r="4422" spans="1:3" x14ac:dyDescent="0.25">
      <c r="A4422" s="1"/>
      <c r="B4422" s="1"/>
      <c r="C4422" s="1"/>
    </row>
    <row r="4423" spans="1:3" x14ac:dyDescent="0.25">
      <c r="A4423" s="1"/>
      <c r="B4423" s="1"/>
      <c r="C4423" s="1"/>
    </row>
    <row r="4424" spans="1:3" x14ac:dyDescent="0.25">
      <c r="A4424" s="1"/>
      <c r="B4424" s="1"/>
      <c r="C4424" s="1"/>
    </row>
    <row r="4425" spans="1:3" x14ac:dyDescent="0.25">
      <c r="A4425" s="1"/>
      <c r="B4425" s="1"/>
      <c r="C4425" s="1"/>
    </row>
    <row r="4426" spans="1:3" x14ac:dyDescent="0.25">
      <c r="A4426" s="1"/>
      <c r="B4426" s="1"/>
      <c r="C4426" s="1"/>
    </row>
    <row r="4427" spans="1:3" x14ac:dyDescent="0.25">
      <c r="A4427" s="1"/>
      <c r="B4427" s="1"/>
      <c r="C4427" s="1"/>
    </row>
    <row r="4428" spans="1:3" x14ac:dyDescent="0.25">
      <c r="A4428" s="1"/>
      <c r="B4428" s="1"/>
      <c r="C4428" s="1"/>
    </row>
    <row r="4429" spans="1:3" x14ac:dyDescent="0.25">
      <c r="A4429" s="1"/>
      <c r="B4429" s="1"/>
      <c r="C4429" s="1"/>
    </row>
    <row r="4430" spans="1:3" x14ac:dyDescent="0.25">
      <c r="A4430" s="1"/>
      <c r="B4430" s="1"/>
      <c r="C4430" s="1"/>
    </row>
    <row r="4431" spans="1:3" x14ac:dyDescent="0.25">
      <c r="A4431" s="1"/>
      <c r="B4431" s="1"/>
      <c r="C4431" s="1"/>
    </row>
    <row r="4432" spans="1:3" x14ac:dyDescent="0.25">
      <c r="A4432" s="1"/>
      <c r="B4432" s="1"/>
      <c r="C4432" s="1"/>
    </row>
    <row r="4433" spans="1:3" x14ac:dyDescent="0.25">
      <c r="A4433" s="1"/>
      <c r="B4433" s="1"/>
      <c r="C4433" s="1"/>
    </row>
    <row r="4434" spans="1:3" x14ac:dyDescent="0.25">
      <c r="A4434" s="1"/>
      <c r="B4434" s="1"/>
      <c r="C4434" s="1"/>
    </row>
    <row r="4435" spans="1:3" x14ac:dyDescent="0.25">
      <c r="A4435" s="1"/>
      <c r="B4435" s="1"/>
      <c r="C4435" s="1"/>
    </row>
    <row r="4436" spans="1:3" x14ac:dyDescent="0.25">
      <c r="A4436" s="1"/>
      <c r="B4436" s="1"/>
      <c r="C4436" s="1"/>
    </row>
    <row r="4437" spans="1:3" x14ac:dyDescent="0.25">
      <c r="A4437" s="1"/>
      <c r="B4437" s="1"/>
      <c r="C4437" s="1"/>
    </row>
    <row r="4438" spans="1:3" x14ac:dyDescent="0.25">
      <c r="A4438" s="1"/>
      <c r="B4438" s="1"/>
      <c r="C4438" s="1"/>
    </row>
    <row r="4439" spans="1:3" x14ac:dyDescent="0.25">
      <c r="A4439" s="1"/>
      <c r="B4439" s="1"/>
      <c r="C4439" s="1"/>
    </row>
    <row r="4440" spans="1:3" x14ac:dyDescent="0.25">
      <c r="A4440" s="1"/>
      <c r="B4440" s="1"/>
      <c r="C4440" s="1"/>
    </row>
    <row r="4441" spans="1:3" x14ac:dyDescent="0.25">
      <c r="A4441" s="1"/>
      <c r="B4441" s="1"/>
      <c r="C4441" s="1"/>
    </row>
    <row r="4442" spans="1:3" x14ac:dyDescent="0.25">
      <c r="A4442" s="1"/>
      <c r="B4442" s="1"/>
      <c r="C4442" s="1"/>
    </row>
    <row r="4443" spans="1:3" x14ac:dyDescent="0.25">
      <c r="A4443" s="1"/>
      <c r="B4443" s="1"/>
      <c r="C4443" s="1"/>
    </row>
    <row r="4444" spans="1:3" x14ac:dyDescent="0.25">
      <c r="A4444" s="1"/>
      <c r="B4444" s="1"/>
      <c r="C4444" s="1"/>
    </row>
    <row r="4445" spans="1:3" x14ac:dyDescent="0.25">
      <c r="A4445" s="1"/>
      <c r="B4445" s="1"/>
      <c r="C4445" s="1"/>
    </row>
    <row r="4446" spans="1:3" x14ac:dyDescent="0.25">
      <c r="A4446" s="1"/>
      <c r="B4446" s="1"/>
      <c r="C4446" s="1"/>
    </row>
    <row r="4447" spans="1:3" x14ac:dyDescent="0.25">
      <c r="A4447" s="1"/>
      <c r="B4447" s="1"/>
      <c r="C4447" s="1"/>
    </row>
    <row r="4448" spans="1:3" x14ac:dyDescent="0.25">
      <c r="A4448" s="1"/>
      <c r="B4448" s="1"/>
      <c r="C4448" s="1"/>
    </row>
    <row r="4449" spans="1:3" x14ac:dyDescent="0.25">
      <c r="A4449" s="1"/>
      <c r="B4449" s="1"/>
      <c r="C4449" s="1"/>
    </row>
    <row r="4450" spans="1:3" x14ac:dyDescent="0.25">
      <c r="A4450" s="1"/>
      <c r="B4450" s="1"/>
      <c r="C4450" s="1"/>
    </row>
    <row r="4451" spans="1:3" x14ac:dyDescent="0.25">
      <c r="A4451" s="1"/>
      <c r="B4451" s="1"/>
      <c r="C4451" s="1"/>
    </row>
    <row r="4452" spans="1:3" x14ac:dyDescent="0.25">
      <c r="A4452" s="1"/>
      <c r="B4452" s="1"/>
      <c r="C4452" s="1"/>
    </row>
    <row r="4453" spans="1:3" x14ac:dyDescent="0.25">
      <c r="A4453" s="1"/>
      <c r="B4453" s="1"/>
      <c r="C4453" s="1"/>
    </row>
    <row r="4454" spans="1:3" x14ac:dyDescent="0.25">
      <c r="A4454" s="1"/>
      <c r="B4454" s="1"/>
      <c r="C4454" s="1"/>
    </row>
    <row r="4455" spans="1:3" x14ac:dyDescent="0.25">
      <c r="A4455" s="1"/>
      <c r="B4455" s="1"/>
      <c r="C4455" s="1"/>
    </row>
    <row r="4456" spans="1:3" x14ac:dyDescent="0.25">
      <c r="A4456" s="1"/>
      <c r="B4456" s="1"/>
      <c r="C4456" s="1"/>
    </row>
    <row r="4457" spans="1:3" x14ac:dyDescent="0.25">
      <c r="A4457" s="1"/>
      <c r="B4457" s="1"/>
      <c r="C4457" s="1"/>
    </row>
    <row r="4458" spans="1:3" x14ac:dyDescent="0.25">
      <c r="A4458" s="1"/>
      <c r="B4458" s="1"/>
      <c r="C4458" s="1"/>
    </row>
    <row r="4459" spans="1:3" x14ac:dyDescent="0.25">
      <c r="A4459" s="1"/>
      <c r="B4459" s="1"/>
      <c r="C4459" s="1"/>
    </row>
    <row r="4460" spans="1:3" x14ac:dyDescent="0.25">
      <c r="A4460" s="1"/>
      <c r="B4460" s="1"/>
      <c r="C4460" s="1"/>
    </row>
    <row r="4461" spans="1:3" x14ac:dyDescent="0.25">
      <c r="A4461" s="1"/>
      <c r="B4461" s="1"/>
      <c r="C4461" s="1"/>
    </row>
    <row r="4462" spans="1:3" x14ac:dyDescent="0.25">
      <c r="A4462" s="1"/>
      <c r="B4462" s="1"/>
      <c r="C4462" s="1"/>
    </row>
    <row r="4463" spans="1:3" x14ac:dyDescent="0.25">
      <c r="A4463" s="1"/>
      <c r="B4463" s="1"/>
      <c r="C4463" s="1"/>
    </row>
    <row r="4464" spans="1:3" x14ac:dyDescent="0.25">
      <c r="A4464" s="1"/>
      <c r="B4464" s="1"/>
      <c r="C4464" s="1"/>
    </row>
    <row r="4465" spans="1:3" x14ac:dyDescent="0.25">
      <c r="A4465" s="1"/>
      <c r="B4465" s="1"/>
      <c r="C4465" s="1"/>
    </row>
    <row r="4466" spans="1:3" x14ac:dyDescent="0.25">
      <c r="A4466" s="1"/>
      <c r="B4466" s="1"/>
      <c r="C4466" s="1"/>
    </row>
    <row r="4467" spans="1:3" x14ac:dyDescent="0.25">
      <c r="A4467" s="1"/>
      <c r="B4467" s="1"/>
      <c r="C4467" s="1"/>
    </row>
    <row r="4468" spans="1:3" x14ac:dyDescent="0.25">
      <c r="A4468" s="1"/>
      <c r="B4468" s="1"/>
      <c r="C4468" s="1"/>
    </row>
    <row r="4469" spans="1:3" x14ac:dyDescent="0.25">
      <c r="A4469" s="1"/>
      <c r="B4469" s="1"/>
      <c r="C4469" s="1"/>
    </row>
    <row r="4470" spans="1:3" x14ac:dyDescent="0.25">
      <c r="A4470" s="1"/>
      <c r="B4470" s="1"/>
      <c r="C4470" s="1"/>
    </row>
    <row r="4471" spans="1:3" x14ac:dyDescent="0.25">
      <c r="A4471" s="1"/>
      <c r="B4471" s="1"/>
      <c r="C4471" s="1"/>
    </row>
    <row r="4472" spans="1:3" x14ac:dyDescent="0.25">
      <c r="A4472" s="1"/>
      <c r="B4472" s="1"/>
      <c r="C4472" s="1"/>
    </row>
    <row r="4473" spans="1:3" x14ac:dyDescent="0.25">
      <c r="A4473" s="1"/>
      <c r="B4473" s="1"/>
      <c r="C4473" s="1"/>
    </row>
    <row r="4474" spans="1:3" x14ac:dyDescent="0.25">
      <c r="A4474" s="1"/>
      <c r="B4474" s="1"/>
      <c r="C4474" s="1"/>
    </row>
    <row r="4475" spans="1:3" x14ac:dyDescent="0.25">
      <c r="A4475" s="1"/>
      <c r="B4475" s="1"/>
      <c r="C4475" s="1"/>
    </row>
    <row r="4476" spans="1:3" x14ac:dyDescent="0.25">
      <c r="A4476" s="1"/>
      <c r="B4476" s="1"/>
      <c r="C4476" s="1"/>
    </row>
    <row r="4477" spans="1:3" x14ac:dyDescent="0.25">
      <c r="A4477" s="1"/>
      <c r="B4477" s="1"/>
      <c r="C4477" s="1"/>
    </row>
    <row r="4478" spans="1:3" x14ac:dyDescent="0.25">
      <c r="A4478" s="1"/>
      <c r="B4478" s="1"/>
      <c r="C4478" s="1"/>
    </row>
    <row r="4479" spans="1:3" x14ac:dyDescent="0.25">
      <c r="A4479" s="1"/>
      <c r="B4479" s="1"/>
      <c r="C4479" s="1"/>
    </row>
    <row r="4480" spans="1:3" x14ac:dyDescent="0.25">
      <c r="A4480" s="1"/>
      <c r="B4480" s="1"/>
      <c r="C4480" s="1"/>
    </row>
    <row r="4481" spans="1:3" x14ac:dyDescent="0.25">
      <c r="A4481" s="1"/>
      <c r="B4481" s="1"/>
      <c r="C4481" s="1"/>
    </row>
    <row r="4482" spans="1:3" x14ac:dyDescent="0.25">
      <c r="A4482" s="1"/>
      <c r="B4482" s="1"/>
      <c r="C4482" s="1"/>
    </row>
    <row r="4483" spans="1:3" x14ac:dyDescent="0.25">
      <c r="A4483" s="1"/>
      <c r="B4483" s="1"/>
      <c r="C4483" s="1"/>
    </row>
    <row r="4484" spans="1:3" x14ac:dyDescent="0.25">
      <c r="A4484" s="1"/>
      <c r="B4484" s="1"/>
      <c r="C4484" s="1"/>
    </row>
    <row r="4485" spans="1:3" x14ac:dyDescent="0.25">
      <c r="A4485" s="1"/>
      <c r="B4485" s="1"/>
      <c r="C4485" s="1"/>
    </row>
    <row r="4486" spans="1:3" x14ac:dyDescent="0.25">
      <c r="A4486" s="1"/>
      <c r="B4486" s="1"/>
      <c r="C4486" s="1"/>
    </row>
    <row r="4487" spans="1:3" x14ac:dyDescent="0.25">
      <c r="A4487" s="1"/>
      <c r="B4487" s="1"/>
      <c r="C4487" s="1"/>
    </row>
    <row r="4488" spans="1:3" x14ac:dyDescent="0.25">
      <c r="A4488" s="1"/>
      <c r="B4488" s="1"/>
      <c r="C4488" s="1"/>
    </row>
    <row r="4489" spans="1:3" x14ac:dyDescent="0.25">
      <c r="A4489" s="1"/>
      <c r="B4489" s="1"/>
      <c r="C4489" s="1"/>
    </row>
    <row r="4490" spans="1:3" x14ac:dyDescent="0.25">
      <c r="A4490" s="1"/>
      <c r="B4490" s="1"/>
      <c r="C4490" s="1"/>
    </row>
    <row r="4491" spans="1:3" x14ac:dyDescent="0.25">
      <c r="A4491" s="1"/>
      <c r="B4491" s="1"/>
      <c r="C4491" s="1"/>
    </row>
    <row r="4492" spans="1:3" x14ac:dyDescent="0.25">
      <c r="A4492" s="1"/>
      <c r="B4492" s="1"/>
      <c r="C4492" s="1"/>
    </row>
    <row r="4493" spans="1:3" x14ac:dyDescent="0.25">
      <c r="A4493" s="1"/>
      <c r="B4493" s="1"/>
      <c r="C4493" s="1"/>
    </row>
    <row r="4494" spans="1:3" x14ac:dyDescent="0.25">
      <c r="A4494" s="1"/>
      <c r="B4494" s="1"/>
      <c r="C4494" s="1"/>
    </row>
    <row r="4495" spans="1:3" x14ac:dyDescent="0.25">
      <c r="A4495" s="1"/>
      <c r="B4495" s="1"/>
      <c r="C4495" s="1"/>
    </row>
    <row r="4496" spans="1:3" x14ac:dyDescent="0.25">
      <c r="A4496" s="1"/>
      <c r="B4496" s="1"/>
      <c r="C4496" s="1"/>
    </row>
    <row r="4497" spans="1:3" x14ac:dyDescent="0.25">
      <c r="A4497" s="1"/>
      <c r="B4497" s="1"/>
      <c r="C4497" s="1"/>
    </row>
    <row r="4498" spans="1:3" x14ac:dyDescent="0.25">
      <c r="A4498" s="1"/>
      <c r="B4498" s="1"/>
      <c r="C4498" s="1"/>
    </row>
    <row r="4499" spans="1:3" x14ac:dyDescent="0.25">
      <c r="A4499" s="1"/>
      <c r="B4499" s="1"/>
      <c r="C4499" s="1"/>
    </row>
    <row r="4500" spans="1:3" x14ac:dyDescent="0.25">
      <c r="A4500" s="1"/>
      <c r="B4500" s="1"/>
      <c r="C4500" s="1"/>
    </row>
    <row r="4501" spans="1:3" x14ac:dyDescent="0.25">
      <c r="A4501" s="1"/>
      <c r="B4501" s="1"/>
      <c r="C4501" s="1"/>
    </row>
    <row r="4502" spans="1:3" x14ac:dyDescent="0.25">
      <c r="A4502" s="1"/>
      <c r="B4502" s="1"/>
      <c r="C4502" s="1"/>
    </row>
    <row r="4503" spans="1:3" x14ac:dyDescent="0.25">
      <c r="A4503" s="1"/>
      <c r="B4503" s="1"/>
      <c r="C4503" s="1"/>
    </row>
    <row r="4504" spans="1:3" x14ac:dyDescent="0.25">
      <c r="A4504" s="1"/>
      <c r="B4504" s="1"/>
      <c r="C4504" s="1"/>
    </row>
    <row r="4505" spans="1:3" x14ac:dyDescent="0.25">
      <c r="A4505" s="1"/>
      <c r="B4505" s="1"/>
      <c r="C4505" s="1"/>
    </row>
    <row r="4506" spans="1:3" x14ac:dyDescent="0.25">
      <c r="A4506" s="1"/>
      <c r="B4506" s="1"/>
      <c r="C4506" s="1"/>
    </row>
    <row r="4507" spans="1:3" x14ac:dyDescent="0.25">
      <c r="A4507" s="1"/>
      <c r="B4507" s="1"/>
      <c r="C4507" s="1"/>
    </row>
    <row r="4508" spans="1:3" x14ac:dyDescent="0.25">
      <c r="A4508" s="1"/>
      <c r="B4508" s="1"/>
      <c r="C4508" s="1"/>
    </row>
    <row r="4509" spans="1:3" x14ac:dyDescent="0.25">
      <c r="A4509" s="1"/>
      <c r="B4509" s="1"/>
      <c r="C4509" s="1"/>
    </row>
    <row r="4510" spans="1:3" x14ac:dyDescent="0.25">
      <c r="A4510" s="1"/>
      <c r="B4510" s="1"/>
      <c r="C4510" s="1"/>
    </row>
    <row r="4511" spans="1:3" x14ac:dyDescent="0.25">
      <c r="A4511" s="1"/>
      <c r="B4511" s="1"/>
      <c r="C4511" s="1"/>
    </row>
    <row r="4512" spans="1:3" x14ac:dyDescent="0.25">
      <c r="A4512" s="1"/>
      <c r="B4512" s="1"/>
      <c r="C4512" s="1"/>
    </row>
    <row r="4513" spans="1:3" x14ac:dyDescent="0.25">
      <c r="A4513" s="1"/>
      <c r="B4513" s="1"/>
      <c r="C4513" s="1"/>
    </row>
    <row r="4514" spans="1:3" x14ac:dyDescent="0.25">
      <c r="A4514" s="1"/>
      <c r="B4514" s="1"/>
      <c r="C4514" s="1"/>
    </row>
    <row r="4515" spans="1:3" x14ac:dyDescent="0.25">
      <c r="A4515" s="1"/>
      <c r="B4515" s="1"/>
      <c r="C4515" s="1"/>
    </row>
    <row r="4516" spans="1:3" x14ac:dyDescent="0.25">
      <c r="A4516" s="1"/>
      <c r="B4516" s="1"/>
      <c r="C4516" s="1"/>
    </row>
    <row r="4517" spans="1:3" x14ac:dyDescent="0.25">
      <c r="A4517" s="1"/>
      <c r="B4517" s="1"/>
      <c r="C4517" s="1"/>
    </row>
    <row r="4518" spans="1:3" x14ac:dyDescent="0.25">
      <c r="A4518" s="1"/>
      <c r="B4518" s="1"/>
      <c r="C4518" s="1"/>
    </row>
    <row r="4519" spans="1:3" x14ac:dyDescent="0.25">
      <c r="A4519" s="1"/>
      <c r="B4519" s="1"/>
      <c r="C4519" s="1"/>
    </row>
    <row r="4520" spans="1:3" x14ac:dyDescent="0.25">
      <c r="A4520" s="1"/>
      <c r="B4520" s="1"/>
      <c r="C4520" s="1"/>
    </row>
    <row r="4521" spans="1:3" x14ac:dyDescent="0.25">
      <c r="A4521" s="1"/>
      <c r="B4521" s="1"/>
      <c r="C4521" s="1"/>
    </row>
    <row r="4522" spans="1:3" x14ac:dyDescent="0.25">
      <c r="A4522" s="1"/>
      <c r="B4522" s="1"/>
      <c r="C4522" s="1"/>
    </row>
    <row r="4523" spans="1:3" x14ac:dyDescent="0.25">
      <c r="A4523" s="1"/>
      <c r="B4523" s="1"/>
      <c r="C4523" s="1"/>
    </row>
    <row r="4524" spans="1:3" x14ac:dyDescent="0.25">
      <c r="A4524" s="1"/>
      <c r="B4524" s="1"/>
      <c r="C4524" s="1"/>
    </row>
    <row r="4525" spans="1:3" x14ac:dyDescent="0.25">
      <c r="A4525" s="1"/>
      <c r="B4525" s="1"/>
      <c r="C4525" s="1"/>
    </row>
    <row r="4526" spans="1:3" x14ac:dyDescent="0.25">
      <c r="A4526" s="1"/>
      <c r="B4526" s="1"/>
      <c r="C4526" s="1"/>
    </row>
    <row r="4527" spans="1:3" x14ac:dyDescent="0.25">
      <c r="A4527" s="1"/>
      <c r="B4527" s="1"/>
      <c r="C4527" s="1"/>
    </row>
    <row r="4528" spans="1:3" x14ac:dyDescent="0.25">
      <c r="A4528" s="1"/>
      <c r="B4528" s="1"/>
      <c r="C4528" s="1"/>
    </row>
    <row r="4529" spans="1:3" x14ac:dyDescent="0.25">
      <c r="A4529" s="1"/>
      <c r="B4529" s="1"/>
      <c r="C4529" s="1"/>
    </row>
    <row r="4530" spans="1:3" x14ac:dyDescent="0.25">
      <c r="A4530" s="1"/>
      <c r="B4530" s="1"/>
      <c r="C4530" s="1"/>
    </row>
    <row r="4531" spans="1:3" x14ac:dyDescent="0.25">
      <c r="A4531" s="1"/>
      <c r="B4531" s="1"/>
      <c r="C4531" s="1"/>
    </row>
    <row r="4532" spans="1:3" x14ac:dyDescent="0.25">
      <c r="A4532" s="1"/>
      <c r="B4532" s="1"/>
      <c r="C4532" s="1"/>
    </row>
    <row r="4533" spans="1:3" x14ac:dyDescent="0.25">
      <c r="A4533" s="1"/>
      <c r="B4533" s="1"/>
      <c r="C4533" s="1"/>
    </row>
    <row r="4534" spans="1:3" x14ac:dyDescent="0.25">
      <c r="A4534" s="1"/>
      <c r="B4534" s="1"/>
      <c r="C4534" s="1"/>
    </row>
    <row r="4535" spans="1:3" x14ac:dyDescent="0.25">
      <c r="A4535" s="1"/>
      <c r="B4535" s="1"/>
      <c r="C4535" s="1"/>
    </row>
    <row r="4536" spans="1:3" x14ac:dyDescent="0.25">
      <c r="A4536" s="1"/>
      <c r="B4536" s="1"/>
      <c r="C4536" s="1"/>
    </row>
    <row r="4537" spans="1:3" x14ac:dyDescent="0.25">
      <c r="A4537" s="1"/>
      <c r="B4537" s="1"/>
      <c r="C4537" s="1"/>
    </row>
    <row r="4538" spans="1:3" x14ac:dyDescent="0.25">
      <c r="A4538" s="1"/>
      <c r="B4538" s="1"/>
      <c r="C4538" s="1"/>
    </row>
    <row r="4539" spans="1:3" x14ac:dyDescent="0.25">
      <c r="A4539" s="1"/>
      <c r="B4539" s="1"/>
      <c r="C4539" s="1"/>
    </row>
    <row r="4540" spans="1:3" x14ac:dyDescent="0.25">
      <c r="A4540" s="1"/>
      <c r="B4540" s="1"/>
      <c r="C4540" s="1"/>
    </row>
    <row r="4541" spans="1:3" x14ac:dyDescent="0.25">
      <c r="A4541" s="1"/>
      <c r="B4541" s="1"/>
      <c r="C4541" s="1"/>
    </row>
    <row r="4542" spans="1:3" x14ac:dyDescent="0.25">
      <c r="A4542" s="1"/>
      <c r="B4542" s="1"/>
      <c r="C4542" s="1"/>
    </row>
    <row r="4543" spans="1:3" x14ac:dyDescent="0.25">
      <c r="A4543" s="1"/>
      <c r="B4543" s="1"/>
      <c r="C4543" s="1"/>
    </row>
    <row r="4544" spans="1:3" x14ac:dyDescent="0.25">
      <c r="A4544" s="1"/>
      <c r="B4544" s="1"/>
      <c r="C4544" s="1"/>
    </row>
    <row r="4545" spans="1:3" x14ac:dyDescent="0.25">
      <c r="A4545" s="1"/>
      <c r="B4545" s="1"/>
      <c r="C4545" s="1"/>
    </row>
    <row r="4546" spans="1:3" x14ac:dyDescent="0.25">
      <c r="A4546" s="1"/>
      <c r="B4546" s="1"/>
      <c r="C4546" s="1"/>
    </row>
    <row r="4547" spans="1:3" x14ac:dyDescent="0.25">
      <c r="A4547" s="1"/>
      <c r="B4547" s="1"/>
      <c r="C4547" s="1"/>
    </row>
    <row r="4548" spans="1:3" x14ac:dyDescent="0.25">
      <c r="A4548" s="1"/>
      <c r="B4548" s="1"/>
      <c r="C4548" s="1"/>
    </row>
    <row r="4549" spans="1:3" x14ac:dyDescent="0.25">
      <c r="A4549" s="1"/>
      <c r="B4549" s="1"/>
      <c r="C4549" s="1"/>
    </row>
    <row r="4550" spans="1:3" x14ac:dyDescent="0.25">
      <c r="A4550" s="1"/>
      <c r="B4550" s="1"/>
      <c r="C4550" s="1"/>
    </row>
    <row r="4551" spans="1:3" x14ac:dyDescent="0.25">
      <c r="A4551" s="1"/>
      <c r="B4551" s="1"/>
      <c r="C4551" s="1"/>
    </row>
    <row r="4552" spans="1:3" x14ac:dyDescent="0.25">
      <c r="A4552" s="1"/>
      <c r="B4552" s="1"/>
      <c r="C4552" s="1"/>
    </row>
    <row r="4553" spans="1:3" x14ac:dyDescent="0.25">
      <c r="A4553" s="1"/>
      <c r="B4553" s="1"/>
      <c r="C4553" s="1"/>
    </row>
    <row r="4554" spans="1:3" x14ac:dyDescent="0.25">
      <c r="A4554" s="1"/>
      <c r="B4554" s="1"/>
      <c r="C4554" s="1"/>
    </row>
    <row r="4555" spans="1:3" x14ac:dyDescent="0.25">
      <c r="A4555" s="1"/>
      <c r="B4555" s="1"/>
      <c r="C4555" s="1"/>
    </row>
    <row r="4556" spans="1:3" x14ac:dyDescent="0.25">
      <c r="A4556" s="1"/>
      <c r="B4556" s="1"/>
      <c r="C4556" s="1"/>
    </row>
    <row r="4557" spans="1:3" x14ac:dyDescent="0.25">
      <c r="A4557" s="1"/>
      <c r="B4557" s="1"/>
      <c r="C4557" s="1"/>
    </row>
    <row r="4558" spans="1:3" x14ac:dyDescent="0.25">
      <c r="A4558" s="1"/>
      <c r="B4558" s="1"/>
      <c r="C4558" s="1"/>
    </row>
    <row r="4559" spans="1:3" x14ac:dyDescent="0.25">
      <c r="A4559" s="1"/>
      <c r="B4559" s="1"/>
      <c r="C4559" s="1"/>
    </row>
    <row r="4560" spans="1:3" x14ac:dyDescent="0.25">
      <c r="A4560" s="1"/>
      <c r="B4560" s="1"/>
      <c r="C4560" s="1"/>
    </row>
    <row r="4561" spans="1:3" x14ac:dyDescent="0.25">
      <c r="A4561" s="1"/>
      <c r="B4561" s="1"/>
      <c r="C4561" s="1"/>
    </row>
    <row r="4562" spans="1:3" x14ac:dyDescent="0.25">
      <c r="A4562" s="1"/>
      <c r="B4562" s="1"/>
      <c r="C4562" s="1"/>
    </row>
    <row r="4563" spans="1:3" x14ac:dyDescent="0.25">
      <c r="A4563" s="1"/>
      <c r="B4563" s="1"/>
      <c r="C4563" s="1"/>
    </row>
    <row r="4564" spans="1:3" x14ac:dyDescent="0.25">
      <c r="A4564" s="1"/>
      <c r="B4564" s="1"/>
      <c r="C4564" s="1"/>
    </row>
    <row r="4565" spans="1:3" x14ac:dyDescent="0.25">
      <c r="A4565" s="1"/>
      <c r="B4565" s="1"/>
      <c r="C4565" s="1"/>
    </row>
    <row r="4566" spans="1:3" x14ac:dyDescent="0.25">
      <c r="A4566" s="1"/>
      <c r="B4566" s="1"/>
      <c r="C4566" s="1"/>
    </row>
    <row r="4567" spans="1:3" x14ac:dyDescent="0.25">
      <c r="A4567" s="1"/>
      <c r="B4567" s="1"/>
      <c r="C4567" s="1"/>
    </row>
    <row r="4568" spans="1:3" x14ac:dyDescent="0.25">
      <c r="A4568" s="1"/>
      <c r="B4568" s="1"/>
      <c r="C4568" s="1"/>
    </row>
    <row r="4569" spans="1:3" x14ac:dyDescent="0.25">
      <c r="A4569" s="1"/>
      <c r="B4569" s="1"/>
      <c r="C4569" s="1"/>
    </row>
    <row r="4570" spans="1:3" x14ac:dyDescent="0.25">
      <c r="A4570" s="1"/>
      <c r="B4570" s="1"/>
      <c r="C4570" s="1"/>
    </row>
    <row r="4571" spans="1:3" x14ac:dyDescent="0.25">
      <c r="A4571" s="1"/>
      <c r="B4571" s="1"/>
      <c r="C4571" s="1"/>
    </row>
    <row r="4572" spans="1:3" x14ac:dyDescent="0.25">
      <c r="A4572" s="1"/>
      <c r="B4572" s="1"/>
      <c r="C4572" s="1"/>
    </row>
    <row r="4573" spans="1:3" x14ac:dyDescent="0.25">
      <c r="A4573" s="1"/>
      <c r="B4573" s="1"/>
      <c r="C4573" s="1"/>
    </row>
    <row r="4574" spans="1:3" x14ac:dyDescent="0.25">
      <c r="A4574" s="1"/>
      <c r="B4574" s="1"/>
      <c r="C4574" s="1"/>
    </row>
    <row r="4575" spans="1:3" x14ac:dyDescent="0.25">
      <c r="A4575" s="1"/>
      <c r="B4575" s="1"/>
      <c r="C4575" s="1"/>
    </row>
    <row r="4576" spans="1:3" x14ac:dyDescent="0.25">
      <c r="A4576" s="1"/>
      <c r="B4576" s="1"/>
      <c r="C4576" s="1"/>
    </row>
    <row r="4577" spans="1:3" x14ac:dyDescent="0.25">
      <c r="A4577" s="1"/>
      <c r="B4577" s="1"/>
      <c r="C4577" s="1"/>
    </row>
    <row r="4578" spans="1:3" x14ac:dyDescent="0.25">
      <c r="A4578" s="1"/>
      <c r="B4578" s="1"/>
      <c r="C4578" s="1"/>
    </row>
    <row r="4579" spans="1:3" x14ac:dyDescent="0.25">
      <c r="A4579" s="1"/>
      <c r="B4579" s="1"/>
      <c r="C4579" s="1"/>
    </row>
    <row r="4580" spans="1:3" x14ac:dyDescent="0.25">
      <c r="A4580" s="1"/>
      <c r="B4580" s="1"/>
      <c r="C4580" s="1"/>
    </row>
    <row r="4581" spans="1:3" x14ac:dyDescent="0.25">
      <c r="A4581" s="1"/>
      <c r="B4581" s="1"/>
      <c r="C4581" s="1"/>
    </row>
    <row r="4582" spans="1:3" x14ac:dyDescent="0.25">
      <c r="A4582" s="1"/>
      <c r="B4582" s="1"/>
      <c r="C4582" s="1"/>
    </row>
    <row r="4583" spans="1:3" x14ac:dyDescent="0.25">
      <c r="A4583" s="1"/>
      <c r="B4583" s="1"/>
      <c r="C4583" s="1"/>
    </row>
    <row r="4584" spans="1:3" x14ac:dyDescent="0.25">
      <c r="A4584" s="1"/>
      <c r="B4584" s="1"/>
      <c r="C4584" s="1"/>
    </row>
    <row r="4585" spans="1:3" x14ac:dyDescent="0.25">
      <c r="A4585" s="1"/>
      <c r="B4585" s="1"/>
      <c r="C4585" s="1"/>
    </row>
    <row r="4586" spans="1:3" x14ac:dyDescent="0.25">
      <c r="A4586" s="1"/>
      <c r="B4586" s="1"/>
      <c r="C4586" s="1"/>
    </row>
    <row r="4587" spans="1:3" x14ac:dyDescent="0.25">
      <c r="A4587" s="1"/>
      <c r="B4587" s="1"/>
      <c r="C4587" s="1"/>
    </row>
    <row r="4588" spans="1:3" x14ac:dyDescent="0.25">
      <c r="A4588" s="1"/>
      <c r="B4588" s="1"/>
      <c r="C4588" s="1"/>
    </row>
    <row r="4589" spans="1:3" x14ac:dyDescent="0.25">
      <c r="A4589" s="1"/>
      <c r="B4589" s="1"/>
      <c r="C4589" s="1"/>
    </row>
    <row r="4590" spans="1:3" x14ac:dyDescent="0.25">
      <c r="A4590" s="1"/>
      <c r="B4590" s="1"/>
      <c r="C4590" s="1"/>
    </row>
    <row r="4591" spans="1:3" x14ac:dyDescent="0.25">
      <c r="A4591" s="1"/>
      <c r="B4591" s="1"/>
      <c r="C4591" s="1"/>
    </row>
    <row r="4592" spans="1:3" x14ac:dyDescent="0.25">
      <c r="A4592" s="1"/>
      <c r="B4592" s="1"/>
      <c r="C4592" s="1"/>
    </row>
    <row r="4593" spans="1:3" x14ac:dyDescent="0.25">
      <c r="A4593" s="1"/>
      <c r="B4593" s="1"/>
      <c r="C4593" s="1"/>
    </row>
    <row r="4594" spans="1:3" x14ac:dyDescent="0.25">
      <c r="A4594" s="1"/>
      <c r="B4594" s="1"/>
      <c r="C4594" s="1"/>
    </row>
    <row r="4595" spans="1:3" x14ac:dyDescent="0.25">
      <c r="A4595" s="1"/>
      <c r="B4595" s="1"/>
      <c r="C4595" s="1"/>
    </row>
    <row r="4596" spans="1:3" x14ac:dyDescent="0.25">
      <c r="A4596" s="1"/>
      <c r="B4596" s="1"/>
      <c r="C4596" s="1"/>
    </row>
    <row r="4597" spans="1:3" x14ac:dyDescent="0.25">
      <c r="A4597" s="1"/>
      <c r="B4597" s="1"/>
      <c r="C4597" s="1"/>
    </row>
    <row r="4598" spans="1:3" x14ac:dyDescent="0.25">
      <c r="A4598" s="1"/>
      <c r="B4598" s="1"/>
      <c r="C4598" s="1"/>
    </row>
    <row r="4599" spans="1:3" x14ac:dyDescent="0.25">
      <c r="A4599" s="1"/>
      <c r="B4599" s="1"/>
      <c r="C4599" s="1"/>
    </row>
    <row r="4600" spans="1:3" x14ac:dyDescent="0.25">
      <c r="A4600" s="1"/>
      <c r="B4600" s="1"/>
      <c r="C4600" s="1"/>
    </row>
    <row r="4601" spans="1:3" x14ac:dyDescent="0.25">
      <c r="A4601" s="1"/>
      <c r="B4601" s="1"/>
      <c r="C4601" s="1"/>
    </row>
    <row r="4602" spans="1:3" x14ac:dyDescent="0.25">
      <c r="A4602" s="1"/>
      <c r="B4602" s="1"/>
      <c r="C4602" s="1"/>
    </row>
    <row r="4603" spans="1:3" x14ac:dyDescent="0.25">
      <c r="A4603" s="1"/>
      <c r="B4603" s="1"/>
      <c r="C4603" s="1"/>
    </row>
    <row r="4604" spans="1:3" x14ac:dyDescent="0.25">
      <c r="A4604" s="1"/>
      <c r="B4604" s="1"/>
      <c r="C4604" s="1"/>
    </row>
    <row r="4605" spans="1:3" x14ac:dyDescent="0.25">
      <c r="A4605" s="1"/>
      <c r="B4605" s="1"/>
      <c r="C4605" s="1"/>
    </row>
    <row r="4606" spans="1:3" x14ac:dyDescent="0.25">
      <c r="A4606" s="1"/>
      <c r="B4606" s="1"/>
      <c r="C4606" s="1"/>
    </row>
    <row r="4607" spans="1:3" x14ac:dyDescent="0.25">
      <c r="A4607" s="1"/>
      <c r="B4607" s="1"/>
      <c r="C4607" s="1"/>
    </row>
    <row r="4608" spans="1:3" x14ac:dyDescent="0.25">
      <c r="A4608" s="1"/>
      <c r="B4608" s="1"/>
      <c r="C4608" s="1"/>
    </row>
    <row r="4609" spans="1:3" x14ac:dyDescent="0.25">
      <c r="A4609" s="1"/>
      <c r="B4609" s="1"/>
      <c r="C4609" s="1"/>
    </row>
    <row r="4610" spans="1:3" x14ac:dyDescent="0.25">
      <c r="A4610" s="1"/>
      <c r="B4610" s="1"/>
      <c r="C4610" s="1"/>
    </row>
    <row r="4611" spans="1:3" x14ac:dyDescent="0.25">
      <c r="A4611" s="1"/>
      <c r="B4611" s="1"/>
      <c r="C4611" s="1"/>
    </row>
    <row r="4612" spans="1:3" x14ac:dyDescent="0.25">
      <c r="A4612" s="1"/>
      <c r="B4612" s="1"/>
      <c r="C4612" s="1"/>
    </row>
    <row r="4613" spans="1:3" x14ac:dyDescent="0.25">
      <c r="A4613" s="1"/>
      <c r="B4613" s="1"/>
      <c r="C4613" s="1"/>
    </row>
    <row r="4614" spans="1:3" x14ac:dyDescent="0.25">
      <c r="A4614" s="1"/>
      <c r="B4614" s="1"/>
      <c r="C4614" s="1"/>
    </row>
    <row r="4615" spans="1:3" x14ac:dyDescent="0.25">
      <c r="A4615" s="1"/>
      <c r="B4615" s="1"/>
      <c r="C4615" s="1"/>
    </row>
    <row r="4616" spans="1:3" x14ac:dyDescent="0.25">
      <c r="A4616" s="1"/>
      <c r="B4616" s="1"/>
      <c r="C4616" s="1"/>
    </row>
    <row r="4617" spans="1:3" x14ac:dyDescent="0.25">
      <c r="A4617" s="1"/>
      <c r="B4617" s="1"/>
      <c r="C4617" s="1"/>
    </row>
    <row r="4618" spans="1:3" x14ac:dyDescent="0.25">
      <c r="A4618" s="1"/>
      <c r="B4618" s="1"/>
      <c r="C4618" s="1"/>
    </row>
    <row r="4619" spans="1:3" x14ac:dyDescent="0.25">
      <c r="A4619" s="1"/>
      <c r="B4619" s="1"/>
      <c r="C4619" s="1"/>
    </row>
    <row r="4620" spans="1:3" x14ac:dyDescent="0.25">
      <c r="A4620" s="1"/>
      <c r="B4620" s="1"/>
      <c r="C4620" s="1"/>
    </row>
    <row r="4621" spans="1:3" x14ac:dyDescent="0.25">
      <c r="A4621" s="1"/>
      <c r="B4621" s="1"/>
      <c r="C4621" s="1"/>
    </row>
    <row r="4622" spans="1:3" x14ac:dyDescent="0.25">
      <c r="A4622" s="1"/>
      <c r="B4622" s="1"/>
      <c r="C4622" s="1"/>
    </row>
    <row r="4623" spans="1:3" x14ac:dyDescent="0.25">
      <c r="A4623" s="1"/>
      <c r="B4623" s="1"/>
      <c r="C4623" s="1"/>
    </row>
    <row r="4624" spans="1:3" x14ac:dyDescent="0.25">
      <c r="A4624" s="1"/>
      <c r="B4624" s="1"/>
      <c r="C4624" s="1"/>
    </row>
    <row r="4625" spans="1:3" x14ac:dyDescent="0.25">
      <c r="A4625" s="1"/>
      <c r="B4625" s="1"/>
      <c r="C4625" s="1"/>
    </row>
    <row r="4626" spans="1:3" x14ac:dyDescent="0.25">
      <c r="A4626" s="1"/>
      <c r="B4626" s="1"/>
      <c r="C4626" s="1"/>
    </row>
    <row r="4627" spans="1:3" x14ac:dyDescent="0.25">
      <c r="A4627" s="1"/>
      <c r="B4627" s="1"/>
      <c r="C4627" s="1"/>
    </row>
    <row r="4628" spans="1:3" x14ac:dyDescent="0.25">
      <c r="A4628" s="1"/>
      <c r="B4628" s="1"/>
      <c r="C4628" s="1"/>
    </row>
    <row r="4629" spans="1:3" x14ac:dyDescent="0.25">
      <c r="A4629" s="1"/>
      <c r="B4629" s="1"/>
      <c r="C4629" s="1"/>
    </row>
    <row r="4630" spans="1:3" x14ac:dyDescent="0.25">
      <c r="A4630" s="1"/>
      <c r="B4630" s="1"/>
      <c r="C4630" s="1"/>
    </row>
    <row r="4631" spans="1:3" x14ac:dyDescent="0.25">
      <c r="A4631" s="1"/>
      <c r="B4631" s="1"/>
      <c r="C4631" s="1"/>
    </row>
    <row r="4632" spans="1:3" x14ac:dyDescent="0.25">
      <c r="A4632" s="1"/>
      <c r="B4632" s="1"/>
      <c r="C4632" s="1"/>
    </row>
    <row r="4633" spans="1:3" x14ac:dyDescent="0.25">
      <c r="A4633" s="1"/>
      <c r="B4633" s="1"/>
      <c r="C4633" s="1"/>
    </row>
    <row r="4634" spans="1:3" x14ac:dyDescent="0.25">
      <c r="A4634" s="1"/>
      <c r="B4634" s="1"/>
      <c r="C4634" s="1"/>
    </row>
    <row r="4635" spans="1:3" x14ac:dyDescent="0.25">
      <c r="A4635" s="1"/>
      <c r="B4635" s="1"/>
      <c r="C4635" s="1"/>
    </row>
    <row r="4636" spans="1:3" x14ac:dyDescent="0.25">
      <c r="A4636" s="1"/>
      <c r="B4636" s="1"/>
      <c r="C4636" s="1"/>
    </row>
    <row r="4637" spans="1:3" x14ac:dyDescent="0.25">
      <c r="A4637" s="1"/>
      <c r="B4637" s="1"/>
      <c r="C4637" s="1"/>
    </row>
    <row r="4638" spans="1:3" x14ac:dyDescent="0.25">
      <c r="A4638" s="1"/>
      <c r="B4638" s="1"/>
      <c r="C4638" s="1"/>
    </row>
    <row r="4639" spans="1:3" x14ac:dyDescent="0.25">
      <c r="A4639" s="1"/>
      <c r="B4639" s="1"/>
      <c r="C4639" s="1"/>
    </row>
    <row r="4640" spans="1:3" x14ac:dyDescent="0.25">
      <c r="A4640" s="1"/>
      <c r="B4640" s="1"/>
      <c r="C4640" s="1"/>
    </row>
    <row r="4641" spans="1:3" x14ac:dyDescent="0.25">
      <c r="A4641" s="1"/>
      <c r="B4641" s="1"/>
      <c r="C4641" s="1"/>
    </row>
    <row r="4642" spans="1:3" x14ac:dyDescent="0.25">
      <c r="A4642" s="1"/>
      <c r="B4642" s="1"/>
      <c r="C4642" s="1"/>
    </row>
    <row r="4643" spans="1:3" x14ac:dyDescent="0.25">
      <c r="A4643" s="1"/>
      <c r="B4643" s="1"/>
      <c r="C4643" s="1"/>
    </row>
    <row r="4644" spans="1:3" x14ac:dyDescent="0.25">
      <c r="A4644" s="1"/>
      <c r="B4644" s="1"/>
      <c r="C4644" s="1"/>
    </row>
    <row r="4645" spans="1:3" x14ac:dyDescent="0.25">
      <c r="A4645" s="1"/>
      <c r="B4645" s="1"/>
      <c r="C4645" s="1"/>
    </row>
    <row r="4646" spans="1:3" x14ac:dyDescent="0.25">
      <c r="A4646" s="1"/>
      <c r="B4646" s="1"/>
      <c r="C4646" s="1"/>
    </row>
    <row r="4647" spans="1:3" x14ac:dyDescent="0.25">
      <c r="A4647" s="1"/>
      <c r="B4647" s="1"/>
      <c r="C4647" s="1"/>
    </row>
    <row r="4648" spans="1:3" x14ac:dyDescent="0.25">
      <c r="A4648" s="1"/>
      <c r="B4648" s="1"/>
      <c r="C4648" s="1"/>
    </row>
    <row r="4649" spans="1:3" x14ac:dyDescent="0.25">
      <c r="A4649" s="1"/>
      <c r="B4649" s="1"/>
      <c r="C4649" s="1"/>
    </row>
    <row r="4650" spans="1:3" x14ac:dyDescent="0.25">
      <c r="A4650" s="1"/>
      <c r="B4650" s="1"/>
      <c r="C4650" s="1"/>
    </row>
    <row r="4651" spans="1:3" x14ac:dyDescent="0.25">
      <c r="A4651" s="1"/>
      <c r="B4651" s="1"/>
      <c r="C4651" s="1"/>
    </row>
    <row r="4652" spans="1:3" x14ac:dyDescent="0.25">
      <c r="A4652" s="1"/>
      <c r="B4652" s="1"/>
      <c r="C4652" s="1"/>
    </row>
    <row r="4653" spans="1:3" x14ac:dyDescent="0.25">
      <c r="A4653" s="1"/>
      <c r="B4653" s="1"/>
      <c r="C4653" s="1"/>
    </row>
    <row r="4654" spans="1:3" x14ac:dyDescent="0.25">
      <c r="A4654" s="1"/>
      <c r="B4654" s="1"/>
      <c r="C4654" s="1"/>
    </row>
    <row r="4655" spans="1:3" x14ac:dyDescent="0.25">
      <c r="A4655" s="1"/>
      <c r="B4655" s="1"/>
      <c r="C4655" s="1"/>
    </row>
    <row r="4656" spans="1:3" x14ac:dyDescent="0.25">
      <c r="A4656" s="1"/>
      <c r="B4656" s="1"/>
      <c r="C4656" s="1"/>
    </row>
    <row r="4657" spans="1:3" x14ac:dyDescent="0.25">
      <c r="A4657" s="1"/>
      <c r="B4657" s="1"/>
      <c r="C4657" s="1"/>
    </row>
    <row r="4658" spans="1:3" x14ac:dyDescent="0.25">
      <c r="A4658" s="1"/>
      <c r="B4658" s="1"/>
      <c r="C4658" s="1"/>
    </row>
    <row r="4659" spans="1:3" x14ac:dyDescent="0.25">
      <c r="A4659" s="1"/>
      <c r="B4659" s="1"/>
      <c r="C4659" s="1"/>
    </row>
    <row r="4660" spans="1:3" x14ac:dyDescent="0.25">
      <c r="A4660" s="1"/>
      <c r="B4660" s="1"/>
      <c r="C4660" s="1"/>
    </row>
    <row r="4661" spans="1:3" x14ac:dyDescent="0.25">
      <c r="A4661" s="1"/>
      <c r="B4661" s="1"/>
      <c r="C4661" s="1"/>
    </row>
    <row r="4662" spans="1:3" x14ac:dyDescent="0.25">
      <c r="A4662" s="1"/>
      <c r="B4662" s="1"/>
      <c r="C4662" s="1"/>
    </row>
    <row r="4663" spans="1:3" x14ac:dyDescent="0.25">
      <c r="A4663" s="1"/>
      <c r="B4663" s="1"/>
      <c r="C4663" s="1"/>
    </row>
    <row r="4664" spans="1:3" x14ac:dyDescent="0.25">
      <c r="A4664" s="1"/>
      <c r="B4664" s="1"/>
      <c r="C4664" s="1"/>
    </row>
    <row r="4665" spans="1:3" x14ac:dyDescent="0.25">
      <c r="A4665" s="1"/>
      <c r="B4665" s="1"/>
      <c r="C4665" s="1"/>
    </row>
    <row r="4666" spans="1:3" x14ac:dyDescent="0.25">
      <c r="A4666" s="1"/>
      <c r="B4666" s="1"/>
      <c r="C4666" s="1"/>
    </row>
    <row r="4667" spans="1:3" x14ac:dyDescent="0.25">
      <c r="A4667" s="1"/>
      <c r="B4667" s="1"/>
      <c r="C4667" s="1"/>
    </row>
    <row r="4668" spans="1:3" x14ac:dyDescent="0.25">
      <c r="A4668" s="1"/>
      <c r="B4668" s="1"/>
      <c r="C4668" s="1"/>
    </row>
    <row r="4669" spans="1:3" x14ac:dyDescent="0.25">
      <c r="A4669" s="1"/>
      <c r="B4669" s="1"/>
      <c r="C4669" s="1"/>
    </row>
    <row r="4670" spans="1:3" x14ac:dyDescent="0.25">
      <c r="A4670" s="1"/>
      <c r="B4670" s="1"/>
      <c r="C4670" s="1"/>
    </row>
    <row r="4671" spans="1:3" x14ac:dyDescent="0.25">
      <c r="A4671" s="1"/>
      <c r="B4671" s="1"/>
      <c r="C4671" s="1"/>
    </row>
    <row r="4672" spans="1:3" x14ac:dyDescent="0.25">
      <c r="A4672" s="1"/>
      <c r="B4672" s="1"/>
      <c r="C4672" s="1"/>
    </row>
    <row r="4673" spans="1:3" x14ac:dyDescent="0.25">
      <c r="A4673" s="1"/>
      <c r="B4673" s="1"/>
      <c r="C4673" s="1"/>
    </row>
    <row r="4674" spans="1:3" x14ac:dyDescent="0.25">
      <c r="A4674" s="1"/>
      <c r="B4674" s="1"/>
      <c r="C4674" s="1"/>
    </row>
    <row r="4675" spans="1:3" x14ac:dyDescent="0.25">
      <c r="A4675" s="1"/>
      <c r="B4675" s="1"/>
      <c r="C4675" s="1"/>
    </row>
    <row r="4676" spans="1:3" x14ac:dyDescent="0.25">
      <c r="A4676" s="1"/>
      <c r="B4676" s="1"/>
      <c r="C4676" s="1"/>
    </row>
    <row r="4677" spans="1:3" x14ac:dyDescent="0.25">
      <c r="A4677" s="1"/>
      <c r="B4677" s="1"/>
      <c r="C4677" s="1"/>
    </row>
    <row r="4678" spans="1:3" x14ac:dyDescent="0.25">
      <c r="A4678" s="1"/>
      <c r="B4678" s="1"/>
      <c r="C4678" s="1"/>
    </row>
    <row r="4679" spans="1:3" x14ac:dyDescent="0.25">
      <c r="A4679" s="1"/>
      <c r="B4679" s="1"/>
      <c r="C4679" s="1"/>
    </row>
    <row r="4680" spans="1:3" x14ac:dyDescent="0.25">
      <c r="A4680" s="1"/>
      <c r="B4680" s="1"/>
      <c r="C4680" s="1"/>
    </row>
    <row r="4681" spans="1:3" x14ac:dyDescent="0.25">
      <c r="A4681" s="1"/>
      <c r="B4681" s="1"/>
      <c r="C4681" s="1"/>
    </row>
    <row r="4682" spans="1:3" x14ac:dyDescent="0.25">
      <c r="A4682" s="1"/>
      <c r="B4682" s="1"/>
      <c r="C4682" s="1"/>
    </row>
    <row r="4683" spans="1:3" x14ac:dyDescent="0.25">
      <c r="A4683" s="1"/>
      <c r="B4683" s="1"/>
      <c r="C4683" s="1"/>
    </row>
    <row r="4684" spans="1:3" x14ac:dyDescent="0.25">
      <c r="A4684" s="1"/>
      <c r="B4684" s="1"/>
      <c r="C4684" s="1"/>
    </row>
    <row r="4685" spans="1:3" x14ac:dyDescent="0.25">
      <c r="A4685" s="1"/>
      <c r="B4685" s="1"/>
      <c r="C4685" s="1"/>
    </row>
    <row r="4686" spans="1:3" x14ac:dyDescent="0.25">
      <c r="A4686" s="1"/>
      <c r="B4686" s="1"/>
      <c r="C4686" s="1"/>
    </row>
    <row r="4687" spans="1:3" x14ac:dyDescent="0.25">
      <c r="A4687" s="1"/>
      <c r="B4687" s="1"/>
      <c r="C4687" s="1"/>
    </row>
    <row r="4688" spans="1:3" x14ac:dyDescent="0.25">
      <c r="A4688" s="1"/>
      <c r="B4688" s="1"/>
      <c r="C4688" s="1"/>
    </row>
    <row r="4689" spans="1:3" x14ac:dyDescent="0.25">
      <c r="A4689" s="1"/>
      <c r="B4689" s="1"/>
      <c r="C4689" s="1"/>
    </row>
    <row r="4690" spans="1:3" x14ac:dyDescent="0.25">
      <c r="A4690" s="1"/>
      <c r="B4690" s="1"/>
      <c r="C4690" s="1"/>
    </row>
    <row r="4691" spans="1:3" x14ac:dyDescent="0.25">
      <c r="A4691" s="1"/>
      <c r="B4691" s="1"/>
      <c r="C4691" s="1"/>
    </row>
    <row r="4692" spans="1:3" x14ac:dyDescent="0.25">
      <c r="A4692" s="1"/>
      <c r="B4692" s="1"/>
      <c r="C4692" s="1"/>
    </row>
    <row r="4693" spans="1:3" x14ac:dyDescent="0.25">
      <c r="A4693" s="1"/>
      <c r="B4693" s="1"/>
      <c r="C4693" s="1"/>
    </row>
    <row r="4694" spans="1:3" x14ac:dyDescent="0.25">
      <c r="A4694" s="1"/>
      <c r="B4694" s="1"/>
      <c r="C4694" s="1"/>
    </row>
    <row r="4695" spans="1:3" x14ac:dyDescent="0.25">
      <c r="A4695" s="1"/>
      <c r="B4695" s="1"/>
      <c r="C4695" s="1"/>
    </row>
    <row r="4696" spans="1:3" x14ac:dyDescent="0.25">
      <c r="A4696" s="1"/>
      <c r="B4696" s="1"/>
      <c r="C4696" s="1"/>
    </row>
    <row r="4697" spans="1:3" x14ac:dyDescent="0.25">
      <c r="A4697" s="1"/>
      <c r="B4697" s="1"/>
      <c r="C4697" s="1"/>
    </row>
    <row r="4698" spans="1:3" x14ac:dyDescent="0.25">
      <c r="A4698" s="1"/>
      <c r="B4698" s="1"/>
      <c r="C4698" s="1"/>
    </row>
    <row r="4699" spans="1:3" x14ac:dyDescent="0.25">
      <c r="A4699" s="1"/>
      <c r="B4699" s="1"/>
      <c r="C4699" s="1"/>
    </row>
    <row r="4700" spans="1:3" x14ac:dyDescent="0.25">
      <c r="A4700" s="1"/>
      <c r="B4700" s="1"/>
      <c r="C4700" s="1"/>
    </row>
    <row r="4701" spans="1:3" x14ac:dyDescent="0.25">
      <c r="A4701" s="1"/>
      <c r="B4701" s="1"/>
      <c r="C4701" s="1"/>
    </row>
    <row r="4702" spans="1:3" x14ac:dyDescent="0.25">
      <c r="A4702" s="1"/>
      <c r="B4702" s="1"/>
      <c r="C4702" s="1"/>
    </row>
    <row r="4703" spans="1:3" x14ac:dyDescent="0.25">
      <c r="A4703" s="1"/>
      <c r="B4703" s="1"/>
      <c r="C4703" s="1"/>
    </row>
    <row r="4704" spans="1:3" x14ac:dyDescent="0.25">
      <c r="A4704" s="1"/>
      <c r="B4704" s="1"/>
      <c r="C4704" s="1"/>
    </row>
    <row r="4705" spans="1:3" x14ac:dyDescent="0.25">
      <c r="A4705" s="1"/>
      <c r="B4705" s="1"/>
      <c r="C4705" s="1"/>
    </row>
    <row r="4706" spans="1:3" x14ac:dyDescent="0.25">
      <c r="A4706" s="1"/>
      <c r="B4706" s="1"/>
      <c r="C4706" s="1"/>
    </row>
    <row r="4707" spans="1:3" x14ac:dyDescent="0.25">
      <c r="A4707" s="1"/>
      <c r="B4707" s="1"/>
      <c r="C4707" s="1"/>
    </row>
    <row r="4708" spans="1:3" x14ac:dyDescent="0.25">
      <c r="A4708" s="1"/>
      <c r="B4708" s="1"/>
      <c r="C4708" s="1"/>
    </row>
    <row r="4709" spans="1:3" x14ac:dyDescent="0.25">
      <c r="A4709" s="1"/>
      <c r="B4709" s="1"/>
      <c r="C4709" s="1"/>
    </row>
    <row r="4710" spans="1:3" x14ac:dyDescent="0.25">
      <c r="A4710" s="1"/>
      <c r="B4710" s="1"/>
      <c r="C4710" s="1"/>
    </row>
    <row r="4711" spans="1:3" x14ac:dyDescent="0.25">
      <c r="A4711" s="1"/>
      <c r="B4711" s="1"/>
      <c r="C4711" s="1"/>
    </row>
    <row r="4712" spans="1:3" x14ac:dyDescent="0.25">
      <c r="A4712" s="1"/>
      <c r="B4712" s="1"/>
      <c r="C4712" s="1"/>
    </row>
    <row r="4713" spans="1:3" x14ac:dyDescent="0.25">
      <c r="A4713" s="1"/>
      <c r="B4713" s="1"/>
      <c r="C4713" s="1"/>
    </row>
    <row r="4714" spans="1:3" x14ac:dyDescent="0.25">
      <c r="A4714" s="1"/>
      <c r="B4714" s="1"/>
      <c r="C4714" s="1"/>
    </row>
    <row r="4715" spans="1:3" x14ac:dyDescent="0.25">
      <c r="A4715" s="1"/>
      <c r="B4715" s="1"/>
      <c r="C4715" s="1"/>
    </row>
    <row r="4716" spans="1:3" x14ac:dyDescent="0.25">
      <c r="A4716" s="1"/>
      <c r="B4716" s="1"/>
      <c r="C4716" s="1"/>
    </row>
    <row r="4717" spans="1:3" x14ac:dyDescent="0.25">
      <c r="A4717" s="1"/>
      <c r="B4717" s="1"/>
      <c r="C4717" s="1"/>
    </row>
    <row r="4718" spans="1:3" x14ac:dyDescent="0.25">
      <c r="A4718" s="1"/>
      <c r="B4718" s="1"/>
      <c r="C4718" s="1"/>
    </row>
    <row r="4719" spans="1:3" x14ac:dyDescent="0.25">
      <c r="A4719" s="1"/>
      <c r="B4719" s="1"/>
      <c r="C4719" s="1"/>
    </row>
    <row r="4720" spans="1:3" x14ac:dyDescent="0.25">
      <c r="A4720" s="1"/>
      <c r="B4720" s="1"/>
      <c r="C4720" s="1"/>
    </row>
    <row r="4721" spans="1:3" x14ac:dyDescent="0.25">
      <c r="A4721" s="1"/>
      <c r="B4721" s="1"/>
      <c r="C4721" s="1"/>
    </row>
    <row r="4722" spans="1:3" x14ac:dyDescent="0.25">
      <c r="A4722" s="1"/>
      <c r="B4722" s="1"/>
      <c r="C4722" s="1"/>
    </row>
    <row r="4723" spans="1:3" x14ac:dyDescent="0.25">
      <c r="A4723" s="1"/>
      <c r="B4723" s="1"/>
      <c r="C4723" s="1"/>
    </row>
    <row r="4724" spans="1:3" x14ac:dyDescent="0.25">
      <c r="A4724" s="1"/>
      <c r="B4724" s="1"/>
      <c r="C4724" s="1"/>
    </row>
    <row r="4725" spans="1:3" x14ac:dyDescent="0.25">
      <c r="A4725" s="1"/>
      <c r="B4725" s="1"/>
      <c r="C4725" s="1"/>
    </row>
    <row r="4726" spans="1:3" x14ac:dyDescent="0.25">
      <c r="A4726" s="1"/>
      <c r="B4726" s="1"/>
      <c r="C4726" s="1"/>
    </row>
    <row r="4727" spans="1:3" x14ac:dyDescent="0.25">
      <c r="A4727" s="1"/>
      <c r="B4727" s="1"/>
      <c r="C4727" s="1"/>
    </row>
    <row r="4728" spans="1:3" x14ac:dyDescent="0.25">
      <c r="A4728" s="1"/>
      <c r="B4728" s="1"/>
      <c r="C4728" s="1"/>
    </row>
    <row r="4729" spans="1:3" x14ac:dyDescent="0.25">
      <c r="A4729" s="1"/>
      <c r="B4729" s="1"/>
      <c r="C4729" s="1"/>
    </row>
    <row r="4730" spans="1:3" x14ac:dyDescent="0.25">
      <c r="A4730" s="1"/>
      <c r="B4730" s="1"/>
      <c r="C4730" s="1"/>
    </row>
    <row r="4731" spans="1:3" x14ac:dyDescent="0.25">
      <c r="A4731" s="1"/>
      <c r="B4731" s="1"/>
      <c r="C4731" s="1"/>
    </row>
    <row r="4732" spans="1:3" x14ac:dyDescent="0.25">
      <c r="A4732" s="1"/>
      <c r="B4732" s="1"/>
      <c r="C4732" s="1"/>
    </row>
    <row r="4733" spans="1:3" x14ac:dyDescent="0.25">
      <c r="A4733" s="1"/>
      <c r="B4733" s="1"/>
      <c r="C4733" s="1"/>
    </row>
    <row r="4734" spans="1:3" x14ac:dyDescent="0.25">
      <c r="A4734" s="1"/>
      <c r="B4734" s="1"/>
      <c r="C4734" s="1"/>
    </row>
    <row r="4735" spans="1:3" x14ac:dyDescent="0.25">
      <c r="A4735" s="1"/>
      <c r="B4735" s="1"/>
      <c r="C4735" s="1"/>
    </row>
    <row r="4736" spans="1:3" x14ac:dyDescent="0.25">
      <c r="A4736" s="1"/>
      <c r="B4736" s="1"/>
      <c r="C4736" s="1"/>
    </row>
    <row r="4737" spans="1:3" x14ac:dyDescent="0.25">
      <c r="A4737" s="1"/>
      <c r="B4737" s="1"/>
      <c r="C4737" s="1"/>
    </row>
    <row r="4738" spans="1:3" x14ac:dyDescent="0.25">
      <c r="A4738" s="1"/>
      <c r="B4738" s="1"/>
      <c r="C4738" s="1"/>
    </row>
    <row r="4739" spans="1:3" x14ac:dyDescent="0.25">
      <c r="A4739" s="1"/>
      <c r="B4739" s="1"/>
      <c r="C4739" s="1"/>
    </row>
    <row r="4740" spans="1:3" x14ac:dyDescent="0.25">
      <c r="A4740" s="1"/>
      <c r="B4740" s="1"/>
      <c r="C4740" s="1"/>
    </row>
    <row r="4741" spans="1:3" x14ac:dyDescent="0.25">
      <c r="A4741" s="1"/>
      <c r="B4741" s="1"/>
      <c r="C4741" s="1"/>
    </row>
    <row r="4742" spans="1:3" x14ac:dyDescent="0.25">
      <c r="A4742" s="1"/>
      <c r="B4742" s="1"/>
      <c r="C4742" s="1"/>
    </row>
    <row r="4743" spans="1:3" x14ac:dyDescent="0.25">
      <c r="A4743" s="1"/>
      <c r="B4743" s="1"/>
      <c r="C4743" s="1"/>
    </row>
    <row r="4744" spans="1:3" x14ac:dyDescent="0.25">
      <c r="A4744" s="1"/>
      <c r="B4744" s="1"/>
      <c r="C4744" s="1"/>
    </row>
    <row r="4745" spans="1:3" x14ac:dyDescent="0.25">
      <c r="A4745" s="1"/>
      <c r="B4745" s="1"/>
      <c r="C4745" s="1"/>
    </row>
    <row r="4746" spans="1:3" x14ac:dyDescent="0.25">
      <c r="A4746" s="1"/>
      <c r="B4746" s="1"/>
      <c r="C4746" s="1"/>
    </row>
    <row r="4747" spans="1:3" x14ac:dyDescent="0.25">
      <c r="A4747" s="1"/>
      <c r="B4747" s="1"/>
      <c r="C4747" s="1"/>
    </row>
    <row r="4748" spans="1:3" x14ac:dyDescent="0.25">
      <c r="A4748" s="1"/>
      <c r="B4748" s="1"/>
      <c r="C4748" s="1"/>
    </row>
    <row r="4749" spans="1:3" x14ac:dyDescent="0.25">
      <c r="A4749" s="1"/>
      <c r="B4749" s="1"/>
      <c r="C4749" s="1"/>
    </row>
    <row r="4750" spans="1:3" x14ac:dyDescent="0.25">
      <c r="A4750" s="1"/>
      <c r="B4750" s="1"/>
      <c r="C4750" s="1"/>
    </row>
    <row r="4751" spans="1:3" x14ac:dyDescent="0.25">
      <c r="A4751" s="1"/>
      <c r="B4751" s="1"/>
      <c r="C4751" s="1"/>
    </row>
    <row r="4752" spans="1:3" x14ac:dyDescent="0.25">
      <c r="A4752" s="1"/>
      <c r="B4752" s="1"/>
      <c r="C4752" s="1"/>
    </row>
    <row r="4753" spans="1:3" x14ac:dyDescent="0.25">
      <c r="A4753" s="1"/>
      <c r="B4753" s="1"/>
      <c r="C4753" s="1"/>
    </row>
    <row r="4754" spans="1:3" x14ac:dyDescent="0.25">
      <c r="A4754" s="1"/>
      <c r="B4754" s="1"/>
      <c r="C4754" s="1"/>
    </row>
    <row r="4755" spans="1:3" x14ac:dyDescent="0.25">
      <c r="A4755" s="1"/>
      <c r="B4755" s="1"/>
      <c r="C4755" s="1"/>
    </row>
    <row r="4756" spans="1:3" x14ac:dyDescent="0.25">
      <c r="A4756" s="1"/>
      <c r="B4756" s="1"/>
      <c r="C4756" s="1"/>
    </row>
    <row r="4757" spans="1:3" x14ac:dyDescent="0.25">
      <c r="A4757" s="1"/>
      <c r="B4757" s="1"/>
      <c r="C4757" s="1"/>
    </row>
    <row r="4758" spans="1:3" x14ac:dyDescent="0.25">
      <c r="A4758" s="1"/>
      <c r="B4758" s="1"/>
      <c r="C4758" s="1"/>
    </row>
    <row r="4759" spans="1:3" x14ac:dyDescent="0.25">
      <c r="A4759" s="1"/>
      <c r="B4759" s="1"/>
      <c r="C4759" s="1"/>
    </row>
    <row r="4760" spans="1:3" x14ac:dyDescent="0.25">
      <c r="A4760" s="1"/>
      <c r="B4760" s="1"/>
      <c r="C4760" s="1"/>
    </row>
    <row r="4761" spans="1:3" x14ac:dyDescent="0.25">
      <c r="A4761" s="1"/>
      <c r="B4761" s="1"/>
      <c r="C4761" s="1"/>
    </row>
    <row r="4762" spans="1:3" x14ac:dyDescent="0.25">
      <c r="A4762" s="1"/>
      <c r="B4762" s="1"/>
      <c r="C4762" s="1"/>
    </row>
    <row r="4763" spans="1:3" x14ac:dyDescent="0.25">
      <c r="A4763" s="1"/>
      <c r="B4763" s="1"/>
      <c r="C4763" s="1"/>
    </row>
    <row r="4764" spans="1:3" x14ac:dyDescent="0.25">
      <c r="A4764" s="1"/>
      <c r="B4764" s="1"/>
      <c r="C4764" s="1"/>
    </row>
    <row r="4765" spans="1:3" x14ac:dyDescent="0.25">
      <c r="A4765" s="1"/>
      <c r="B4765" s="1"/>
      <c r="C4765" s="1"/>
    </row>
    <row r="4766" spans="1:3" x14ac:dyDescent="0.25">
      <c r="A4766" s="1"/>
      <c r="B4766" s="1"/>
      <c r="C4766" s="1"/>
    </row>
    <row r="4767" spans="1:3" x14ac:dyDescent="0.25">
      <c r="A4767" s="1"/>
      <c r="B4767" s="1"/>
      <c r="C4767" s="1"/>
    </row>
    <row r="4768" spans="1:3" x14ac:dyDescent="0.25">
      <c r="A4768" s="1"/>
      <c r="B4768" s="1"/>
      <c r="C4768" s="1"/>
    </row>
    <row r="4769" spans="1:3" x14ac:dyDescent="0.25">
      <c r="A4769" s="1"/>
      <c r="B4769" s="1"/>
      <c r="C4769" s="1"/>
    </row>
    <row r="4770" spans="1:3" x14ac:dyDescent="0.25">
      <c r="A4770" s="1"/>
      <c r="B4770" s="1"/>
      <c r="C4770" s="1"/>
    </row>
    <row r="4771" spans="1:3" x14ac:dyDescent="0.25">
      <c r="A4771" s="1"/>
      <c r="B4771" s="1"/>
      <c r="C4771" s="1"/>
    </row>
    <row r="4772" spans="1:3" x14ac:dyDescent="0.25">
      <c r="A4772" s="1"/>
      <c r="B4772" s="1"/>
      <c r="C4772" s="1"/>
    </row>
    <row r="4773" spans="1:3" x14ac:dyDescent="0.25">
      <c r="A4773" s="1"/>
      <c r="B4773" s="1"/>
      <c r="C4773" s="1"/>
    </row>
    <row r="4774" spans="1:3" x14ac:dyDescent="0.25">
      <c r="A4774" s="1"/>
      <c r="B4774" s="1"/>
      <c r="C4774" s="1"/>
    </row>
    <row r="4775" spans="1:3" x14ac:dyDescent="0.25">
      <c r="A4775" s="1"/>
      <c r="B4775" s="1"/>
      <c r="C4775" s="1"/>
    </row>
    <row r="4776" spans="1:3" x14ac:dyDescent="0.25">
      <c r="A4776" s="1"/>
      <c r="B4776" s="1"/>
      <c r="C4776" s="1"/>
    </row>
    <row r="4777" spans="1:3" x14ac:dyDescent="0.25">
      <c r="A4777" s="1"/>
      <c r="B4777" s="1"/>
      <c r="C4777" s="1"/>
    </row>
    <row r="4778" spans="1:3" x14ac:dyDescent="0.25">
      <c r="A4778" s="1"/>
      <c r="B4778" s="1"/>
      <c r="C4778" s="1"/>
    </row>
    <row r="4779" spans="1:3" x14ac:dyDescent="0.25">
      <c r="A4779" s="1"/>
      <c r="B4779" s="1"/>
      <c r="C4779" s="1"/>
    </row>
    <row r="4780" spans="1:3" x14ac:dyDescent="0.25">
      <c r="A4780" s="1"/>
      <c r="B4780" s="1"/>
      <c r="C4780" s="1"/>
    </row>
    <row r="4781" spans="1:3" x14ac:dyDescent="0.25">
      <c r="A4781" s="1"/>
      <c r="B4781" s="1"/>
      <c r="C4781" s="1"/>
    </row>
    <row r="4782" spans="1:3" x14ac:dyDescent="0.25">
      <c r="A4782" s="1"/>
      <c r="B4782" s="1"/>
      <c r="C4782" s="1"/>
    </row>
    <row r="4783" spans="1:3" x14ac:dyDescent="0.25">
      <c r="A4783" s="1"/>
      <c r="B4783" s="1"/>
      <c r="C4783" s="1"/>
    </row>
    <row r="4784" spans="1:3" x14ac:dyDescent="0.25">
      <c r="A4784" s="1"/>
      <c r="B4784" s="1"/>
      <c r="C4784" s="1"/>
    </row>
    <row r="4785" spans="1:3" x14ac:dyDescent="0.25">
      <c r="A4785" s="1"/>
      <c r="B4785" s="1"/>
      <c r="C4785" s="1"/>
    </row>
    <row r="4786" spans="1:3" x14ac:dyDescent="0.25">
      <c r="A4786" s="1"/>
      <c r="B4786" s="1"/>
      <c r="C4786" s="1"/>
    </row>
    <row r="4787" spans="1:3" x14ac:dyDescent="0.25">
      <c r="A4787" s="1"/>
      <c r="B4787" s="1"/>
      <c r="C4787" s="1"/>
    </row>
    <row r="4788" spans="1:3" x14ac:dyDescent="0.25">
      <c r="A4788" s="1"/>
      <c r="B4788" s="1"/>
      <c r="C4788" s="1"/>
    </row>
    <row r="4789" spans="1:3" x14ac:dyDescent="0.25">
      <c r="A4789" s="1"/>
      <c r="B4789" s="1"/>
      <c r="C4789" s="1"/>
    </row>
    <row r="4790" spans="1:3" x14ac:dyDescent="0.25">
      <c r="A4790" s="1"/>
      <c r="B4790" s="1"/>
      <c r="C4790" s="1"/>
    </row>
    <row r="4791" spans="1:3" x14ac:dyDescent="0.25">
      <c r="A4791" s="1"/>
      <c r="B4791" s="1"/>
      <c r="C4791" s="1"/>
    </row>
    <row r="4792" spans="1:3" x14ac:dyDescent="0.25">
      <c r="A4792" s="1"/>
      <c r="B4792" s="1"/>
      <c r="C4792" s="1"/>
    </row>
    <row r="4793" spans="1:3" x14ac:dyDescent="0.25">
      <c r="A4793" s="1"/>
      <c r="B4793" s="1"/>
      <c r="C4793" s="1"/>
    </row>
    <row r="4794" spans="1:3" x14ac:dyDescent="0.25">
      <c r="A4794" s="1"/>
      <c r="B4794" s="1"/>
      <c r="C4794" s="1"/>
    </row>
    <row r="4795" spans="1:3" x14ac:dyDescent="0.25">
      <c r="A4795" s="1"/>
      <c r="B4795" s="1"/>
      <c r="C4795" s="1"/>
    </row>
    <row r="4796" spans="1:3" x14ac:dyDescent="0.25">
      <c r="A4796" s="1"/>
      <c r="B4796" s="1"/>
      <c r="C4796" s="1"/>
    </row>
    <row r="4797" spans="1:3" x14ac:dyDescent="0.25">
      <c r="A4797" s="1"/>
      <c r="B4797" s="1"/>
      <c r="C4797" s="1"/>
    </row>
    <row r="4798" spans="1:3" x14ac:dyDescent="0.25">
      <c r="A4798" s="1"/>
      <c r="B4798" s="1"/>
      <c r="C4798" s="1"/>
    </row>
    <row r="4799" spans="1:3" x14ac:dyDescent="0.25">
      <c r="A4799" s="1"/>
      <c r="B4799" s="1"/>
      <c r="C4799" s="1"/>
    </row>
    <row r="4800" spans="1:3" x14ac:dyDescent="0.25">
      <c r="A4800" s="1"/>
      <c r="B4800" s="1"/>
      <c r="C4800" s="1"/>
    </row>
    <row r="4801" spans="1:3" x14ac:dyDescent="0.25">
      <c r="A4801" s="1"/>
      <c r="B4801" s="1"/>
      <c r="C4801" s="1"/>
    </row>
    <row r="4802" spans="1:3" x14ac:dyDescent="0.25">
      <c r="A4802" s="1"/>
      <c r="B4802" s="1"/>
      <c r="C4802" s="1"/>
    </row>
    <row r="4803" spans="1:3" x14ac:dyDescent="0.25">
      <c r="A4803" s="1"/>
      <c r="B4803" s="1"/>
      <c r="C4803" s="1"/>
    </row>
    <row r="4804" spans="1:3" x14ac:dyDescent="0.25">
      <c r="A4804" s="1"/>
      <c r="B4804" s="1"/>
      <c r="C4804" s="1"/>
    </row>
    <row r="4805" spans="1:3" x14ac:dyDescent="0.25">
      <c r="A4805" s="1"/>
      <c r="B4805" s="1"/>
      <c r="C4805" s="1"/>
    </row>
    <row r="4806" spans="1:3" x14ac:dyDescent="0.25">
      <c r="A4806" s="1"/>
      <c r="B4806" s="1"/>
      <c r="C4806" s="1"/>
    </row>
    <row r="4807" spans="1:3" x14ac:dyDescent="0.25">
      <c r="A4807" s="1"/>
      <c r="B4807" s="1"/>
      <c r="C4807" s="1"/>
    </row>
    <row r="4808" spans="1:3" x14ac:dyDescent="0.25">
      <c r="A4808" s="1"/>
      <c r="B4808" s="1"/>
      <c r="C4808" s="1"/>
    </row>
    <row r="4809" spans="1:3" x14ac:dyDescent="0.25">
      <c r="A4809" s="1"/>
      <c r="B4809" s="1"/>
      <c r="C4809" s="1"/>
    </row>
    <row r="4810" spans="1:3" x14ac:dyDescent="0.25">
      <c r="A4810" s="1"/>
      <c r="B4810" s="1"/>
      <c r="C4810" s="1"/>
    </row>
    <row r="4811" spans="1:3" x14ac:dyDescent="0.25">
      <c r="A4811" s="1"/>
      <c r="B4811" s="1"/>
      <c r="C4811" s="1"/>
    </row>
    <row r="4812" spans="1:3" x14ac:dyDescent="0.25">
      <c r="A4812" s="1"/>
      <c r="B4812" s="1"/>
      <c r="C4812" s="1"/>
    </row>
    <row r="4813" spans="1:3" x14ac:dyDescent="0.25">
      <c r="A4813" s="1"/>
      <c r="B4813" s="1"/>
      <c r="C4813" s="1"/>
    </row>
    <row r="4814" spans="1:3" x14ac:dyDescent="0.25">
      <c r="A4814" s="1"/>
      <c r="B4814" s="1"/>
      <c r="C4814" s="1"/>
    </row>
    <row r="4815" spans="1:3" x14ac:dyDescent="0.25">
      <c r="A4815" s="1"/>
      <c r="B4815" s="1"/>
      <c r="C4815" s="1"/>
    </row>
    <row r="4816" spans="1:3" x14ac:dyDescent="0.25">
      <c r="A4816" s="1"/>
      <c r="B4816" s="1"/>
      <c r="C4816" s="1"/>
    </row>
    <row r="4817" spans="1:3" x14ac:dyDescent="0.25">
      <c r="A4817" s="1"/>
      <c r="B4817" s="1"/>
      <c r="C4817" s="1"/>
    </row>
    <row r="4818" spans="1:3" x14ac:dyDescent="0.25">
      <c r="A4818" s="1"/>
      <c r="B4818" s="1"/>
      <c r="C4818" s="1"/>
    </row>
    <row r="4819" spans="1:3" x14ac:dyDescent="0.25">
      <c r="A4819" s="1"/>
      <c r="B4819" s="1"/>
      <c r="C4819" s="1"/>
    </row>
    <row r="4820" spans="1:3" x14ac:dyDescent="0.25">
      <c r="A4820" s="1"/>
      <c r="B4820" s="1"/>
      <c r="C4820" s="1"/>
    </row>
    <row r="4821" spans="1:3" x14ac:dyDescent="0.25">
      <c r="A4821" s="1"/>
      <c r="B4821" s="1"/>
      <c r="C4821" s="1"/>
    </row>
    <row r="4822" spans="1:3" x14ac:dyDescent="0.25">
      <c r="A4822" s="1"/>
      <c r="B4822" s="1"/>
      <c r="C4822" s="1"/>
    </row>
    <row r="4823" spans="1:3" x14ac:dyDescent="0.25">
      <c r="A4823" s="1"/>
      <c r="B4823" s="1"/>
      <c r="C4823" s="1"/>
    </row>
    <row r="4824" spans="1:3" x14ac:dyDescent="0.25">
      <c r="A4824" s="1"/>
      <c r="B4824" s="1"/>
      <c r="C4824" s="1"/>
    </row>
    <row r="4825" spans="1:3" x14ac:dyDescent="0.25">
      <c r="A4825" s="1"/>
      <c r="B4825" s="1"/>
      <c r="C4825" s="1"/>
    </row>
    <row r="4826" spans="1:3" x14ac:dyDescent="0.25">
      <c r="A4826" s="1"/>
      <c r="B4826" s="1"/>
      <c r="C4826" s="1"/>
    </row>
    <row r="4827" spans="1:3" x14ac:dyDescent="0.25">
      <c r="A4827" s="1"/>
      <c r="B4827" s="1"/>
      <c r="C4827" s="1"/>
    </row>
    <row r="4828" spans="1:3" x14ac:dyDescent="0.25">
      <c r="A4828" s="1"/>
      <c r="B4828" s="1"/>
      <c r="C4828" s="1"/>
    </row>
    <row r="4829" spans="1:3" x14ac:dyDescent="0.25">
      <c r="A4829" s="1"/>
      <c r="B4829" s="1"/>
      <c r="C4829" s="1"/>
    </row>
    <row r="4830" spans="1:3" x14ac:dyDescent="0.25">
      <c r="A4830" s="1"/>
      <c r="B4830" s="1"/>
      <c r="C4830" s="1"/>
    </row>
    <row r="4831" spans="1:3" x14ac:dyDescent="0.25">
      <c r="A4831" s="1"/>
      <c r="B4831" s="1"/>
      <c r="C4831" s="1"/>
    </row>
    <row r="4832" spans="1:3" x14ac:dyDescent="0.25">
      <c r="A4832" s="1"/>
      <c r="B4832" s="1"/>
      <c r="C4832" s="1"/>
    </row>
    <row r="4833" spans="1:3" x14ac:dyDescent="0.25">
      <c r="A4833" s="1"/>
      <c r="B4833" s="1"/>
      <c r="C4833" s="1"/>
    </row>
    <row r="4834" spans="1:3" x14ac:dyDescent="0.25">
      <c r="A4834" s="1"/>
      <c r="B4834" s="1"/>
      <c r="C4834" s="1"/>
    </row>
    <row r="4835" spans="1:3" x14ac:dyDescent="0.25">
      <c r="A4835" s="1"/>
      <c r="B4835" s="1"/>
      <c r="C4835" s="1"/>
    </row>
    <row r="4836" spans="1:3" x14ac:dyDescent="0.25">
      <c r="A4836" s="1"/>
      <c r="B4836" s="1"/>
      <c r="C4836" s="1"/>
    </row>
    <row r="4837" spans="1:3" x14ac:dyDescent="0.25">
      <c r="A4837" s="1"/>
      <c r="B4837" s="1"/>
      <c r="C4837" s="1"/>
    </row>
    <row r="4838" spans="1:3" x14ac:dyDescent="0.25">
      <c r="A4838" s="1"/>
      <c r="B4838" s="1"/>
      <c r="C4838" s="1"/>
    </row>
    <row r="4839" spans="1:3" x14ac:dyDescent="0.25">
      <c r="A4839" s="1"/>
      <c r="B4839" s="1"/>
      <c r="C4839" s="1"/>
    </row>
    <row r="4840" spans="1:3" x14ac:dyDescent="0.25">
      <c r="A4840" s="1"/>
      <c r="B4840" s="1"/>
      <c r="C4840" s="1"/>
    </row>
    <row r="4841" spans="1:3" x14ac:dyDescent="0.25">
      <c r="A4841" s="1"/>
      <c r="B4841" s="1"/>
      <c r="C4841" s="1"/>
    </row>
    <row r="4842" spans="1:3" x14ac:dyDescent="0.25">
      <c r="A4842" s="1"/>
      <c r="B4842" s="1"/>
      <c r="C4842" s="1"/>
    </row>
    <row r="4843" spans="1:3" x14ac:dyDescent="0.25">
      <c r="A4843" s="1"/>
      <c r="B4843" s="1"/>
      <c r="C4843" s="1"/>
    </row>
    <row r="4844" spans="1:3" x14ac:dyDescent="0.25">
      <c r="A4844" s="1"/>
      <c r="B4844" s="1"/>
      <c r="C4844" s="1"/>
    </row>
    <row r="4845" spans="1:3" x14ac:dyDescent="0.25">
      <c r="A4845" s="1"/>
      <c r="B4845" s="1"/>
      <c r="C4845" s="1"/>
    </row>
    <row r="4846" spans="1:3" x14ac:dyDescent="0.25">
      <c r="A4846" s="1"/>
      <c r="B4846" s="1"/>
      <c r="C4846" s="1"/>
    </row>
    <row r="4847" spans="1:3" x14ac:dyDescent="0.25">
      <c r="A4847" s="1"/>
      <c r="B4847" s="1"/>
      <c r="C4847" s="1"/>
    </row>
    <row r="4848" spans="1:3" x14ac:dyDescent="0.25">
      <c r="A4848" s="1"/>
      <c r="B4848" s="1"/>
      <c r="C4848" s="1"/>
    </row>
    <row r="4849" spans="1:3" x14ac:dyDescent="0.25">
      <c r="A4849" s="1"/>
      <c r="B4849" s="1"/>
      <c r="C4849" s="1"/>
    </row>
    <row r="4850" spans="1:3" x14ac:dyDescent="0.25">
      <c r="A4850" s="1"/>
      <c r="B4850" s="1"/>
      <c r="C4850" s="1"/>
    </row>
    <row r="4851" spans="1:3" x14ac:dyDescent="0.25">
      <c r="A4851" s="1"/>
      <c r="B4851" s="1"/>
      <c r="C4851" s="1"/>
    </row>
    <row r="4852" spans="1:3" x14ac:dyDescent="0.25">
      <c r="A4852" s="1"/>
      <c r="B4852" s="1"/>
      <c r="C4852" s="1"/>
    </row>
    <row r="4853" spans="1:3" x14ac:dyDescent="0.25">
      <c r="A4853" s="1"/>
      <c r="B4853" s="1"/>
      <c r="C4853" s="1"/>
    </row>
    <row r="4854" spans="1:3" x14ac:dyDescent="0.25">
      <c r="A4854" s="1"/>
      <c r="B4854" s="1"/>
      <c r="C4854" s="1"/>
    </row>
    <row r="4855" spans="1:3" x14ac:dyDescent="0.25">
      <c r="A4855" s="1"/>
      <c r="B4855" s="1"/>
      <c r="C4855" s="1"/>
    </row>
    <row r="4856" spans="1:3" x14ac:dyDescent="0.25">
      <c r="A4856" s="1"/>
      <c r="B4856" s="1"/>
      <c r="C4856" s="1"/>
    </row>
    <row r="4857" spans="1:3" x14ac:dyDescent="0.25">
      <c r="A4857" s="1"/>
      <c r="B4857" s="1"/>
      <c r="C4857" s="1"/>
    </row>
    <row r="4858" spans="1:3" x14ac:dyDescent="0.25">
      <c r="A4858" s="1"/>
      <c r="B4858" s="1"/>
      <c r="C4858" s="1"/>
    </row>
    <row r="4859" spans="1:3" x14ac:dyDescent="0.25">
      <c r="A4859" s="1"/>
      <c r="B4859" s="1"/>
      <c r="C4859" s="1"/>
    </row>
    <row r="4860" spans="1:3" x14ac:dyDescent="0.25">
      <c r="A4860" s="1"/>
      <c r="B4860" s="1"/>
      <c r="C4860" s="1"/>
    </row>
    <row r="4861" spans="1:3" x14ac:dyDescent="0.25">
      <c r="A4861" s="1"/>
      <c r="B4861" s="1"/>
      <c r="C4861" s="1"/>
    </row>
    <row r="4862" spans="1:3" x14ac:dyDescent="0.25">
      <c r="A4862" s="1"/>
      <c r="B4862" s="1"/>
      <c r="C4862" s="1"/>
    </row>
    <row r="4863" spans="1:3" x14ac:dyDescent="0.25">
      <c r="A4863" s="1"/>
      <c r="B4863" s="1"/>
      <c r="C4863" s="1"/>
    </row>
    <row r="4864" spans="1:3" x14ac:dyDescent="0.25">
      <c r="A4864" s="1"/>
      <c r="B4864" s="1"/>
      <c r="C4864" s="1"/>
    </row>
    <row r="4865" spans="1:3" x14ac:dyDescent="0.25">
      <c r="A4865" s="1"/>
      <c r="B4865" s="1"/>
      <c r="C4865" s="1"/>
    </row>
    <row r="4866" spans="1:3" x14ac:dyDescent="0.25">
      <c r="A4866" s="1"/>
      <c r="B4866" s="1"/>
      <c r="C4866" s="1"/>
    </row>
    <row r="4867" spans="1:3" x14ac:dyDescent="0.25">
      <c r="A4867" s="1"/>
      <c r="B4867" s="1"/>
      <c r="C4867" s="1"/>
    </row>
    <row r="4868" spans="1:3" x14ac:dyDescent="0.25">
      <c r="A4868" s="1"/>
      <c r="B4868" s="1"/>
      <c r="C4868" s="1"/>
    </row>
    <row r="4869" spans="1:3" x14ac:dyDescent="0.25">
      <c r="A4869" s="1"/>
      <c r="B4869" s="1"/>
      <c r="C4869" s="1"/>
    </row>
    <row r="4870" spans="1:3" x14ac:dyDescent="0.25">
      <c r="A4870" s="1"/>
      <c r="B4870" s="1"/>
      <c r="C4870" s="1"/>
    </row>
    <row r="4871" spans="1:3" x14ac:dyDescent="0.25">
      <c r="A4871" s="1"/>
      <c r="B4871" s="1"/>
      <c r="C4871" s="1"/>
    </row>
    <row r="4872" spans="1:3" x14ac:dyDescent="0.25">
      <c r="A4872" s="1"/>
      <c r="B4872" s="1"/>
      <c r="C4872" s="1"/>
    </row>
    <row r="4873" spans="1:3" x14ac:dyDescent="0.25">
      <c r="A4873" s="1"/>
      <c r="B4873" s="1"/>
      <c r="C4873" s="1"/>
    </row>
    <row r="4874" spans="1:3" x14ac:dyDescent="0.25">
      <c r="A4874" s="1"/>
      <c r="B4874" s="1"/>
      <c r="C4874" s="1"/>
    </row>
    <row r="4875" spans="1:3" x14ac:dyDescent="0.25">
      <c r="A4875" s="1"/>
      <c r="B4875" s="1"/>
      <c r="C4875" s="1"/>
    </row>
    <row r="4876" spans="1:3" x14ac:dyDescent="0.25">
      <c r="A4876" s="1"/>
      <c r="B4876" s="1"/>
      <c r="C4876" s="1"/>
    </row>
    <row r="4877" spans="1:3" x14ac:dyDescent="0.25">
      <c r="A4877" s="1"/>
      <c r="B4877" s="1"/>
      <c r="C4877" s="1"/>
    </row>
    <row r="4878" spans="1:3" x14ac:dyDescent="0.25">
      <c r="A4878" s="1"/>
      <c r="B4878" s="1"/>
      <c r="C4878" s="1"/>
    </row>
    <row r="4879" spans="1:3" x14ac:dyDescent="0.25">
      <c r="A4879" s="1"/>
      <c r="B4879" s="1"/>
      <c r="C4879" s="1"/>
    </row>
    <row r="4880" spans="1:3" x14ac:dyDescent="0.25">
      <c r="A4880" s="1"/>
      <c r="B4880" s="1"/>
      <c r="C4880" s="1"/>
    </row>
    <row r="4881" spans="1:3" x14ac:dyDescent="0.25">
      <c r="A4881" s="1"/>
      <c r="B4881" s="1"/>
      <c r="C4881" s="1"/>
    </row>
    <row r="4882" spans="1:3" x14ac:dyDescent="0.25">
      <c r="A4882" s="1"/>
      <c r="B4882" s="1"/>
      <c r="C4882" s="1"/>
    </row>
    <row r="4883" spans="1:3" x14ac:dyDescent="0.25">
      <c r="A4883" s="1"/>
      <c r="B4883" s="1"/>
      <c r="C4883" s="1"/>
    </row>
    <row r="4884" spans="1:3" x14ac:dyDescent="0.25">
      <c r="A4884" s="1"/>
      <c r="B4884" s="1"/>
      <c r="C4884" s="1"/>
    </row>
    <row r="4885" spans="1:3" x14ac:dyDescent="0.25">
      <c r="A4885" s="1"/>
      <c r="B4885" s="1"/>
      <c r="C4885" s="1"/>
    </row>
    <row r="4886" spans="1:3" x14ac:dyDescent="0.25">
      <c r="A4886" s="1"/>
      <c r="B4886" s="1"/>
      <c r="C4886" s="1"/>
    </row>
    <row r="4887" spans="1:3" x14ac:dyDescent="0.25">
      <c r="A4887" s="1"/>
      <c r="B4887" s="1"/>
      <c r="C4887" s="1"/>
    </row>
    <row r="4888" spans="1:3" x14ac:dyDescent="0.25">
      <c r="A4888" s="1"/>
      <c r="B4888" s="1"/>
      <c r="C4888" s="1"/>
    </row>
    <row r="4889" spans="1:3" x14ac:dyDescent="0.25">
      <c r="A4889" s="1"/>
      <c r="B4889" s="1"/>
      <c r="C4889" s="1"/>
    </row>
    <row r="4890" spans="1:3" x14ac:dyDescent="0.25">
      <c r="A4890" s="1"/>
      <c r="B4890" s="1"/>
      <c r="C4890" s="1"/>
    </row>
    <row r="4891" spans="1:3" x14ac:dyDescent="0.25">
      <c r="A4891" s="1"/>
      <c r="B4891" s="1"/>
      <c r="C4891" s="1"/>
    </row>
    <row r="4892" spans="1:3" x14ac:dyDescent="0.25">
      <c r="A4892" s="1"/>
      <c r="B4892" s="1"/>
      <c r="C4892" s="1"/>
    </row>
    <row r="4893" spans="1:3" x14ac:dyDescent="0.25">
      <c r="A4893" s="1"/>
      <c r="B4893" s="1"/>
      <c r="C4893" s="1"/>
    </row>
    <row r="4894" spans="1:3" x14ac:dyDescent="0.25">
      <c r="A4894" s="1"/>
      <c r="B4894" s="1"/>
      <c r="C4894" s="1"/>
    </row>
    <row r="4895" spans="1:3" x14ac:dyDescent="0.25">
      <c r="A4895" s="1"/>
      <c r="B4895" s="1"/>
      <c r="C4895" s="1"/>
    </row>
    <row r="4896" spans="1:3" x14ac:dyDescent="0.25">
      <c r="A4896" s="1"/>
      <c r="B4896" s="1"/>
      <c r="C4896" s="1"/>
    </row>
    <row r="4897" spans="1:3" x14ac:dyDescent="0.25">
      <c r="A4897" s="1"/>
      <c r="B4897" s="1"/>
      <c r="C4897" s="1"/>
    </row>
    <row r="4898" spans="1:3" x14ac:dyDescent="0.25">
      <c r="A4898" s="1"/>
      <c r="B4898" s="1"/>
      <c r="C4898" s="1"/>
    </row>
    <row r="4899" spans="1:3" x14ac:dyDescent="0.25">
      <c r="A4899" s="1"/>
      <c r="B4899" s="1"/>
      <c r="C4899" s="1"/>
    </row>
    <row r="4900" spans="1:3" x14ac:dyDescent="0.25">
      <c r="A4900" s="1"/>
      <c r="B4900" s="1"/>
      <c r="C4900" s="1"/>
    </row>
    <row r="4901" spans="1:3" x14ac:dyDescent="0.25">
      <c r="A4901" s="1"/>
      <c r="B4901" s="1"/>
      <c r="C4901" s="1"/>
    </row>
    <row r="4902" spans="1:3" x14ac:dyDescent="0.25">
      <c r="A4902" s="1"/>
      <c r="B4902" s="1"/>
      <c r="C4902" s="1"/>
    </row>
    <row r="4903" spans="1:3" x14ac:dyDescent="0.25">
      <c r="A4903" s="1"/>
      <c r="B4903" s="1"/>
      <c r="C4903" s="1"/>
    </row>
    <row r="4904" spans="1:3" x14ac:dyDescent="0.25">
      <c r="A4904" s="1"/>
      <c r="B4904" s="1"/>
      <c r="C4904" s="1"/>
    </row>
    <row r="4905" spans="1:3" x14ac:dyDescent="0.25">
      <c r="A4905" s="1"/>
      <c r="B4905" s="1"/>
      <c r="C4905" s="1"/>
    </row>
    <row r="4906" spans="1:3" x14ac:dyDescent="0.25">
      <c r="A4906" s="1"/>
      <c r="B4906" s="1"/>
      <c r="C4906" s="1"/>
    </row>
    <row r="4907" spans="1:3" x14ac:dyDescent="0.25">
      <c r="A4907" s="1"/>
      <c r="B4907" s="1"/>
      <c r="C4907" s="1"/>
    </row>
    <row r="4908" spans="1:3" x14ac:dyDescent="0.25">
      <c r="A4908" s="1"/>
      <c r="B4908" s="1"/>
      <c r="C4908" s="1"/>
    </row>
    <row r="4909" spans="1:3" x14ac:dyDescent="0.25">
      <c r="A4909" s="1"/>
      <c r="B4909" s="1"/>
      <c r="C4909" s="1"/>
    </row>
    <row r="4910" spans="1:3" x14ac:dyDescent="0.25">
      <c r="A4910" s="1"/>
      <c r="B4910" s="1"/>
      <c r="C4910" s="1"/>
    </row>
    <row r="4911" spans="1:3" x14ac:dyDescent="0.25">
      <c r="A4911" s="1"/>
      <c r="B4911" s="1"/>
      <c r="C4911" s="1"/>
    </row>
    <row r="4912" spans="1:3" x14ac:dyDescent="0.25">
      <c r="A4912" s="1"/>
      <c r="B4912" s="1"/>
      <c r="C4912" s="1"/>
    </row>
    <row r="4913" spans="1:3" x14ac:dyDescent="0.25">
      <c r="A4913" s="1"/>
      <c r="B4913" s="1"/>
      <c r="C4913" s="1"/>
    </row>
    <row r="4914" spans="1:3" x14ac:dyDescent="0.25">
      <c r="A4914" s="1"/>
      <c r="B4914" s="1"/>
      <c r="C4914" s="1"/>
    </row>
    <row r="4915" spans="1:3" x14ac:dyDescent="0.25">
      <c r="A4915" s="1"/>
      <c r="B4915" s="1"/>
      <c r="C4915" s="1"/>
    </row>
    <row r="4916" spans="1:3" x14ac:dyDescent="0.25">
      <c r="A4916" s="1"/>
      <c r="B4916" s="1"/>
      <c r="C4916" s="1"/>
    </row>
    <row r="4917" spans="1:3" x14ac:dyDescent="0.25">
      <c r="A4917" s="1"/>
      <c r="B4917" s="1"/>
      <c r="C4917" s="1"/>
    </row>
    <row r="4918" spans="1:3" x14ac:dyDescent="0.25">
      <c r="A4918" s="1"/>
      <c r="B4918" s="1"/>
      <c r="C4918" s="1"/>
    </row>
    <row r="4919" spans="1:3" x14ac:dyDescent="0.25">
      <c r="A4919" s="1"/>
      <c r="B4919" s="1"/>
      <c r="C4919" s="1"/>
    </row>
    <row r="4920" spans="1:3" x14ac:dyDescent="0.25">
      <c r="A4920" s="1"/>
      <c r="B4920" s="1"/>
      <c r="C4920" s="1"/>
    </row>
    <row r="4921" spans="1:3" x14ac:dyDescent="0.25">
      <c r="A4921" s="1"/>
      <c r="B4921" s="1"/>
      <c r="C4921" s="1"/>
    </row>
    <row r="4922" spans="1:3" x14ac:dyDescent="0.25">
      <c r="A4922" s="1"/>
      <c r="B4922" s="1"/>
      <c r="C4922" s="1"/>
    </row>
    <row r="4923" spans="1:3" x14ac:dyDescent="0.25">
      <c r="A4923" s="1"/>
      <c r="B4923" s="1"/>
      <c r="C4923" s="1"/>
    </row>
    <row r="4924" spans="1:3" x14ac:dyDescent="0.25">
      <c r="A4924" s="1"/>
      <c r="B4924" s="1"/>
      <c r="C4924" s="1"/>
    </row>
    <row r="4925" spans="1:3" x14ac:dyDescent="0.25">
      <c r="A4925" s="1"/>
      <c r="B4925" s="1"/>
      <c r="C4925" s="1"/>
    </row>
    <row r="4926" spans="1:3" x14ac:dyDescent="0.25">
      <c r="A4926" s="1"/>
      <c r="B4926" s="1"/>
      <c r="C4926" s="1"/>
    </row>
    <row r="4927" spans="1:3" x14ac:dyDescent="0.25">
      <c r="A4927" s="1"/>
      <c r="B4927" s="1"/>
      <c r="C4927" s="1"/>
    </row>
    <row r="4928" spans="1:3" x14ac:dyDescent="0.25">
      <c r="A4928" s="1"/>
      <c r="B4928" s="1"/>
      <c r="C4928" s="1"/>
    </row>
    <row r="4929" spans="1:3" x14ac:dyDescent="0.25">
      <c r="A4929" s="1"/>
      <c r="B4929" s="1"/>
      <c r="C4929" s="1"/>
    </row>
    <row r="4930" spans="1:3" x14ac:dyDescent="0.25">
      <c r="A4930" s="1"/>
      <c r="B4930" s="1"/>
      <c r="C4930" s="1"/>
    </row>
    <row r="4931" spans="1:3" x14ac:dyDescent="0.25">
      <c r="A4931" s="1"/>
      <c r="B4931" s="1"/>
      <c r="C4931" s="1"/>
    </row>
    <row r="4932" spans="1:3" x14ac:dyDescent="0.25">
      <c r="A4932" s="1"/>
      <c r="B4932" s="1"/>
      <c r="C4932" s="1"/>
    </row>
    <row r="4933" spans="1:3" x14ac:dyDescent="0.25">
      <c r="A4933" s="1"/>
      <c r="B4933" s="1"/>
      <c r="C4933" s="1"/>
    </row>
    <row r="4934" spans="1:3" x14ac:dyDescent="0.25">
      <c r="A4934" s="1"/>
      <c r="B4934" s="1"/>
      <c r="C4934" s="1"/>
    </row>
    <row r="4935" spans="1:3" x14ac:dyDescent="0.25">
      <c r="A4935" s="1"/>
      <c r="B4935" s="1"/>
      <c r="C4935" s="1"/>
    </row>
    <row r="4936" spans="1:3" x14ac:dyDescent="0.25">
      <c r="A4936" s="1"/>
      <c r="B4936" s="1"/>
      <c r="C4936" s="1"/>
    </row>
    <row r="4937" spans="1:3" x14ac:dyDescent="0.25">
      <c r="A4937" s="1"/>
      <c r="B4937" s="1"/>
      <c r="C4937" s="1"/>
    </row>
    <row r="4938" spans="1:3" x14ac:dyDescent="0.25">
      <c r="A4938" s="1"/>
      <c r="B4938" s="1"/>
      <c r="C4938" s="1"/>
    </row>
    <row r="4939" spans="1:3" x14ac:dyDescent="0.25">
      <c r="A4939" s="1"/>
      <c r="B4939" s="1"/>
      <c r="C4939" s="1"/>
    </row>
    <row r="4940" spans="1:3" x14ac:dyDescent="0.25">
      <c r="A4940" s="1"/>
      <c r="B4940" s="1"/>
      <c r="C4940" s="1"/>
    </row>
    <row r="4941" spans="1:3" x14ac:dyDescent="0.25">
      <c r="A4941" s="1"/>
      <c r="B4941" s="1"/>
      <c r="C4941" s="1"/>
    </row>
    <row r="4942" spans="1:3" x14ac:dyDescent="0.25">
      <c r="A4942" s="1"/>
      <c r="B4942" s="1"/>
      <c r="C4942" s="1"/>
    </row>
    <row r="4943" spans="1:3" x14ac:dyDescent="0.25">
      <c r="A4943" s="1"/>
      <c r="B4943" s="1"/>
      <c r="C4943" s="1"/>
    </row>
    <row r="4944" spans="1:3" x14ac:dyDescent="0.25">
      <c r="A4944" s="1"/>
      <c r="B4944" s="1"/>
      <c r="C4944" s="1"/>
    </row>
    <row r="4945" spans="1:3" x14ac:dyDescent="0.25">
      <c r="A4945" s="1"/>
      <c r="B4945" s="1"/>
      <c r="C4945" s="1"/>
    </row>
    <row r="4946" spans="1:3" x14ac:dyDescent="0.25">
      <c r="A4946" s="1"/>
      <c r="B4946" s="1"/>
      <c r="C4946" s="1"/>
    </row>
    <row r="4947" spans="1:3" x14ac:dyDescent="0.25">
      <c r="A4947" s="1"/>
      <c r="B4947" s="1"/>
      <c r="C4947" s="1"/>
    </row>
    <row r="4948" spans="1:3" x14ac:dyDescent="0.25">
      <c r="A4948" s="1"/>
      <c r="B4948" s="1"/>
      <c r="C4948" s="1"/>
    </row>
    <row r="4949" spans="1:3" x14ac:dyDescent="0.25">
      <c r="A4949" s="1"/>
      <c r="B4949" s="1"/>
      <c r="C4949" s="1"/>
    </row>
    <row r="4950" spans="1:3" x14ac:dyDescent="0.25">
      <c r="A4950" s="1"/>
      <c r="B4950" s="1"/>
      <c r="C4950" s="1"/>
    </row>
    <row r="4951" spans="1:3" x14ac:dyDescent="0.25">
      <c r="A4951" s="1"/>
      <c r="B4951" s="1"/>
      <c r="C4951" s="1"/>
    </row>
    <row r="4952" spans="1:3" x14ac:dyDescent="0.25">
      <c r="A4952" s="1"/>
      <c r="B4952" s="1"/>
      <c r="C4952" s="1"/>
    </row>
    <row r="4953" spans="1:3" x14ac:dyDescent="0.25">
      <c r="A4953" s="1"/>
      <c r="B4953" s="1"/>
      <c r="C4953" s="1"/>
    </row>
    <row r="4954" spans="1:3" x14ac:dyDescent="0.25">
      <c r="A4954" s="1"/>
      <c r="B4954" s="1"/>
      <c r="C4954" s="1"/>
    </row>
    <row r="4955" spans="1:3" x14ac:dyDescent="0.25">
      <c r="A4955" s="1"/>
      <c r="B4955" s="1"/>
      <c r="C4955" s="1"/>
    </row>
    <row r="4956" spans="1:3" x14ac:dyDescent="0.25">
      <c r="A4956" s="1"/>
      <c r="B4956" s="1"/>
      <c r="C4956" s="1"/>
    </row>
    <row r="4957" spans="1:3" x14ac:dyDescent="0.25">
      <c r="A4957" s="1"/>
      <c r="B4957" s="1"/>
      <c r="C4957" s="1"/>
    </row>
    <row r="4958" spans="1:3" x14ac:dyDescent="0.25">
      <c r="A4958" s="1"/>
      <c r="B4958" s="1"/>
      <c r="C4958" s="1"/>
    </row>
    <row r="4959" spans="1:3" x14ac:dyDescent="0.25">
      <c r="A4959" s="1"/>
      <c r="B4959" s="1"/>
      <c r="C4959" s="1"/>
    </row>
    <row r="4960" spans="1:3" x14ac:dyDescent="0.25">
      <c r="A4960" s="1"/>
      <c r="B4960" s="1"/>
      <c r="C4960" s="1"/>
    </row>
    <row r="4961" spans="1:3" x14ac:dyDescent="0.25">
      <c r="A4961" s="1"/>
      <c r="B4961" s="1"/>
      <c r="C4961" s="1"/>
    </row>
    <row r="4962" spans="1:3" x14ac:dyDescent="0.25">
      <c r="A4962" s="1"/>
      <c r="B4962" s="1"/>
      <c r="C4962" s="1"/>
    </row>
    <row r="4963" spans="1:3" x14ac:dyDescent="0.25">
      <c r="A4963" s="1"/>
      <c r="B4963" s="1"/>
      <c r="C4963" s="1"/>
    </row>
    <row r="4964" spans="1:3" x14ac:dyDescent="0.25">
      <c r="A4964" s="1"/>
      <c r="B4964" s="1"/>
      <c r="C4964" s="1"/>
    </row>
    <row r="4965" spans="1:3" x14ac:dyDescent="0.25">
      <c r="A4965" s="1"/>
      <c r="B4965" s="1"/>
      <c r="C4965" s="1"/>
    </row>
    <row r="4966" spans="1:3" x14ac:dyDescent="0.25">
      <c r="A4966" s="1"/>
      <c r="B4966" s="1"/>
      <c r="C4966" s="1"/>
    </row>
    <row r="4967" spans="1:3" x14ac:dyDescent="0.25">
      <c r="A4967" s="1"/>
      <c r="B4967" s="1"/>
      <c r="C4967" s="1"/>
    </row>
    <row r="4968" spans="1:3" x14ac:dyDescent="0.25">
      <c r="A4968" s="1"/>
      <c r="B4968" s="1"/>
      <c r="C4968" s="1"/>
    </row>
    <row r="4969" spans="1:3" x14ac:dyDescent="0.25">
      <c r="A4969" s="1"/>
      <c r="B4969" s="1"/>
      <c r="C4969" s="1"/>
    </row>
    <row r="4970" spans="1:3" x14ac:dyDescent="0.25">
      <c r="A4970" s="1"/>
      <c r="B4970" s="1"/>
      <c r="C4970" s="1"/>
    </row>
    <row r="4971" spans="1:3" x14ac:dyDescent="0.25">
      <c r="A4971" s="1"/>
      <c r="B4971" s="1"/>
      <c r="C4971" s="1"/>
    </row>
    <row r="4972" spans="1:3" x14ac:dyDescent="0.25">
      <c r="A4972" s="1"/>
      <c r="B4972" s="1"/>
      <c r="C4972" s="1"/>
    </row>
    <row r="4973" spans="1:3" x14ac:dyDescent="0.25">
      <c r="A4973" s="1"/>
      <c r="B4973" s="1"/>
      <c r="C4973" s="1"/>
    </row>
    <row r="4974" spans="1:3" x14ac:dyDescent="0.25">
      <c r="A4974" s="1"/>
      <c r="B4974" s="1"/>
      <c r="C4974" s="1"/>
    </row>
    <row r="4975" spans="1:3" x14ac:dyDescent="0.25">
      <c r="A4975" s="1"/>
      <c r="B4975" s="1"/>
      <c r="C4975" s="1"/>
    </row>
    <row r="4976" spans="1:3" x14ac:dyDescent="0.25">
      <c r="A4976" s="1"/>
      <c r="B4976" s="1"/>
      <c r="C4976" s="1"/>
    </row>
    <row r="4977" spans="1:3" x14ac:dyDescent="0.25">
      <c r="A4977" s="1"/>
      <c r="B4977" s="1"/>
      <c r="C4977" s="1"/>
    </row>
    <row r="4978" spans="1:3" x14ac:dyDescent="0.25">
      <c r="A4978" s="1"/>
      <c r="B4978" s="1"/>
      <c r="C4978" s="1"/>
    </row>
    <row r="4979" spans="1:3" x14ac:dyDescent="0.25">
      <c r="A4979" s="1"/>
      <c r="B4979" s="1"/>
      <c r="C4979" s="1"/>
    </row>
    <row r="4980" spans="1:3" x14ac:dyDescent="0.25">
      <c r="A4980" s="1"/>
      <c r="B4980" s="1"/>
      <c r="C4980" s="1"/>
    </row>
    <row r="4981" spans="1:3" x14ac:dyDescent="0.25">
      <c r="A4981" s="1"/>
      <c r="B4981" s="1"/>
      <c r="C4981" s="1"/>
    </row>
    <row r="4982" spans="1:3" x14ac:dyDescent="0.25">
      <c r="A4982" s="1"/>
      <c r="B4982" s="1"/>
      <c r="C4982" s="1"/>
    </row>
    <row r="4983" spans="1:3" x14ac:dyDescent="0.25">
      <c r="A4983" s="1"/>
      <c r="B4983" s="1"/>
      <c r="C4983" s="1"/>
    </row>
    <row r="4984" spans="1:3" x14ac:dyDescent="0.25">
      <c r="A4984" s="1"/>
      <c r="B4984" s="1"/>
      <c r="C4984" s="1"/>
    </row>
    <row r="4985" spans="1:3" x14ac:dyDescent="0.25">
      <c r="A4985" s="1"/>
      <c r="B4985" s="1"/>
      <c r="C4985" s="1"/>
    </row>
    <row r="4986" spans="1:3" x14ac:dyDescent="0.25">
      <c r="A4986" s="1"/>
      <c r="B4986" s="1"/>
      <c r="C4986" s="1"/>
    </row>
    <row r="4987" spans="1:3" x14ac:dyDescent="0.25">
      <c r="A4987" s="1"/>
      <c r="B4987" s="1"/>
      <c r="C4987" s="1"/>
    </row>
    <row r="4988" spans="1:3" x14ac:dyDescent="0.25">
      <c r="A4988" s="1"/>
      <c r="B4988" s="1"/>
      <c r="C4988" s="1"/>
    </row>
    <row r="4989" spans="1:3" x14ac:dyDescent="0.25">
      <c r="A4989" s="1"/>
      <c r="B4989" s="1"/>
      <c r="C4989" s="1"/>
    </row>
    <row r="4990" spans="1:3" x14ac:dyDescent="0.25">
      <c r="A4990" s="1"/>
      <c r="B4990" s="1"/>
      <c r="C4990" s="1"/>
    </row>
    <row r="4991" spans="1:3" x14ac:dyDescent="0.25">
      <c r="A4991" s="1"/>
      <c r="B4991" s="1"/>
      <c r="C4991" s="1"/>
    </row>
    <row r="4992" spans="1:3" x14ac:dyDescent="0.25">
      <c r="A4992" s="1"/>
      <c r="B4992" s="1"/>
      <c r="C4992" s="1"/>
    </row>
    <row r="4993" spans="1:3" x14ac:dyDescent="0.25">
      <c r="A4993" s="1"/>
      <c r="B4993" s="1"/>
      <c r="C4993" s="1"/>
    </row>
    <row r="4994" spans="1:3" x14ac:dyDescent="0.25">
      <c r="A4994" s="1"/>
      <c r="B4994" s="1"/>
      <c r="C4994" s="1"/>
    </row>
    <row r="4995" spans="1:3" x14ac:dyDescent="0.25">
      <c r="A4995" s="1"/>
      <c r="B4995" s="1"/>
      <c r="C4995" s="1"/>
    </row>
    <row r="4996" spans="1:3" x14ac:dyDescent="0.25">
      <c r="A4996" s="1"/>
      <c r="B4996" s="1"/>
      <c r="C4996" s="1"/>
    </row>
    <row r="4997" spans="1:3" x14ac:dyDescent="0.25">
      <c r="A4997" s="1"/>
      <c r="B4997" s="1"/>
      <c r="C4997" s="1"/>
    </row>
    <row r="4998" spans="1:3" x14ac:dyDescent="0.25">
      <c r="A4998" s="1"/>
      <c r="B4998" s="1"/>
      <c r="C4998" s="1"/>
    </row>
    <row r="4999" spans="1:3" x14ac:dyDescent="0.25">
      <c r="A4999" s="1"/>
      <c r="B4999" s="1"/>
      <c r="C4999" s="1"/>
    </row>
    <row r="5000" spans="1:3" x14ac:dyDescent="0.25">
      <c r="A5000" s="1"/>
      <c r="B5000" s="1"/>
      <c r="C5000" s="1"/>
    </row>
    <row r="5001" spans="1:3" x14ac:dyDescent="0.25">
      <c r="A5001" s="1"/>
      <c r="B5001" s="1"/>
      <c r="C5001" s="1"/>
    </row>
    <row r="5002" spans="1:3" x14ac:dyDescent="0.25">
      <c r="A5002" s="1"/>
      <c r="B5002" s="1"/>
      <c r="C5002" s="1"/>
    </row>
    <row r="5003" spans="1:3" x14ac:dyDescent="0.25">
      <c r="A5003" s="1"/>
      <c r="B5003" s="1"/>
      <c r="C5003" s="1"/>
    </row>
    <row r="5004" spans="1:3" x14ac:dyDescent="0.25">
      <c r="A5004" s="1"/>
      <c r="B5004" s="1"/>
      <c r="C5004" s="1"/>
    </row>
    <row r="5005" spans="1:3" x14ac:dyDescent="0.25">
      <c r="A5005" s="1"/>
      <c r="B5005" s="1"/>
      <c r="C5005" s="1"/>
    </row>
    <row r="5006" spans="1:3" x14ac:dyDescent="0.25">
      <c r="A5006" s="1"/>
      <c r="B5006" s="1"/>
      <c r="C5006" s="1"/>
    </row>
    <row r="5007" spans="1:3" x14ac:dyDescent="0.25">
      <c r="A5007" s="1"/>
      <c r="B5007" s="1"/>
      <c r="C5007" s="1"/>
    </row>
    <row r="5008" spans="1:3" x14ac:dyDescent="0.25">
      <c r="A5008" s="1"/>
      <c r="B5008" s="1"/>
      <c r="C5008" s="1"/>
    </row>
    <row r="5009" spans="1:3" x14ac:dyDescent="0.25">
      <c r="A5009" s="1"/>
      <c r="B5009" s="1"/>
      <c r="C5009" s="1"/>
    </row>
    <row r="5010" spans="1:3" x14ac:dyDescent="0.25">
      <c r="A5010" s="1"/>
      <c r="B5010" s="1"/>
      <c r="C5010" s="1"/>
    </row>
    <row r="5011" spans="1:3" x14ac:dyDescent="0.25">
      <c r="A5011" s="1"/>
      <c r="B5011" s="1"/>
      <c r="C5011" s="1"/>
    </row>
    <row r="5012" spans="1:3" x14ac:dyDescent="0.25">
      <c r="A5012" s="1"/>
      <c r="B5012" s="1"/>
      <c r="C5012" s="1"/>
    </row>
    <row r="5013" spans="1:3" x14ac:dyDescent="0.25">
      <c r="A5013" s="1"/>
      <c r="B5013" s="1"/>
      <c r="C5013" s="1"/>
    </row>
    <row r="5014" spans="1:3" x14ac:dyDescent="0.25">
      <c r="A5014" s="1"/>
      <c r="B5014" s="1"/>
      <c r="C5014" s="1"/>
    </row>
    <row r="5015" spans="1:3" x14ac:dyDescent="0.25">
      <c r="A5015" s="1"/>
      <c r="B5015" s="1"/>
      <c r="C5015" s="1"/>
    </row>
    <row r="5016" spans="1:3" x14ac:dyDescent="0.25">
      <c r="A5016" s="1"/>
      <c r="B5016" s="1"/>
      <c r="C5016" s="1"/>
    </row>
    <row r="5017" spans="1:3" x14ac:dyDescent="0.25">
      <c r="A5017" s="1"/>
      <c r="B5017" s="1"/>
      <c r="C5017" s="1"/>
    </row>
    <row r="5018" spans="1:3" x14ac:dyDescent="0.25">
      <c r="A5018" s="1"/>
      <c r="B5018" s="1"/>
      <c r="C5018" s="1"/>
    </row>
    <row r="5019" spans="1:3" x14ac:dyDescent="0.25">
      <c r="A5019" s="1"/>
      <c r="B5019" s="1"/>
      <c r="C5019" s="1"/>
    </row>
    <row r="5020" spans="1:3" x14ac:dyDescent="0.25">
      <c r="A5020" s="1"/>
      <c r="B5020" s="1"/>
      <c r="C5020" s="1"/>
    </row>
    <row r="5021" spans="1:3" x14ac:dyDescent="0.25">
      <c r="A5021" s="1"/>
      <c r="B5021" s="1"/>
      <c r="C5021" s="1"/>
    </row>
    <row r="5022" spans="1:3" x14ac:dyDescent="0.25">
      <c r="A5022" s="1"/>
      <c r="B5022" s="1"/>
      <c r="C5022" s="1"/>
    </row>
    <row r="5023" spans="1:3" x14ac:dyDescent="0.25">
      <c r="A5023" s="1"/>
      <c r="B5023" s="1"/>
      <c r="C5023" s="1"/>
    </row>
    <row r="5024" spans="1:3" x14ac:dyDescent="0.25">
      <c r="A5024" s="1"/>
      <c r="B5024" s="1"/>
      <c r="C5024" s="1"/>
    </row>
    <row r="5025" spans="1:3" x14ac:dyDescent="0.25">
      <c r="A5025" s="1"/>
      <c r="B5025" s="1"/>
      <c r="C5025" s="1"/>
    </row>
    <row r="5026" spans="1:3" x14ac:dyDescent="0.25">
      <c r="A5026" s="1"/>
      <c r="B5026" s="1"/>
      <c r="C5026" s="1"/>
    </row>
    <row r="5027" spans="1:3" x14ac:dyDescent="0.25">
      <c r="A5027" s="1"/>
      <c r="B5027" s="1"/>
      <c r="C5027" s="1"/>
    </row>
    <row r="5028" spans="1:3" x14ac:dyDescent="0.25">
      <c r="A5028" s="1"/>
      <c r="B5028" s="1"/>
      <c r="C5028" s="1"/>
    </row>
    <row r="5029" spans="1:3" x14ac:dyDescent="0.25">
      <c r="A5029" s="1"/>
      <c r="B5029" s="1"/>
      <c r="C5029" s="1"/>
    </row>
    <row r="5030" spans="1:3" x14ac:dyDescent="0.25">
      <c r="A5030" s="1"/>
      <c r="B5030" s="1"/>
      <c r="C5030" s="1"/>
    </row>
    <row r="5031" spans="1:3" x14ac:dyDescent="0.25">
      <c r="A5031" s="1"/>
      <c r="B5031" s="1"/>
      <c r="C5031" s="1"/>
    </row>
    <row r="5032" spans="1:3" x14ac:dyDescent="0.25">
      <c r="A5032" s="1"/>
      <c r="B5032" s="1"/>
      <c r="C5032" s="1"/>
    </row>
    <row r="5033" spans="1:3" x14ac:dyDescent="0.25">
      <c r="A5033" s="1"/>
      <c r="B5033" s="1"/>
      <c r="C5033" s="1"/>
    </row>
    <row r="5034" spans="1:3" x14ac:dyDescent="0.25">
      <c r="A5034" s="1"/>
      <c r="B5034" s="1"/>
      <c r="C5034" s="1"/>
    </row>
    <row r="5035" spans="1:3" x14ac:dyDescent="0.25">
      <c r="A5035" s="1"/>
      <c r="B5035" s="1"/>
      <c r="C5035" s="1"/>
    </row>
    <row r="5036" spans="1:3" x14ac:dyDescent="0.25">
      <c r="A5036" s="1"/>
      <c r="B5036" s="1"/>
      <c r="C5036" s="1"/>
    </row>
    <row r="5037" spans="1:3" x14ac:dyDescent="0.25">
      <c r="A5037" s="1"/>
      <c r="B5037" s="1"/>
      <c r="C5037" s="1"/>
    </row>
    <row r="5038" spans="1:3" x14ac:dyDescent="0.25">
      <c r="A5038" s="1"/>
      <c r="B5038" s="1"/>
      <c r="C5038" s="1"/>
    </row>
    <row r="5039" spans="1:3" x14ac:dyDescent="0.25">
      <c r="A5039" s="1"/>
      <c r="B5039" s="1"/>
      <c r="C5039" s="1"/>
    </row>
    <row r="5040" spans="1:3" x14ac:dyDescent="0.25">
      <c r="A5040" s="1"/>
      <c r="B5040" s="1"/>
      <c r="C5040" s="1"/>
    </row>
    <row r="5041" spans="1:3" x14ac:dyDescent="0.25">
      <c r="A5041" s="1"/>
      <c r="B5041" s="1"/>
      <c r="C5041" s="1"/>
    </row>
    <row r="5042" spans="1:3" x14ac:dyDescent="0.25">
      <c r="A5042" s="1"/>
      <c r="B5042" s="1"/>
      <c r="C5042" s="1"/>
    </row>
    <row r="5043" spans="1:3" x14ac:dyDescent="0.25">
      <c r="A5043" s="1"/>
      <c r="B5043" s="1"/>
      <c r="C5043" s="1"/>
    </row>
    <row r="5044" spans="1:3" x14ac:dyDescent="0.25">
      <c r="A5044" s="1"/>
      <c r="B5044" s="1"/>
      <c r="C5044" s="1"/>
    </row>
    <row r="5045" spans="1:3" x14ac:dyDescent="0.25">
      <c r="A5045" s="1"/>
      <c r="B5045" s="1"/>
      <c r="C5045" s="1"/>
    </row>
    <row r="5046" spans="1:3" x14ac:dyDescent="0.25">
      <c r="A5046" s="1"/>
      <c r="B5046" s="1"/>
      <c r="C5046" s="1"/>
    </row>
    <row r="5047" spans="1:3" x14ac:dyDescent="0.25">
      <c r="A5047" s="1"/>
      <c r="B5047" s="1"/>
      <c r="C5047" s="1"/>
    </row>
    <row r="5048" spans="1:3" x14ac:dyDescent="0.25">
      <c r="A5048" s="1"/>
      <c r="B5048" s="1"/>
      <c r="C5048" s="1"/>
    </row>
    <row r="5049" spans="1:3" x14ac:dyDescent="0.25">
      <c r="A5049" s="1"/>
      <c r="B5049" s="1"/>
      <c r="C5049" s="1"/>
    </row>
    <row r="5050" spans="1:3" x14ac:dyDescent="0.25">
      <c r="A5050" s="1"/>
      <c r="B5050" s="1"/>
      <c r="C5050" s="1"/>
    </row>
    <row r="5051" spans="1:3" x14ac:dyDescent="0.25">
      <c r="A5051" s="1"/>
      <c r="B5051" s="1"/>
      <c r="C5051" s="1"/>
    </row>
    <row r="5052" spans="1:3" x14ac:dyDescent="0.25">
      <c r="A5052" s="1"/>
      <c r="B5052" s="1"/>
      <c r="C5052" s="1"/>
    </row>
    <row r="5053" spans="1:3" x14ac:dyDescent="0.25">
      <c r="A5053" s="1"/>
      <c r="B5053" s="1"/>
      <c r="C5053" s="1"/>
    </row>
    <row r="5054" spans="1:3" x14ac:dyDescent="0.25">
      <c r="A5054" s="1"/>
      <c r="B5054" s="1"/>
      <c r="C5054" s="1"/>
    </row>
    <row r="5055" spans="1:3" x14ac:dyDescent="0.25">
      <c r="A5055" s="1"/>
      <c r="B5055" s="1"/>
      <c r="C5055" s="1"/>
    </row>
    <row r="5056" spans="1:3" x14ac:dyDescent="0.25">
      <c r="A5056" s="1"/>
      <c r="B5056" s="1"/>
      <c r="C5056" s="1"/>
    </row>
    <row r="5057" spans="1:3" x14ac:dyDescent="0.25">
      <c r="A5057" s="1"/>
      <c r="B5057" s="1"/>
      <c r="C5057" s="1"/>
    </row>
    <row r="5058" spans="1:3" x14ac:dyDescent="0.25">
      <c r="A5058" s="1"/>
      <c r="B5058" s="1"/>
      <c r="C5058" s="1"/>
    </row>
    <row r="5059" spans="1:3" x14ac:dyDescent="0.25">
      <c r="A5059" s="1"/>
      <c r="B5059" s="1"/>
      <c r="C5059" s="1"/>
    </row>
    <row r="5060" spans="1:3" x14ac:dyDescent="0.25">
      <c r="A5060" s="1"/>
      <c r="B5060" s="1"/>
      <c r="C5060" s="1"/>
    </row>
    <row r="5061" spans="1:3" x14ac:dyDescent="0.25">
      <c r="A5061" s="1"/>
      <c r="B5061" s="1"/>
      <c r="C5061" s="1"/>
    </row>
    <row r="5062" spans="1:3" x14ac:dyDescent="0.25">
      <c r="A5062" s="1"/>
      <c r="B5062" s="1"/>
      <c r="C5062" s="1"/>
    </row>
    <row r="5063" spans="1:3" x14ac:dyDescent="0.25">
      <c r="A5063" s="1"/>
      <c r="B5063" s="1"/>
      <c r="C5063" s="1"/>
    </row>
    <row r="5064" spans="1:3" x14ac:dyDescent="0.25">
      <c r="A5064" s="1"/>
      <c r="B5064" s="1"/>
      <c r="C5064" s="1"/>
    </row>
    <row r="5065" spans="1:3" x14ac:dyDescent="0.25">
      <c r="A5065" s="1"/>
      <c r="B5065" s="1"/>
      <c r="C5065" s="1"/>
    </row>
    <row r="5066" spans="1:3" x14ac:dyDescent="0.25">
      <c r="A5066" s="1"/>
      <c r="B5066" s="1"/>
      <c r="C5066" s="1"/>
    </row>
    <row r="5067" spans="1:3" x14ac:dyDescent="0.25">
      <c r="A5067" s="1"/>
      <c r="B5067" s="1"/>
      <c r="C5067" s="1"/>
    </row>
    <row r="5068" spans="1:3" x14ac:dyDescent="0.25">
      <c r="A5068" s="1"/>
      <c r="B5068" s="1"/>
      <c r="C5068" s="1"/>
    </row>
    <row r="5069" spans="1:3" x14ac:dyDescent="0.25">
      <c r="A5069" s="1"/>
      <c r="B5069" s="1"/>
      <c r="C5069" s="1"/>
    </row>
    <row r="5070" spans="1:3" x14ac:dyDescent="0.25">
      <c r="A5070" s="1"/>
      <c r="B5070" s="1"/>
      <c r="C5070" s="1"/>
    </row>
    <row r="5071" spans="1:3" x14ac:dyDescent="0.25">
      <c r="A5071" s="1"/>
      <c r="B5071" s="1"/>
      <c r="C5071" s="1"/>
    </row>
    <row r="5072" spans="1:3" x14ac:dyDescent="0.25">
      <c r="A5072" s="1"/>
      <c r="B5072" s="1"/>
      <c r="C5072" s="1"/>
    </row>
    <row r="5073" spans="1:3" x14ac:dyDescent="0.25">
      <c r="A5073" s="1"/>
      <c r="B5073" s="1"/>
      <c r="C5073" s="1"/>
    </row>
    <row r="5074" spans="1:3" x14ac:dyDescent="0.25">
      <c r="A5074" s="1"/>
      <c r="B5074" s="1"/>
      <c r="C5074" s="1"/>
    </row>
    <row r="5075" spans="1:3" x14ac:dyDescent="0.25">
      <c r="A5075" s="1"/>
      <c r="B5075" s="1"/>
      <c r="C5075" s="1"/>
    </row>
    <row r="5076" spans="1:3" x14ac:dyDescent="0.25">
      <c r="A5076" s="1"/>
      <c r="B5076" s="1"/>
      <c r="C5076" s="1"/>
    </row>
    <row r="5077" spans="1:3" x14ac:dyDescent="0.25">
      <c r="A5077" s="1"/>
      <c r="B5077" s="1"/>
      <c r="C5077" s="1"/>
    </row>
    <row r="5078" spans="1:3" x14ac:dyDescent="0.25">
      <c r="A5078" s="1"/>
      <c r="B5078" s="1"/>
      <c r="C5078" s="1"/>
    </row>
    <row r="5079" spans="1:3" x14ac:dyDescent="0.25">
      <c r="A5079" s="1"/>
      <c r="B5079" s="1"/>
      <c r="C5079" s="1"/>
    </row>
    <row r="5080" spans="1:3" x14ac:dyDescent="0.25">
      <c r="A5080" s="1"/>
      <c r="B5080" s="1"/>
      <c r="C5080" s="1"/>
    </row>
    <row r="5081" spans="1:3" x14ac:dyDescent="0.25">
      <c r="A5081" s="1"/>
      <c r="B5081" s="1"/>
      <c r="C5081" s="1"/>
    </row>
    <row r="5082" spans="1:3" x14ac:dyDescent="0.25">
      <c r="A5082" s="1"/>
      <c r="B5082" s="1"/>
      <c r="C5082" s="1"/>
    </row>
    <row r="5083" spans="1:3" x14ac:dyDescent="0.25">
      <c r="A5083" s="1"/>
      <c r="B5083" s="1"/>
      <c r="C5083" s="1"/>
    </row>
    <row r="5084" spans="1:3" x14ac:dyDescent="0.25">
      <c r="A5084" s="1"/>
      <c r="B5084" s="1"/>
      <c r="C5084" s="1"/>
    </row>
    <row r="5085" spans="1:3" x14ac:dyDescent="0.25">
      <c r="A5085" s="1"/>
      <c r="B5085" s="1"/>
      <c r="C5085" s="1"/>
    </row>
    <row r="5086" spans="1:3" x14ac:dyDescent="0.25">
      <c r="A5086" s="1"/>
      <c r="B5086" s="1"/>
      <c r="C5086" s="1"/>
    </row>
    <row r="5087" spans="1:3" x14ac:dyDescent="0.25">
      <c r="A5087" s="1"/>
      <c r="B5087" s="1"/>
      <c r="C5087" s="1"/>
    </row>
    <row r="5088" spans="1:3" x14ac:dyDescent="0.25">
      <c r="A5088" s="1"/>
      <c r="B5088" s="1"/>
      <c r="C5088" s="1"/>
    </row>
    <row r="5089" spans="1:3" x14ac:dyDescent="0.25">
      <c r="A5089" s="1"/>
      <c r="B5089" s="1"/>
      <c r="C5089" s="1"/>
    </row>
    <row r="5090" spans="1:3" x14ac:dyDescent="0.25">
      <c r="A5090" s="1"/>
      <c r="B5090" s="1"/>
      <c r="C5090" s="1"/>
    </row>
    <row r="5091" spans="1:3" x14ac:dyDescent="0.25">
      <c r="A5091" s="1"/>
      <c r="B5091" s="1"/>
      <c r="C5091" s="1"/>
    </row>
    <row r="5092" spans="1:3" x14ac:dyDescent="0.25">
      <c r="A5092" s="1"/>
      <c r="B5092" s="1"/>
      <c r="C5092" s="1"/>
    </row>
    <row r="5093" spans="1:3" x14ac:dyDescent="0.25">
      <c r="A5093" s="1"/>
      <c r="B5093" s="1"/>
      <c r="C5093" s="1"/>
    </row>
    <row r="5094" spans="1:3" x14ac:dyDescent="0.25">
      <c r="A5094" s="1"/>
      <c r="B5094" s="1"/>
      <c r="C5094" s="1"/>
    </row>
    <row r="5095" spans="1:3" x14ac:dyDescent="0.25">
      <c r="A5095" s="1"/>
      <c r="B5095" s="1"/>
      <c r="C5095" s="1"/>
    </row>
    <row r="5096" spans="1:3" x14ac:dyDescent="0.25">
      <c r="A5096" s="1"/>
      <c r="B5096" s="1"/>
      <c r="C5096" s="1"/>
    </row>
    <row r="5097" spans="1:3" x14ac:dyDescent="0.25">
      <c r="A5097" s="1"/>
      <c r="B5097" s="1"/>
      <c r="C5097" s="1"/>
    </row>
    <row r="5098" spans="1:3" x14ac:dyDescent="0.25">
      <c r="A5098" s="1"/>
      <c r="B5098" s="1"/>
      <c r="C5098" s="1"/>
    </row>
    <row r="5099" spans="1:3" x14ac:dyDescent="0.25">
      <c r="A5099" s="1"/>
      <c r="B5099" s="1"/>
      <c r="C5099" s="1"/>
    </row>
    <row r="5100" spans="1:3" x14ac:dyDescent="0.25">
      <c r="A5100" s="1"/>
      <c r="B5100" s="1"/>
      <c r="C5100" s="1"/>
    </row>
    <row r="5101" spans="1:3" x14ac:dyDescent="0.25">
      <c r="A5101" s="1"/>
      <c r="B5101" s="1"/>
      <c r="C5101" s="1"/>
    </row>
    <row r="5102" spans="1:3" x14ac:dyDescent="0.25">
      <c r="A5102" s="1"/>
      <c r="B5102" s="1"/>
      <c r="C5102" s="1"/>
    </row>
    <row r="5103" spans="1:3" x14ac:dyDescent="0.25">
      <c r="A5103" s="1"/>
      <c r="B5103" s="1"/>
      <c r="C5103" s="1"/>
    </row>
    <row r="5104" spans="1:3" x14ac:dyDescent="0.25">
      <c r="A5104" s="1"/>
      <c r="B5104" s="1"/>
      <c r="C5104" s="1"/>
    </row>
    <row r="5105" spans="1:3" x14ac:dyDescent="0.25">
      <c r="A5105" s="1"/>
      <c r="B5105" s="1"/>
      <c r="C5105" s="1"/>
    </row>
    <row r="5106" spans="1:3" x14ac:dyDescent="0.25">
      <c r="A5106" s="1"/>
      <c r="B5106" s="1"/>
      <c r="C5106" s="1"/>
    </row>
    <row r="5107" spans="1:3" x14ac:dyDescent="0.25">
      <c r="A5107" s="1"/>
      <c r="B5107" s="1"/>
      <c r="C5107" s="1"/>
    </row>
    <row r="5108" spans="1:3" x14ac:dyDescent="0.25">
      <c r="A5108" s="1"/>
      <c r="B5108" s="1"/>
      <c r="C5108" s="1"/>
    </row>
    <row r="5109" spans="1:3" x14ac:dyDescent="0.25">
      <c r="A5109" s="1"/>
      <c r="B5109" s="1"/>
      <c r="C5109" s="1"/>
    </row>
    <row r="5110" spans="1:3" x14ac:dyDescent="0.25">
      <c r="A5110" s="1"/>
      <c r="B5110" s="1"/>
      <c r="C5110" s="1"/>
    </row>
    <row r="5111" spans="1:3" x14ac:dyDescent="0.25">
      <c r="A5111" s="1"/>
      <c r="B5111" s="1"/>
      <c r="C5111" s="1"/>
    </row>
    <row r="5112" spans="1:3" x14ac:dyDescent="0.25">
      <c r="A5112" s="1"/>
      <c r="B5112" s="1"/>
      <c r="C5112" s="1"/>
    </row>
    <row r="5113" spans="1:3" x14ac:dyDescent="0.25">
      <c r="A5113" s="1"/>
      <c r="B5113" s="1"/>
      <c r="C5113" s="1"/>
    </row>
    <row r="5114" spans="1:3" x14ac:dyDescent="0.25">
      <c r="A5114" s="1"/>
      <c r="B5114" s="1"/>
      <c r="C5114" s="1"/>
    </row>
    <row r="5115" spans="1:3" x14ac:dyDescent="0.25">
      <c r="A5115" s="1"/>
      <c r="B5115" s="1"/>
      <c r="C5115" s="1"/>
    </row>
    <row r="5116" spans="1:3" x14ac:dyDescent="0.25">
      <c r="A5116" s="1"/>
      <c r="B5116" s="1"/>
      <c r="C5116" s="1"/>
    </row>
    <row r="5117" spans="1:3" x14ac:dyDescent="0.25">
      <c r="A5117" s="1"/>
      <c r="B5117" s="1"/>
      <c r="C5117" s="1"/>
    </row>
    <row r="5118" spans="1:3" x14ac:dyDescent="0.25">
      <c r="A5118" s="1"/>
      <c r="B5118" s="1"/>
      <c r="C5118" s="1"/>
    </row>
    <row r="5119" spans="1:3" x14ac:dyDescent="0.25">
      <c r="A5119" s="1"/>
      <c r="B5119" s="1"/>
      <c r="C5119" s="1"/>
    </row>
    <row r="5120" spans="1:3" x14ac:dyDescent="0.25">
      <c r="A5120" s="1"/>
      <c r="B5120" s="1"/>
      <c r="C5120" s="1"/>
    </row>
    <row r="5121" spans="1:3" x14ac:dyDescent="0.25">
      <c r="A5121" s="1"/>
      <c r="B5121" s="1"/>
      <c r="C5121" s="1"/>
    </row>
    <row r="5122" spans="1:3" x14ac:dyDescent="0.25">
      <c r="A5122" s="1"/>
      <c r="B5122" s="1"/>
      <c r="C5122" s="1"/>
    </row>
    <row r="5123" spans="1:3" x14ac:dyDescent="0.25">
      <c r="A5123" s="1"/>
      <c r="B5123" s="1"/>
      <c r="C5123" s="1"/>
    </row>
    <row r="5124" spans="1:3" x14ac:dyDescent="0.25">
      <c r="A5124" s="1"/>
      <c r="B5124" s="1"/>
      <c r="C5124" s="1"/>
    </row>
    <row r="5125" spans="1:3" x14ac:dyDescent="0.25">
      <c r="A5125" s="1"/>
      <c r="B5125" s="1"/>
      <c r="C5125" s="1"/>
    </row>
    <row r="5126" spans="1:3" x14ac:dyDescent="0.25">
      <c r="A5126" s="1"/>
      <c r="B5126" s="1"/>
      <c r="C5126" s="1"/>
    </row>
    <row r="5127" spans="1:3" x14ac:dyDescent="0.25">
      <c r="A5127" s="1"/>
      <c r="B5127" s="1"/>
      <c r="C5127" s="1"/>
    </row>
    <row r="5128" spans="1:3" x14ac:dyDescent="0.25">
      <c r="A5128" s="1"/>
      <c r="B5128" s="1"/>
      <c r="C5128" s="1"/>
    </row>
    <row r="5129" spans="1:3" x14ac:dyDescent="0.25">
      <c r="A5129" s="1"/>
      <c r="B5129" s="1"/>
      <c r="C5129" s="1"/>
    </row>
    <row r="5130" spans="1:3" x14ac:dyDescent="0.25">
      <c r="A5130" s="1"/>
      <c r="B5130" s="1"/>
      <c r="C5130" s="1"/>
    </row>
    <row r="5131" spans="1:3" x14ac:dyDescent="0.25">
      <c r="A5131" s="1"/>
      <c r="B5131" s="1"/>
      <c r="C5131" s="1"/>
    </row>
    <row r="5132" spans="1:3" x14ac:dyDescent="0.25">
      <c r="A5132" s="1"/>
      <c r="B5132" s="1"/>
      <c r="C5132" s="1"/>
    </row>
    <row r="5133" spans="1:3" x14ac:dyDescent="0.25">
      <c r="A5133" s="1"/>
      <c r="B5133" s="1"/>
      <c r="C5133" s="1"/>
    </row>
    <row r="5134" spans="1:3" x14ac:dyDescent="0.25">
      <c r="A5134" s="1"/>
      <c r="B5134" s="1"/>
      <c r="C5134" s="1"/>
    </row>
    <row r="5135" spans="1:3" x14ac:dyDescent="0.25">
      <c r="A5135" s="1"/>
      <c r="B5135" s="1"/>
      <c r="C5135" s="1"/>
    </row>
    <row r="5136" spans="1:3" x14ac:dyDescent="0.25">
      <c r="A5136" s="1"/>
      <c r="B5136" s="1"/>
      <c r="C5136" s="1"/>
    </row>
    <row r="5137" spans="1:3" x14ac:dyDescent="0.25">
      <c r="A5137" s="1"/>
      <c r="B5137" s="1"/>
      <c r="C5137" s="1"/>
    </row>
    <row r="5138" spans="1:3" x14ac:dyDescent="0.25">
      <c r="A5138" s="1"/>
      <c r="B5138" s="1"/>
      <c r="C5138" s="1"/>
    </row>
    <row r="5139" spans="1:3" x14ac:dyDescent="0.25">
      <c r="A5139" s="1"/>
      <c r="B5139" s="1"/>
      <c r="C5139" s="1"/>
    </row>
    <row r="5140" spans="1:3" x14ac:dyDescent="0.25">
      <c r="A5140" s="1"/>
      <c r="B5140" s="1"/>
      <c r="C5140" s="1"/>
    </row>
    <row r="5141" spans="1:3" x14ac:dyDescent="0.25">
      <c r="A5141" s="1"/>
      <c r="B5141" s="1"/>
      <c r="C5141" s="1"/>
    </row>
    <row r="5142" spans="1:3" x14ac:dyDescent="0.25">
      <c r="A5142" s="1"/>
      <c r="B5142" s="1"/>
      <c r="C5142" s="1"/>
    </row>
    <row r="5143" spans="1:3" x14ac:dyDescent="0.25">
      <c r="A5143" s="1"/>
      <c r="B5143" s="1"/>
      <c r="C5143" s="1"/>
    </row>
    <row r="5144" spans="1:3" x14ac:dyDescent="0.25">
      <c r="A5144" s="1"/>
      <c r="B5144" s="1"/>
      <c r="C5144" s="1"/>
    </row>
    <row r="5145" spans="1:3" x14ac:dyDescent="0.25">
      <c r="A5145" s="1"/>
      <c r="B5145" s="1"/>
      <c r="C5145" s="1"/>
    </row>
    <row r="5146" spans="1:3" x14ac:dyDescent="0.25">
      <c r="A5146" s="1"/>
      <c r="B5146" s="1"/>
      <c r="C5146" s="1"/>
    </row>
    <row r="5147" spans="1:3" x14ac:dyDescent="0.25">
      <c r="A5147" s="1"/>
      <c r="B5147" s="1"/>
      <c r="C5147" s="1"/>
    </row>
    <row r="5148" spans="1:3" x14ac:dyDescent="0.25">
      <c r="A5148" s="1"/>
      <c r="B5148" s="1"/>
      <c r="C5148" s="1"/>
    </row>
    <row r="5149" spans="1:3" x14ac:dyDescent="0.25">
      <c r="A5149" s="1"/>
      <c r="B5149" s="1"/>
      <c r="C5149" s="1"/>
    </row>
    <row r="5150" spans="1:3" x14ac:dyDescent="0.25">
      <c r="A5150" s="1"/>
      <c r="B5150" s="1"/>
      <c r="C5150" s="1"/>
    </row>
    <row r="5151" spans="1:3" x14ac:dyDescent="0.25">
      <c r="A5151" s="1"/>
      <c r="B5151" s="1"/>
      <c r="C5151" s="1"/>
    </row>
    <row r="5152" spans="1:3" x14ac:dyDescent="0.25">
      <c r="A5152" s="1"/>
      <c r="B5152" s="1"/>
      <c r="C5152" s="1"/>
    </row>
    <row r="5153" spans="1:3" x14ac:dyDescent="0.25">
      <c r="A5153" s="1"/>
      <c r="B5153" s="1"/>
      <c r="C5153" s="1"/>
    </row>
    <row r="5154" spans="1:3" x14ac:dyDescent="0.25">
      <c r="A5154" s="1"/>
      <c r="B5154" s="1"/>
      <c r="C5154" s="1"/>
    </row>
    <row r="5155" spans="1:3" x14ac:dyDescent="0.25">
      <c r="A5155" s="1"/>
      <c r="B5155" s="1"/>
      <c r="C5155" s="1"/>
    </row>
    <row r="5156" spans="1:3" x14ac:dyDescent="0.25">
      <c r="A5156" s="1"/>
      <c r="B5156" s="1"/>
      <c r="C5156" s="1"/>
    </row>
    <row r="5157" spans="1:3" x14ac:dyDescent="0.25">
      <c r="A5157" s="1"/>
      <c r="B5157" s="1"/>
      <c r="C5157" s="1"/>
    </row>
    <row r="5158" spans="1:3" x14ac:dyDescent="0.25">
      <c r="A5158" s="1"/>
      <c r="B5158" s="1"/>
      <c r="C5158" s="1"/>
    </row>
    <row r="5159" spans="1:3" x14ac:dyDescent="0.25">
      <c r="A5159" s="1"/>
      <c r="B5159" s="1"/>
      <c r="C5159" s="1"/>
    </row>
    <row r="5160" spans="1:3" x14ac:dyDescent="0.25">
      <c r="A5160" s="1"/>
      <c r="B5160" s="1"/>
      <c r="C5160" s="1"/>
    </row>
    <row r="5161" spans="1:3" x14ac:dyDescent="0.25">
      <c r="A5161" s="1"/>
      <c r="B5161" s="1"/>
      <c r="C5161" s="1"/>
    </row>
    <row r="5162" spans="1:3" x14ac:dyDescent="0.25">
      <c r="A5162" s="1"/>
      <c r="B5162" s="1"/>
      <c r="C5162" s="1"/>
    </row>
    <row r="5163" spans="1:3" x14ac:dyDescent="0.25">
      <c r="A5163" s="1"/>
      <c r="B5163" s="1"/>
      <c r="C5163" s="1"/>
    </row>
    <row r="5164" spans="1:3" x14ac:dyDescent="0.25">
      <c r="A5164" s="1"/>
      <c r="B5164" s="1"/>
      <c r="C5164" s="1"/>
    </row>
    <row r="5165" spans="1:3" x14ac:dyDescent="0.25">
      <c r="A5165" s="1"/>
      <c r="B5165" s="1"/>
      <c r="C5165" s="1"/>
    </row>
    <row r="5166" spans="1:3" x14ac:dyDescent="0.25">
      <c r="A5166" s="1"/>
      <c r="B5166" s="1"/>
      <c r="C5166" s="1"/>
    </row>
    <row r="5167" spans="1:3" x14ac:dyDescent="0.25">
      <c r="A5167" s="1"/>
      <c r="B5167" s="1"/>
      <c r="C5167" s="1"/>
    </row>
    <row r="5168" spans="1:3" x14ac:dyDescent="0.25">
      <c r="A5168" s="1"/>
      <c r="B5168" s="1"/>
      <c r="C5168" s="1"/>
    </row>
    <row r="5169" spans="1:3" x14ac:dyDescent="0.25">
      <c r="A5169" s="1"/>
      <c r="B5169" s="1"/>
      <c r="C516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0295-62DC-426B-9782-317843B21B65}">
  <dimension ref="A1:D5169"/>
  <sheetViews>
    <sheetView zoomScale="115" zoomScaleNormal="115" workbookViewId="0">
      <selection sqref="A1:D1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2.57031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s="1" t="s">
        <v>102</v>
      </c>
      <c r="B2" s="1" t="s">
        <v>104</v>
      </c>
      <c r="C2" s="1" t="s">
        <v>109</v>
      </c>
      <c r="D2" s="1" t="s">
        <v>121</v>
      </c>
    </row>
    <row r="3" spans="1:4" x14ac:dyDescent="0.25">
      <c r="A3" s="1" t="s">
        <v>102</v>
      </c>
      <c r="B3" s="1" t="s">
        <v>105</v>
      </c>
      <c r="C3" s="1" t="s">
        <v>110</v>
      </c>
      <c r="D3" s="1" t="s">
        <v>95</v>
      </c>
    </row>
    <row r="4" spans="1:4" x14ac:dyDescent="0.25">
      <c r="A4" s="1" t="s">
        <v>102</v>
      </c>
      <c r="B4" s="1" t="s">
        <v>106</v>
      </c>
      <c r="C4" s="1" t="s">
        <v>111</v>
      </c>
      <c r="D4" s="1" t="s">
        <v>122</v>
      </c>
    </row>
    <row r="5" spans="1:4" x14ac:dyDescent="0.25">
      <c r="A5" s="1" t="s">
        <v>102</v>
      </c>
      <c r="B5" s="1" t="s">
        <v>33</v>
      </c>
      <c r="C5" s="1" t="s">
        <v>112</v>
      </c>
      <c r="D5" s="1" t="s">
        <v>123</v>
      </c>
    </row>
    <row r="6" spans="1:4" x14ac:dyDescent="0.25">
      <c r="A6" s="1" t="s">
        <v>102</v>
      </c>
      <c r="B6" s="1" t="s">
        <v>34</v>
      </c>
      <c r="C6" s="1" t="s">
        <v>113</v>
      </c>
      <c r="D6" s="1" t="s">
        <v>124</v>
      </c>
    </row>
    <row r="7" spans="1:4" x14ac:dyDescent="0.25">
      <c r="A7" s="1" t="s">
        <v>102</v>
      </c>
      <c r="B7" s="1" t="s">
        <v>35</v>
      </c>
      <c r="C7" s="1" t="s">
        <v>114</v>
      </c>
      <c r="D7" s="1" t="s">
        <v>125</v>
      </c>
    </row>
    <row r="8" spans="1:4" x14ac:dyDescent="0.25">
      <c r="A8" s="1" t="s">
        <v>102</v>
      </c>
      <c r="B8" s="1" t="s">
        <v>36</v>
      </c>
      <c r="C8" s="1" t="s">
        <v>115</v>
      </c>
      <c r="D8" s="1" t="s">
        <v>126</v>
      </c>
    </row>
    <row r="9" spans="1:4" x14ac:dyDescent="0.25">
      <c r="A9" s="1" t="s">
        <v>102</v>
      </c>
      <c r="B9" s="1" t="s">
        <v>37</v>
      </c>
      <c r="C9" s="1" t="s">
        <v>116</v>
      </c>
      <c r="D9" s="1" t="s">
        <v>127</v>
      </c>
    </row>
    <row r="10" spans="1:4" x14ac:dyDescent="0.25">
      <c r="A10" s="1" t="s">
        <v>102</v>
      </c>
      <c r="B10" s="1" t="s">
        <v>38</v>
      </c>
      <c r="C10" s="1" t="s">
        <v>117</v>
      </c>
      <c r="D10" s="1" t="s">
        <v>128</v>
      </c>
    </row>
    <row r="11" spans="1:4" x14ac:dyDescent="0.25">
      <c r="A11" s="1" t="s">
        <v>102</v>
      </c>
      <c r="B11" s="1" t="s">
        <v>107</v>
      </c>
      <c r="C11" s="1" t="s">
        <v>118</v>
      </c>
      <c r="D11" s="1" t="s">
        <v>129</v>
      </c>
    </row>
    <row r="12" spans="1:4" x14ac:dyDescent="0.25">
      <c r="A12" s="1" t="s">
        <v>102</v>
      </c>
      <c r="B12" s="1" t="s">
        <v>39</v>
      </c>
      <c r="C12" s="1" t="s">
        <v>64</v>
      </c>
      <c r="D12" s="1" t="s">
        <v>130</v>
      </c>
    </row>
    <row r="13" spans="1:4" x14ac:dyDescent="0.25">
      <c r="A13" s="1" t="s">
        <v>102</v>
      </c>
      <c r="B13" s="1" t="s">
        <v>40</v>
      </c>
      <c r="C13" s="1" t="s">
        <v>119</v>
      </c>
      <c r="D13" s="1" t="s">
        <v>92</v>
      </c>
    </row>
    <row r="14" spans="1:4" x14ac:dyDescent="0.25">
      <c r="A14" s="1" t="s">
        <v>102</v>
      </c>
      <c r="B14" s="1" t="s">
        <v>43</v>
      </c>
      <c r="C14" s="1" t="s">
        <v>68</v>
      </c>
      <c r="D14" s="1" t="s">
        <v>131</v>
      </c>
    </row>
    <row r="15" spans="1:4" x14ac:dyDescent="0.25">
      <c r="A15" s="1" t="s">
        <v>102</v>
      </c>
      <c r="B15" s="1" t="s">
        <v>108</v>
      </c>
      <c r="C15" s="1" t="s">
        <v>120</v>
      </c>
      <c r="D15" s="1" t="s">
        <v>132</v>
      </c>
    </row>
    <row r="16" spans="1:4" x14ac:dyDescent="0.25">
      <c r="A16" s="1" t="s">
        <v>102</v>
      </c>
      <c r="B16" s="1" t="s">
        <v>44</v>
      </c>
      <c r="C16" s="1" t="s">
        <v>69</v>
      </c>
      <c r="D16" s="1" t="s">
        <v>95</v>
      </c>
    </row>
    <row r="17" spans="1:4" x14ac:dyDescent="0.25">
      <c r="A17" s="1" t="s">
        <v>102</v>
      </c>
      <c r="B17" s="1" t="s">
        <v>45</v>
      </c>
      <c r="C17" s="1" t="s">
        <v>70</v>
      </c>
      <c r="D17" s="1" t="s">
        <v>133</v>
      </c>
    </row>
    <row r="18" spans="1:4" x14ac:dyDescent="0.25">
      <c r="A18" s="1" t="s">
        <v>102</v>
      </c>
      <c r="B18" s="1" t="s">
        <v>46</v>
      </c>
      <c r="C18" s="1" t="s">
        <v>71</v>
      </c>
      <c r="D18" s="1" t="s">
        <v>97</v>
      </c>
    </row>
    <row r="19" spans="1:4" x14ac:dyDescent="0.25">
      <c r="A19" s="1" t="s">
        <v>102</v>
      </c>
      <c r="B19" s="1" t="s">
        <v>47</v>
      </c>
      <c r="C19" s="1" t="s">
        <v>72</v>
      </c>
      <c r="D19" s="1" t="s">
        <v>78</v>
      </c>
    </row>
    <row r="20" spans="1:4" x14ac:dyDescent="0.25">
      <c r="A20" s="1" t="s">
        <v>102</v>
      </c>
      <c r="B20" s="1" t="s">
        <v>48</v>
      </c>
      <c r="C20" s="1" t="s">
        <v>73</v>
      </c>
      <c r="D20" s="1" t="s">
        <v>78</v>
      </c>
    </row>
    <row r="21" spans="1:4" x14ac:dyDescent="0.25">
      <c r="A21" s="1" t="s">
        <v>102</v>
      </c>
      <c r="B21" s="1" t="s">
        <v>49</v>
      </c>
      <c r="C21" s="1" t="s">
        <v>74</v>
      </c>
      <c r="D21" s="1" t="s">
        <v>78</v>
      </c>
    </row>
    <row r="22" spans="1:4" x14ac:dyDescent="0.25">
      <c r="A22" s="1" t="s">
        <v>102</v>
      </c>
      <c r="B22" s="1" t="s">
        <v>50</v>
      </c>
      <c r="C22" s="1" t="s">
        <v>75</v>
      </c>
      <c r="D22" s="1" t="s">
        <v>78</v>
      </c>
    </row>
    <row r="23" spans="1:4" x14ac:dyDescent="0.25">
      <c r="A23" s="1" t="s">
        <v>102</v>
      </c>
      <c r="B23" s="1" t="s">
        <v>51</v>
      </c>
      <c r="C23" s="1" t="s">
        <v>76</v>
      </c>
      <c r="D23" s="1" t="s">
        <v>78</v>
      </c>
    </row>
    <row r="24" spans="1:4" x14ac:dyDescent="0.25">
      <c r="A24" s="1" t="s">
        <v>103</v>
      </c>
      <c r="B24" s="1" t="s">
        <v>104</v>
      </c>
      <c r="C24" s="1" t="s">
        <v>109</v>
      </c>
      <c r="D24" s="1" t="s">
        <v>92</v>
      </c>
    </row>
    <row r="25" spans="1:4" x14ac:dyDescent="0.25">
      <c r="A25" s="1" t="s">
        <v>103</v>
      </c>
      <c r="B25" s="1" t="s">
        <v>105</v>
      </c>
      <c r="C25" s="1" t="s">
        <v>110</v>
      </c>
      <c r="D25" s="1" t="s">
        <v>78</v>
      </c>
    </row>
    <row r="26" spans="1:4" x14ac:dyDescent="0.25">
      <c r="A26" s="1" t="s">
        <v>103</v>
      </c>
      <c r="B26" s="1" t="s">
        <v>106</v>
      </c>
      <c r="C26" s="1" t="s">
        <v>111</v>
      </c>
      <c r="D26" s="1" t="s">
        <v>134</v>
      </c>
    </row>
    <row r="27" spans="1:4" x14ac:dyDescent="0.25">
      <c r="A27" s="1" t="s">
        <v>103</v>
      </c>
      <c r="B27" s="1" t="s">
        <v>33</v>
      </c>
      <c r="C27" s="1" t="s">
        <v>112</v>
      </c>
      <c r="D27" s="1" t="s">
        <v>135</v>
      </c>
    </row>
    <row r="28" spans="1:4" x14ac:dyDescent="0.25">
      <c r="A28" s="1" t="s">
        <v>103</v>
      </c>
      <c r="B28" s="1" t="s">
        <v>34</v>
      </c>
      <c r="C28" s="1" t="s">
        <v>113</v>
      </c>
      <c r="D28" s="1" t="s">
        <v>136</v>
      </c>
    </row>
    <row r="29" spans="1:4" x14ac:dyDescent="0.25">
      <c r="A29" s="1" t="s">
        <v>103</v>
      </c>
      <c r="B29" s="1" t="s">
        <v>35</v>
      </c>
      <c r="C29" s="1" t="s">
        <v>114</v>
      </c>
      <c r="D29" s="1" t="s">
        <v>137</v>
      </c>
    </row>
    <row r="30" spans="1:4" x14ac:dyDescent="0.25">
      <c r="A30" s="1" t="s">
        <v>103</v>
      </c>
      <c r="B30" s="1" t="s">
        <v>36</v>
      </c>
      <c r="C30" s="1" t="s">
        <v>115</v>
      </c>
      <c r="D30" s="1" t="s">
        <v>138</v>
      </c>
    </row>
    <row r="31" spans="1:4" x14ac:dyDescent="0.25">
      <c r="A31" s="1" t="s">
        <v>103</v>
      </c>
      <c r="B31" s="1" t="s">
        <v>37</v>
      </c>
      <c r="C31" s="1" t="s">
        <v>116</v>
      </c>
      <c r="D31" s="1" t="s">
        <v>139</v>
      </c>
    </row>
    <row r="32" spans="1:4" x14ac:dyDescent="0.25">
      <c r="A32" s="1" t="s">
        <v>103</v>
      </c>
      <c r="B32" s="1" t="s">
        <v>38</v>
      </c>
      <c r="C32" s="1" t="s">
        <v>117</v>
      </c>
      <c r="D32" s="1" t="s">
        <v>140</v>
      </c>
    </row>
    <row r="33" spans="1:4" x14ac:dyDescent="0.25">
      <c r="A33" s="1" t="s">
        <v>103</v>
      </c>
      <c r="B33" s="1" t="s">
        <v>107</v>
      </c>
      <c r="C33" s="1" t="s">
        <v>118</v>
      </c>
      <c r="D33" s="1" t="s">
        <v>141</v>
      </c>
    </row>
    <row r="34" spans="1:4" x14ac:dyDescent="0.25">
      <c r="A34" s="1" t="s">
        <v>103</v>
      </c>
      <c r="B34" s="1" t="s">
        <v>39</v>
      </c>
      <c r="C34" s="1" t="s">
        <v>64</v>
      </c>
      <c r="D34" s="1" t="s">
        <v>142</v>
      </c>
    </row>
    <row r="35" spans="1:4" x14ac:dyDescent="0.25">
      <c r="A35" s="1" t="s">
        <v>103</v>
      </c>
      <c r="B35" s="1" t="s">
        <v>40</v>
      </c>
      <c r="C35" s="1" t="s">
        <v>119</v>
      </c>
      <c r="D35" s="1" t="s">
        <v>143</v>
      </c>
    </row>
    <row r="36" spans="1:4" x14ac:dyDescent="0.25">
      <c r="A36" s="1" t="s">
        <v>103</v>
      </c>
      <c r="B36" s="1" t="s">
        <v>43</v>
      </c>
      <c r="C36" s="1" t="s">
        <v>68</v>
      </c>
      <c r="D36" s="1" t="s">
        <v>144</v>
      </c>
    </row>
    <row r="37" spans="1:4" x14ac:dyDescent="0.25">
      <c r="A37" s="1" t="s">
        <v>103</v>
      </c>
      <c r="B37" s="1" t="s">
        <v>108</v>
      </c>
      <c r="C37" s="1" t="s">
        <v>120</v>
      </c>
      <c r="D37" s="1" t="s">
        <v>92</v>
      </c>
    </row>
    <row r="38" spans="1:4" x14ac:dyDescent="0.25">
      <c r="A38" s="1" t="s">
        <v>103</v>
      </c>
      <c r="B38" s="1" t="s">
        <v>44</v>
      </c>
      <c r="C38" s="1" t="s">
        <v>69</v>
      </c>
      <c r="D38" s="1" t="s">
        <v>78</v>
      </c>
    </row>
    <row r="39" spans="1:4" x14ac:dyDescent="0.25">
      <c r="A39" s="1" t="s">
        <v>103</v>
      </c>
      <c r="B39" s="1" t="s">
        <v>45</v>
      </c>
      <c r="C39" s="1" t="s">
        <v>70</v>
      </c>
      <c r="D39" s="1" t="s">
        <v>145</v>
      </c>
    </row>
    <row r="40" spans="1:4" x14ac:dyDescent="0.25">
      <c r="A40" s="1" t="s">
        <v>103</v>
      </c>
      <c r="B40" s="1" t="s">
        <v>46</v>
      </c>
      <c r="C40" s="1" t="s">
        <v>71</v>
      </c>
      <c r="D40" s="1" t="s">
        <v>78</v>
      </c>
    </row>
    <row r="41" spans="1:4" x14ac:dyDescent="0.25">
      <c r="A41" s="1" t="s">
        <v>103</v>
      </c>
      <c r="B41" s="1" t="s">
        <v>47</v>
      </c>
      <c r="C41" s="1" t="s">
        <v>72</v>
      </c>
      <c r="D41" s="1" t="s">
        <v>78</v>
      </c>
    </row>
    <row r="42" spans="1:4" x14ac:dyDescent="0.25">
      <c r="A42" s="1" t="s">
        <v>103</v>
      </c>
      <c r="B42" s="1" t="s">
        <v>48</v>
      </c>
      <c r="C42" s="1" t="s">
        <v>73</v>
      </c>
      <c r="D42" s="1" t="s">
        <v>78</v>
      </c>
    </row>
    <row r="43" spans="1:4" x14ac:dyDescent="0.25">
      <c r="A43" s="1" t="s">
        <v>103</v>
      </c>
      <c r="B43" s="1" t="s">
        <v>49</v>
      </c>
      <c r="C43" s="1" t="s">
        <v>74</v>
      </c>
      <c r="D43" s="1" t="s">
        <v>78</v>
      </c>
    </row>
    <row r="44" spans="1:4" x14ac:dyDescent="0.25">
      <c r="A44" s="1" t="s">
        <v>103</v>
      </c>
      <c r="B44" s="1" t="s">
        <v>50</v>
      </c>
      <c r="C44" s="1" t="s">
        <v>75</v>
      </c>
      <c r="D44" s="1" t="s">
        <v>78</v>
      </c>
    </row>
    <row r="45" spans="1:4" x14ac:dyDescent="0.25">
      <c r="A45" s="1" t="s">
        <v>103</v>
      </c>
      <c r="B45" s="1" t="s">
        <v>51</v>
      </c>
      <c r="C45" s="1" t="s">
        <v>76</v>
      </c>
      <c r="D45" s="1" t="s">
        <v>78</v>
      </c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  <row r="1001" spans="1:4" x14ac:dyDescent="0.25">
      <c r="A1001" s="1"/>
      <c r="B1001" s="1"/>
      <c r="C1001" s="1"/>
      <c r="D1001" s="1"/>
    </row>
    <row r="1002" spans="1:4" x14ac:dyDescent="0.25">
      <c r="A1002" s="1"/>
      <c r="B1002" s="1"/>
      <c r="C1002" s="1"/>
      <c r="D1002" s="1"/>
    </row>
    <row r="1003" spans="1:4" x14ac:dyDescent="0.25">
      <c r="A1003" s="1"/>
      <c r="B1003" s="1"/>
      <c r="C1003" s="1"/>
      <c r="D1003" s="1"/>
    </row>
    <row r="1004" spans="1:4" x14ac:dyDescent="0.25">
      <c r="A1004" s="1"/>
      <c r="B1004" s="1"/>
      <c r="C1004" s="1"/>
      <c r="D1004" s="1"/>
    </row>
    <row r="1005" spans="1:4" x14ac:dyDescent="0.25">
      <c r="A1005" s="1"/>
      <c r="B1005" s="1"/>
      <c r="C1005" s="1"/>
      <c r="D1005" s="1"/>
    </row>
    <row r="1006" spans="1:4" x14ac:dyDescent="0.25">
      <c r="A1006" s="1"/>
      <c r="B1006" s="1"/>
      <c r="C1006" s="1"/>
      <c r="D1006" s="1"/>
    </row>
    <row r="1007" spans="1:4" x14ac:dyDescent="0.25">
      <c r="A1007" s="1"/>
      <c r="B1007" s="1"/>
      <c r="C1007" s="1"/>
      <c r="D1007" s="1"/>
    </row>
    <row r="1008" spans="1:4" x14ac:dyDescent="0.25">
      <c r="A1008" s="1"/>
      <c r="B1008" s="1"/>
      <c r="C1008" s="1"/>
      <c r="D1008" s="1"/>
    </row>
    <row r="1009" spans="1:4" x14ac:dyDescent="0.25">
      <c r="A1009" s="1"/>
      <c r="B1009" s="1"/>
      <c r="C1009" s="1"/>
      <c r="D1009" s="1"/>
    </row>
    <row r="1010" spans="1:4" x14ac:dyDescent="0.25">
      <c r="A1010" s="1"/>
      <c r="B1010" s="1"/>
      <c r="C1010" s="1"/>
      <c r="D1010" s="1"/>
    </row>
    <row r="1011" spans="1:4" x14ac:dyDescent="0.25">
      <c r="A1011" s="1"/>
      <c r="B1011" s="1"/>
      <c r="C1011" s="1"/>
      <c r="D1011" s="1"/>
    </row>
    <row r="1012" spans="1:4" x14ac:dyDescent="0.25">
      <c r="A1012" s="1"/>
      <c r="B1012" s="1"/>
      <c r="C1012" s="1"/>
      <c r="D1012" s="1"/>
    </row>
    <row r="1013" spans="1:4" x14ac:dyDescent="0.25">
      <c r="A1013" s="1"/>
      <c r="B1013" s="1"/>
      <c r="C1013" s="1"/>
      <c r="D1013" s="1"/>
    </row>
    <row r="1014" spans="1:4" x14ac:dyDescent="0.25">
      <c r="A1014" s="1"/>
      <c r="B1014" s="1"/>
      <c r="C1014" s="1"/>
      <c r="D1014" s="1"/>
    </row>
    <row r="1015" spans="1:4" x14ac:dyDescent="0.25">
      <c r="A1015" s="1"/>
      <c r="B1015" s="1"/>
      <c r="C1015" s="1"/>
      <c r="D1015" s="1"/>
    </row>
    <row r="1016" spans="1:4" x14ac:dyDescent="0.25">
      <c r="A1016" s="1"/>
      <c r="B1016" s="1"/>
      <c r="C1016" s="1"/>
      <c r="D1016" s="1"/>
    </row>
    <row r="1017" spans="1:4" x14ac:dyDescent="0.25">
      <c r="A1017" s="1"/>
      <c r="B1017" s="1"/>
      <c r="C1017" s="1"/>
      <c r="D1017" s="1"/>
    </row>
    <row r="1018" spans="1:4" x14ac:dyDescent="0.25">
      <c r="A1018" s="1"/>
      <c r="B1018" s="1"/>
      <c r="C1018" s="1"/>
      <c r="D1018" s="1"/>
    </row>
    <row r="1019" spans="1:4" x14ac:dyDescent="0.25">
      <c r="A1019" s="1"/>
      <c r="B1019" s="1"/>
      <c r="C1019" s="1"/>
      <c r="D1019" s="1"/>
    </row>
    <row r="1020" spans="1:4" x14ac:dyDescent="0.25">
      <c r="A1020" s="1"/>
      <c r="B1020" s="1"/>
      <c r="C1020" s="1"/>
      <c r="D1020" s="1"/>
    </row>
    <row r="1021" spans="1:4" x14ac:dyDescent="0.25">
      <c r="A1021" s="1"/>
      <c r="B1021" s="1"/>
      <c r="C1021" s="1"/>
      <c r="D1021" s="1"/>
    </row>
    <row r="1022" spans="1:4" x14ac:dyDescent="0.25">
      <c r="A1022" s="1"/>
      <c r="B1022" s="1"/>
      <c r="C1022" s="1"/>
      <c r="D1022" s="1"/>
    </row>
    <row r="1023" spans="1:4" x14ac:dyDescent="0.25">
      <c r="A1023" s="1"/>
      <c r="B1023" s="1"/>
      <c r="C1023" s="1"/>
      <c r="D1023" s="1"/>
    </row>
    <row r="1024" spans="1:4" x14ac:dyDescent="0.25">
      <c r="A1024" s="1"/>
      <c r="B1024" s="1"/>
      <c r="C1024" s="1"/>
      <c r="D1024" s="1"/>
    </row>
    <row r="1025" spans="1:4" x14ac:dyDescent="0.25">
      <c r="A1025" s="1"/>
      <c r="B1025" s="1"/>
      <c r="C1025" s="1"/>
      <c r="D1025" s="1"/>
    </row>
    <row r="1026" spans="1:4" x14ac:dyDescent="0.25">
      <c r="A1026" s="1"/>
      <c r="B1026" s="1"/>
      <c r="C1026" s="1"/>
      <c r="D1026" s="1"/>
    </row>
    <row r="1027" spans="1:4" x14ac:dyDescent="0.25">
      <c r="A1027" s="1"/>
      <c r="B1027" s="1"/>
      <c r="C1027" s="1"/>
      <c r="D1027" s="1"/>
    </row>
    <row r="1028" spans="1:4" x14ac:dyDescent="0.25">
      <c r="A1028" s="1"/>
      <c r="B1028" s="1"/>
      <c r="C1028" s="1"/>
      <c r="D1028" s="1"/>
    </row>
    <row r="1029" spans="1:4" x14ac:dyDescent="0.25">
      <c r="A1029" s="1"/>
      <c r="B1029" s="1"/>
      <c r="C1029" s="1"/>
      <c r="D1029" s="1"/>
    </row>
    <row r="1030" spans="1:4" x14ac:dyDescent="0.25">
      <c r="A1030" s="1"/>
      <c r="B1030" s="1"/>
      <c r="C1030" s="1"/>
      <c r="D1030" s="1"/>
    </row>
    <row r="1031" spans="1:4" x14ac:dyDescent="0.25">
      <c r="A1031" s="1"/>
      <c r="B1031" s="1"/>
      <c r="C1031" s="1"/>
      <c r="D1031" s="1"/>
    </row>
    <row r="1032" spans="1:4" x14ac:dyDescent="0.25">
      <c r="A1032" s="1"/>
      <c r="B1032" s="1"/>
      <c r="C1032" s="1"/>
      <c r="D1032" s="1"/>
    </row>
    <row r="1033" spans="1:4" x14ac:dyDescent="0.25">
      <c r="A1033" s="1"/>
      <c r="B1033" s="1"/>
      <c r="C1033" s="1"/>
      <c r="D1033" s="1"/>
    </row>
    <row r="1034" spans="1:4" x14ac:dyDescent="0.25">
      <c r="A1034" s="1"/>
      <c r="B1034" s="1"/>
      <c r="C1034" s="1"/>
      <c r="D1034" s="1"/>
    </row>
    <row r="1035" spans="1:4" x14ac:dyDescent="0.25">
      <c r="A1035" s="1"/>
      <c r="B1035" s="1"/>
      <c r="C1035" s="1"/>
      <c r="D1035" s="1"/>
    </row>
    <row r="1036" spans="1:4" x14ac:dyDescent="0.25">
      <c r="A1036" s="1"/>
      <c r="B1036" s="1"/>
      <c r="C1036" s="1"/>
      <c r="D1036" s="1"/>
    </row>
    <row r="1037" spans="1:4" x14ac:dyDescent="0.25">
      <c r="A1037" s="1"/>
      <c r="B1037" s="1"/>
      <c r="C1037" s="1"/>
      <c r="D1037" s="1"/>
    </row>
    <row r="1038" spans="1:4" x14ac:dyDescent="0.25">
      <c r="A1038" s="1"/>
      <c r="B1038" s="1"/>
      <c r="C1038" s="1"/>
      <c r="D1038" s="1"/>
    </row>
    <row r="1039" spans="1:4" x14ac:dyDescent="0.25">
      <c r="A1039" s="1"/>
      <c r="B1039" s="1"/>
      <c r="C1039" s="1"/>
      <c r="D1039" s="1"/>
    </row>
    <row r="1040" spans="1:4" x14ac:dyDescent="0.25">
      <c r="A1040" s="1"/>
      <c r="B1040" s="1"/>
      <c r="C1040" s="1"/>
      <c r="D1040" s="1"/>
    </row>
    <row r="1041" spans="1:4" x14ac:dyDescent="0.25">
      <c r="A1041" s="1"/>
      <c r="B1041" s="1"/>
      <c r="C1041" s="1"/>
      <c r="D1041" s="1"/>
    </row>
    <row r="1042" spans="1:4" x14ac:dyDescent="0.25">
      <c r="A1042" s="1"/>
      <c r="B1042" s="1"/>
      <c r="C1042" s="1"/>
      <c r="D1042" s="1"/>
    </row>
    <row r="1043" spans="1:4" x14ac:dyDescent="0.25">
      <c r="A1043" s="1"/>
      <c r="B1043" s="1"/>
      <c r="C1043" s="1"/>
      <c r="D1043" s="1"/>
    </row>
    <row r="1044" spans="1:4" x14ac:dyDescent="0.25">
      <c r="A1044" s="1"/>
      <c r="B1044" s="1"/>
      <c r="C1044" s="1"/>
      <c r="D1044" s="1"/>
    </row>
    <row r="1045" spans="1:4" x14ac:dyDescent="0.25">
      <c r="A1045" s="1"/>
      <c r="B1045" s="1"/>
      <c r="C1045" s="1"/>
      <c r="D1045" s="1"/>
    </row>
    <row r="1046" spans="1:4" x14ac:dyDescent="0.25">
      <c r="A1046" s="1"/>
      <c r="B1046" s="1"/>
      <c r="C1046" s="1"/>
      <c r="D1046" s="1"/>
    </row>
    <row r="1047" spans="1:4" x14ac:dyDescent="0.25">
      <c r="A1047" s="1"/>
      <c r="B1047" s="1"/>
      <c r="C1047" s="1"/>
      <c r="D1047" s="1"/>
    </row>
    <row r="1048" spans="1:4" x14ac:dyDescent="0.25">
      <c r="A1048" s="1"/>
      <c r="B1048" s="1"/>
      <c r="C1048" s="1"/>
      <c r="D1048" s="1"/>
    </row>
    <row r="1049" spans="1:4" x14ac:dyDescent="0.25">
      <c r="A1049" s="1"/>
      <c r="B1049" s="1"/>
      <c r="C1049" s="1"/>
      <c r="D1049" s="1"/>
    </row>
    <row r="1050" spans="1:4" x14ac:dyDescent="0.25">
      <c r="A1050" s="1"/>
      <c r="B1050" s="1"/>
      <c r="C1050" s="1"/>
      <c r="D1050" s="1"/>
    </row>
    <row r="1051" spans="1:4" x14ac:dyDescent="0.25">
      <c r="A1051" s="1"/>
      <c r="B1051" s="1"/>
      <c r="C1051" s="1"/>
      <c r="D1051" s="1"/>
    </row>
    <row r="1052" spans="1:4" x14ac:dyDescent="0.25">
      <c r="A1052" s="1"/>
      <c r="B1052" s="1"/>
      <c r="C1052" s="1"/>
      <c r="D1052" s="1"/>
    </row>
    <row r="1053" spans="1:4" x14ac:dyDescent="0.25">
      <c r="A1053" s="1"/>
      <c r="B1053" s="1"/>
      <c r="C1053" s="1"/>
      <c r="D1053" s="1"/>
    </row>
    <row r="1054" spans="1:4" x14ac:dyDescent="0.25">
      <c r="A1054" s="1"/>
      <c r="B1054" s="1"/>
      <c r="C1054" s="1"/>
      <c r="D1054" s="1"/>
    </row>
    <row r="1055" spans="1:4" x14ac:dyDescent="0.25">
      <c r="A1055" s="1"/>
      <c r="B1055" s="1"/>
      <c r="C1055" s="1"/>
      <c r="D1055" s="1"/>
    </row>
    <row r="1056" spans="1:4" x14ac:dyDescent="0.25">
      <c r="A1056" s="1"/>
      <c r="B1056" s="1"/>
      <c r="C1056" s="1"/>
      <c r="D1056" s="1"/>
    </row>
    <row r="1057" spans="1:4" x14ac:dyDescent="0.25">
      <c r="A1057" s="1"/>
      <c r="B1057" s="1"/>
      <c r="C1057" s="1"/>
      <c r="D1057" s="1"/>
    </row>
    <row r="1058" spans="1:4" x14ac:dyDescent="0.25">
      <c r="A1058" s="1"/>
      <c r="B1058" s="1"/>
      <c r="C1058" s="1"/>
      <c r="D1058" s="1"/>
    </row>
    <row r="1059" spans="1:4" x14ac:dyDescent="0.25">
      <c r="A1059" s="1"/>
      <c r="B1059" s="1"/>
      <c r="C1059" s="1"/>
      <c r="D1059" s="1"/>
    </row>
    <row r="1060" spans="1:4" x14ac:dyDescent="0.25">
      <c r="A1060" s="1"/>
      <c r="B1060" s="1"/>
      <c r="C1060" s="1"/>
      <c r="D1060" s="1"/>
    </row>
    <row r="1061" spans="1:4" x14ac:dyDescent="0.25">
      <c r="A1061" s="1"/>
      <c r="B1061" s="1"/>
      <c r="C1061" s="1"/>
      <c r="D1061" s="1"/>
    </row>
    <row r="1062" spans="1:4" x14ac:dyDescent="0.25">
      <c r="A1062" s="1"/>
      <c r="B1062" s="1"/>
      <c r="C1062" s="1"/>
      <c r="D1062" s="1"/>
    </row>
    <row r="1063" spans="1:4" x14ac:dyDescent="0.25">
      <c r="A1063" s="1"/>
      <c r="B1063" s="1"/>
      <c r="C1063" s="1"/>
      <c r="D1063" s="1"/>
    </row>
    <row r="1064" spans="1:4" x14ac:dyDescent="0.25">
      <c r="A1064" s="1"/>
      <c r="B1064" s="1"/>
      <c r="C1064" s="1"/>
      <c r="D1064" s="1"/>
    </row>
    <row r="1065" spans="1:4" x14ac:dyDescent="0.25">
      <c r="A1065" s="1"/>
      <c r="B1065" s="1"/>
      <c r="C1065" s="1"/>
      <c r="D1065" s="1"/>
    </row>
    <row r="1066" spans="1:4" x14ac:dyDescent="0.25">
      <c r="A1066" s="1"/>
      <c r="B1066" s="1"/>
      <c r="C1066" s="1"/>
      <c r="D1066" s="1"/>
    </row>
    <row r="1067" spans="1:4" x14ac:dyDescent="0.25">
      <c r="A1067" s="1"/>
      <c r="B1067" s="1"/>
      <c r="C1067" s="1"/>
      <c r="D1067" s="1"/>
    </row>
    <row r="1068" spans="1:4" x14ac:dyDescent="0.25">
      <c r="A1068" s="1"/>
      <c r="B1068" s="1"/>
      <c r="C1068" s="1"/>
      <c r="D1068" s="1"/>
    </row>
    <row r="1069" spans="1:4" x14ac:dyDescent="0.25">
      <c r="A1069" s="1"/>
      <c r="B1069" s="1"/>
      <c r="C1069" s="1"/>
      <c r="D1069" s="1"/>
    </row>
    <row r="1070" spans="1:4" x14ac:dyDescent="0.25">
      <c r="A1070" s="1"/>
      <c r="B1070" s="1"/>
      <c r="C1070" s="1"/>
      <c r="D1070" s="1"/>
    </row>
    <row r="1071" spans="1:4" x14ac:dyDescent="0.25">
      <c r="A1071" s="1"/>
      <c r="B1071" s="1"/>
      <c r="C1071" s="1"/>
      <c r="D1071" s="1"/>
    </row>
    <row r="1072" spans="1:4" x14ac:dyDescent="0.25">
      <c r="A1072" s="1"/>
      <c r="B1072" s="1"/>
      <c r="C1072" s="1"/>
      <c r="D1072" s="1"/>
    </row>
    <row r="1073" spans="1:4" x14ac:dyDescent="0.25">
      <c r="A1073" s="1"/>
      <c r="B1073" s="1"/>
      <c r="C1073" s="1"/>
      <c r="D1073" s="1"/>
    </row>
    <row r="1074" spans="1:4" x14ac:dyDescent="0.25">
      <c r="A1074" s="1"/>
      <c r="B1074" s="1"/>
      <c r="C1074" s="1"/>
      <c r="D1074" s="1"/>
    </row>
    <row r="1075" spans="1:4" x14ac:dyDescent="0.25">
      <c r="A1075" s="1"/>
      <c r="B1075" s="1"/>
      <c r="C1075" s="1"/>
      <c r="D1075" s="1"/>
    </row>
    <row r="1076" spans="1:4" x14ac:dyDescent="0.25">
      <c r="A1076" s="1"/>
      <c r="B1076" s="1"/>
      <c r="C1076" s="1"/>
      <c r="D1076" s="1"/>
    </row>
    <row r="1077" spans="1:4" x14ac:dyDescent="0.25">
      <c r="A1077" s="1"/>
      <c r="B1077" s="1"/>
      <c r="C1077" s="1"/>
      <c r="D1077" s="1"/>
    </row>
    <row r="1078" spans="1:4" x14ac:dyDescent="0.25">
      <c r="A1078" s="1"/>
      <c r="B1078" s="1"/>
      <c r="C1078" s="1"/>
      <c r="D1078" s="1"/>
    </row>
    <row r="1079" spans="1:4" x14ac:dyDescent="0.25">
      <c r="A1079" s="1"/>
      <c r="B1079" s="1"/>
      <c r="C1079" s="1"/>
      <c r="D1079" s="1"/>
    </row>
    <row r="1080" spans="1:4" x14ac:dyDescent="0.25">
      <c r="A1080" s="1"/>
      <c r="B1080" s="1"/>
      <c r="C1080" s="1"/>
      <c r="D1080" s="1"/>
    </row>
    <row r="1081" spans="1:4" x14ac:dyDescent="0.25">
      <c r="A1081" s="1"/>
      <c r="B1081" s="1"/>
      <c r="C1081" s="1"/>
      <c r="D1081" s="1"/>
    </row>
    <row r="1082" spans="1:4" x14ac:dyDescent="0.25">
      <c r="A1082" s="1"/>
      <c r="B1082" s="1"/>
      <c r="C1082" s="1"/>
      <c r="D1082" s="1"/>
    </row>
    <row r="1083" spans="1:4" x14ac:dyDescent="0.25">
      <c r="A1083" s="1"/>
      <c r="B1083" s="1"/>
      <c r="C1083" s="1"/>
      <c r="D1083" s="1"/>
    </row>
    <row r="1084" spans="1:4" x14ac:dyDescent="0.25">
      <c r="A1084" s="1"/>
      <c r="B1084" s="1"/>
      <c r="C1084" s="1"/>
      <c r="D1084" s="1"/>
    </row>
    <row r="1085" spans="1:4" x14ac:dyDescent="0.25">
      <c r="A1085" s="1"/>
      <c r="B1085" s="1"/>
      <c r="C1085" s="1"/>
      <c r="D1085" s="1"/>
    </row>
    <row r="1086" spans="1:4" x14ac:dyDescent="0.25">
      <c r="A1086" s="1"/>
      <c r="B1086" s="1"/>
      <c r="C1086" s="1"/>
      <c r="D1086" s="1"/>
    </row>
    <row r="1087" spans="1:4" x14ac:dyDescent="0.25">
      <c r="A1087" s="1"/>
      <c r="B1087" s="1"/>
      <c r="C1087" s="1"/>
      <c r="D1087" s="1"/>
    </row>
    <row r="1088" spans="1:4" x14ac:dyDescent="0.25">
      <c r="A1088" s="1"/>
      <c r="B1088" s="1"/>
      <c r="C1088" s="1"/>
      <c r="D1088" s="1"/>
    </row>
    <row r="1089" spans="1:4" x14ac:dyDescent="0.25">
      <c r="A1089" s="1"/>
      <c r="B1089" s="1"/>
      <c r="C1089" s="1"/>
      <c r="D1089" s="1"/>
    </row>
    <row r="1090" spans="1:4" x14ac:dyDescent="0.25">
      <c r="A1090" s="1"/>
      <c r="B1090" s="1"/>
      <c r="C1090" s="1"/>
      <c r="D1090" s="1"/>
    </row>
    <row r="1091" spans="1:4" x14ac:dyDescent="0.25">
      <c r="A1091" s="1"/>
      <c r="B1091" s="1"/>
      <c r="C1091" s="1"/>
      <c r="D1091" s="1"/>
    </row>
    <row r="1092" spans="1:4" x14ac:dyDescent="0.25">
      <c r="A1092" s="1"/>
      <c r="B1092" s="1"/>
      <c r="C1092" s="1"/>
      <c r="D1092" s="1"/>
    </row>
    <row r="1093" spans="1:4" x14ac:dyDescent="0.25">
      <c r="A1093" s="1"/>
      <c r="B1093" s="1"/>
      <c r="C1093" s="1"/>
      <c r="D1093" s="1"/>
    </row>
    <row r="1094" spans="1:4" x14ac:dyDescent="0.25">
      <c r="A1094" s="1"/>
      <c r="B1094" s="1"/>
      <c r="C1094" s="1"/>
      <c r="D1094" s="1"/>
    </row>
    <row r="1095" spans="1:4" x14ac:dyDescent="0.25">
      <c r="A1095" s="1"/>
      <c r="B1095" s="1"/>
      <c r="C1095" s="1"/>
      <c r="D1095" s="1"/>
    </row>
    <row r="1096" spans="1:4" x14ac:dyDescent="0.25">
      <c r="A1096" s="1"/>
      <c r="B1096" s="1"/>
      <c r="C1096" s="1"/>
      <c r="D1096" s="1"/>
    </row>
    <row r="1097" spans="1:4" x14ac:dyDescent="0.25">
      <c r="A1097" s="1"/>
      <c r="B1097" s="1"/>
      <c r="C1097" s="1"/>
      <c r="D1097" s="1"/>
    </row>
    <row r="1098" spans="1:4" x14ac:dyDescent="0.25">
      <c r="A1098" s="1"/>
      <c r="B1098" s="1"/>
      <c r="C1098" s="1"/>
      <c r="D1098" s="1"/>
    </row>
    <row r="1099" spans="1:4" x14ac:dyDescent="0.25">
      <c r="A1099" s="1"/>
      <c r="B1099" s="1"/>
      <c r="C1099" s="1"/>
      <c r="D1099" s="1"/>
    </row>
    <row r="1100" spans="1:4" x14ac:dyDescent="0.25">
      <c r="A1100" s="1"/>
      <c r="B1100" s="1"/>
      <c r="C1100" s="1"/>
      <c r="D1100" s="1"/>
    </row>
    <row r="1101" spans="1:4" x14ac:dyDescent="0.25">
      <c r="A1101" s="1"/>
      <c r="B1101" s="1"/>
      <c r="C1101" s="1"/>
      <c r="D1101" s="1"/>
    </row>
    <row r="1102" spans="1:4" x14ac:dyDescent="0.25">
      <c r="A1102" s="1"/>
      <c r="B1102" s="1"/>
      <c r="C1102" s="1"/>
      <c r="D1102" s="1"/>
    </row>
    <row r="1103" spans="1:4" x14ac:dyDescent="0.25">
      <c r="A1103" s="1"/>
      <c r="B1103" s="1"/>
      <c r="C1103" s="1"/>
      <c r="D1103" s="1"/>
    </row>
    <row r="1104" spans="1:4" x14ac:dyDescent="0.25">
      <c r="A1104" s="1"/>
      <c r="B1104" s="1"/>
      <c r="C1104" s="1"/>
      <c r="D1104" s="1"/>
    </row>
    <row r="1105" spans="1:4" x14ac:dyDescent="0.25">
      <c r="A1105" s="1"/>
      <c r="B1105" s="1"/>
      <c r="C1105" s="1"/>
      <c r="D1105" s="1"/>
    </row>
    <row r="1106" spans="1:4" x14ac:dyDescent="0.25">
      <c r="A1106" s="1"/>
      <c r="B1106" s="1"/>
      <c r="C1106" s="1"/>
      <c r="D1106" s="1"/>
    </row>
    <row r="1107" spans="1:4" x14ac:dyDescent="0.25">
      <c r="A1107" s="1"/>
      <c r="B1107" s="1"/>
      <c r="C1107" s="1"/>
      <c r="D1107" s="1"/>
    </row>
    <row r="1108" spans="1:4" x14ac:dyDescent="0.25">
      <c r="A1108" s="1"/>
      <c r="B1108" s="1"/>
      <c r="C1108" s="1"/>
      <c r="D1108" s="1"/>
    </row>
    <row r="1109" spans="1:4" x14ac:dyDescent="0.25">
      <c r="A1109" s="1"/>
      <c r="B1109" s="1"/>
      <c r="C1109" s="1"/>
      <c r="D1109" s="1"/>
    </row>
    <row r="1110" spans="1:4" x14ac:dyDescent="0.25">
      <c r="A1110" s="1"/>
      <c r="B1110" s="1"/>
      <c r="C1110" s="1"/>
      <c r="D1110" s="1"/>
    </row>
    <row r="1111" spans="1:4" x14ac:dyDescent="0.25">
      <c r="A1111" s="1"/>
      <c r="B1111" s="1"/>
      <c r="C1111" s="1"/>
      <c r="D1111" s="1"/>
    </row>
    <row r="1112" spans="1:4" x14ac:dyDescent="0.25">
      <c r="A1112" s="1"/>
      <c r="B1112" s="1"/>
      <c r="C1112" s="1"/>
      <c r="D1112" s="1"/>
    </row>
    <row r="1113" spans="1:4" x14ac:dyDescent="0.25">
      <c r="A1113" s="1"/>
      <c r="B1113" s="1"/>
      <c r="C1113" s="1"/>
      <c r="D1113" s="1"/>
    </row>
    <row r="1114" spans="1:4" x14ac:dyDescent="0.25">
      <c r="A1114" s="1"/>
      <c r="B1114" s="1"/>
      <c r="C1114" s="1"/>
      <c r="D1114" s="1"/>
    </row>
    <row r="1115" spans="1:4" x14ac:dyDescent="0.25">
      <c r="A1115" s="1"/>
      <c r="B1115" s="1"/>
      <c r="C1115" s="1"/>
      <c r="D1115" s="1"/>
    </row>
    <row r="1116" spans="1:4" x14ac:dyDescent="0.25">
      <c r="A1116" s="1"/>
      <c r="B1116" s="1"/>
      <c r="C1116" s="1"/>
      <c r="D1116" s="1"/>
    </row>
    <row r="1117" spans="1:4" x14ac:dyDescent="0.25">
      <c r="A1117" s="1"/>
      <c r="B1117" s="1"/>
      <c r="C1117" s="1"/>
      <c r="D1117" s="1"/>
    </row>
    <row r="1118" spans="1:4" x14ac:dyDescent="0.25">
      <c r="A1118" s="1"/>
      <c r="B1118" s="1"/>
      <c r="C1118" s="1"/>
      <c r="D1118" s="1"/>
    </row>
    <row r="1119" spans="1:4" x14ac:dyDescent="0.25">
      <c r="A1119" s="1"/>
      <c r="B1119" s="1"/>
      <c r="C1119" s="1"/>
      <c r="D1119" s="1"/>
    </row>
    <row r="1120" spans="1:4" x14ac:dyDescent="0.25">
      <c r="A1120" s="1"/>
      <c r="B1120" s="1"/>
      <c r="C1120" s="1"/>
      <c r="D1120" s="1"/>
    </row>
    <row r="1121" spans="1:4" x14ac:dyDescent="0.25">
      <c r="A1121" s="1"/>
      <c r="B1121" s="1"/>
      <c r="C1121" s="1"/>
      <c r="D1121" s="1"/>
    </row>
    <row r="1122" spans="1:4" x14ac:dyDescent="0.25">
      <c r="A1122" s="1"/>
      <c r="B1122" s="1"/>
      <c r="C1122" s="1"/>
      <c r="D1122" s="1"/>
    </row>
    <row r="1123" spans="1:4" x14ac:dyDescent="0.25">
      <c r="A1123" s="1"/>
      <c r="B1123" s="1"/>
      <c r="C1123" s="1"/>
      <c r="D1123" s="1"/>
    </row>
    <row r="1124" spans="1:4" x14ac:dyDescent="0.25">
      <c r="A1124" s="1"/>
      <c r="B1124" s="1"/>
      <c r="C1124" s="1"/>
      <c r="D1124" s="1"/>
    </row>
    <row r="1125" spans="1:4" x14ac:dyDescent="0.25">
      <c r="A1125" s="1"/>
      <c r="B1125" s="1"/>
      <c r="C1125" s="1"/>
      <c r="D1125" s="1"/>
    </row>
    <row r="1126" spans="1:4" x14ac:dyDescent="0.25">
      <c r="A1126" s="1"/>
      <c r="B1126" s="1"/>
      <c r="C1126" s="1"/>
      <c r="D1126" s="1"/>
    </row>
    <row r="1127" spans="1:4" x14ac:dyDescent="0.25">
      <c r="A1127" s="1"/>
      <c r="B1127" s="1"/>
      <c r="C1127" s="1"/>
      <c r="D1127" s="1"/>
    </row>
    <row r="1128" spans="1:4" x14ac:dyDescent="0.25">
      <c r="A1128" s="1"/>
      <c r="B1128" s="1"/>
      <c r="C1128" s="1"/>
      <c r="D1128" s="1"/>
    </row>
    <row r="1129" spans="1:4" x14ac:dyDescent="0.25">
      <c r="A1129" s="1"/>
      <c r="B1129" s="1"/>
      <c r="C1129" s="1"/>
      <c r="D1129" s="1"/>
    </row>
    <row r="1130" spans="1:4" x14ac:dyDescent="0.25">
      <c r="A1130" s="1"/>
      <c r="B1130" s="1"/>
      <c r="C1130" s="1"/>
      <c r="D1130" s="1"/>
    </row>
    <row r="1131" spans="1:4" x14ac:dyDescent="0.25">
      <c r="A1131" s="1"/>
      <c r="B1131" s="1"/>
      <c r="C1131" s="1"/>
      <c r="D1131" s="1"/>
    </row>
    <row r="1132" spans="1:4" x14ac:dyDescent="0.25">
      <c r="A1132" s="1"/>
      <c r="B1132" s="1"/>
      <c r="C1132" s="1"/>
      <c r="D1132" s="1"/>
    </row>
    <row r="1133" spans="1:4" x14ac:dyDescent="0.25">
      <c r="A1133" s="1"/>
      <c r="B1133" s="1"/>
      <c r="C1133" s="1"/>
      <c r="D1133" s="1"/>
    </row>
    <row r="1134" spans="1:4" x14ac:dyDescent="0.25">
      <c r="A1134" s="1"/>
      <c r="B1134" s="1"/>
      <c r="C1134" s="1"/>
      <c r="D1134" s="1"/>
    </row>
    <row r="1135" spans="1:4" x14ac:dyDescent="0.25">
      <c r="A1135" s="1"/>
      <c r="B1135" s="1"/>
      <c r="C1135" s="1"/>
      <c r="D1135" s="1"/>
    </row>
    <row r="1136" spans="1:4" x14ac:dyDescent="0.25">
      <c r="A1136" s="1"/>
      <c r="B1136" s="1"/>
      <c r="C1136" s="1"/>
      <c r="D1136" s="1"/>
    </row>
    <row r="1137" spans="1:4" x14ac:dyDescent="0.25">
      <c r="A1137" s="1"/>
      <c r="B1137" s="1"/>
      <c r="C1137" s="1"/>
      <c r="D1137" s="1"/>
    </row>
    <row r="1138" spans="1:4" x14ac:dyDescent="0.25">
      <c r="A1138" s="1"/>
      <c r="B1138" s="1"/>
      <c r="C1138" s="1"/>
      <c r="D1138" s="1"/>
    </row>
    <row r="1139" spans="1:4" x14ac:dyDescent="0.25">
      <c r="A1139" s="1"/>
      <c r="B1139" s="1"/>
      <c r="C1139" s="1"/>
      <c r="D1139" s="1"/>
    </row>
    <row r="1140" spans="1:4" x14ac:dyDescent="0.25">
      <c r="A1140" s="1"/>
      <c r="B1140" s="1"/>
      <c r="C1140" s="1"/>
      <c r="D1140" s="1"/>
    </row>
    <row r="1141" spans="1:4" x14ac:dyDescent="0.25">
      <c r="A1141" s="1"/>
      <c r="B1141" s="1"/>
      <c r="C1141" s="1"/>
      <c r="D1141" s="1"/>
    </row>
    <row r="1142" spans="1:4" x14ac:dyDescent="0.25">
      <c r="A1142" s="1"/>
      <c r="B1142" s="1"/>
      <c r="C1142" s="1"/>
      <c r="D1142" s="1"/>
    </row>
    <row r="1143" spans="1:4" x14ac:dyDescent="0.25">
      <c r="A1143" s="1"/>
      <c r="B1143" s="1"/>
      <c r="C1143" s="1"/>
      <c r="D1143" s="1"/>
    </row>
    <row r="1144" spans="1:4" x14ac:dyDescent="0.25">
      <c r="A1144" s="1"/>
      <c r="B1144" s="1"/>
      <c r="C1144" s="1"/>
      <c r="D1144" s="1"/>
    </row>
    <row r="1145" spans="1:4" x14ac:dyDescent="0.25">
      <c r="A1145" s="1"/>
      <c r="B1145" s="1"/>
      <c r="C1145" s="1"/>
      <c r="D1145" s="1"/>
    </row>
    <row r="1146" spans="1:4" x14ac:dyDescent="0.25">
      <c r="A1146" s="1"/>
      <c r="B1146" s="1"/>
      <c r="C1146" s="1"/>
      <c r="D1146" s="1"/>
    </row>
    <row r="1147" spans="1:4" x14ac:dyDescent="0.25">
      <c r="A1147" s="1"/>
      <c r="B1147" s="1"/>
      <c r="C1147" s="1"/>
      <c r="D1147" s="1"/>
    </row>
    <row r="1148" spans="1:4" x14ac:dyDescent="0.25">
      <c r="A1148" s="1"/>
      <c r="B1148" s="1"/>
      <c r="C1148" s="1"/>
      <c r="D1148" s="1"/>
    </row>
    <row r="1149" spans="1:4" x14ac:dyDescent="0.25">
      <c r="A1149" s="1"/>
      <c r="B1149" s="1"/>
      <c r="C1149" s="1"/>
      <c r="D1149" s="1"/>
    </row>
    <row r="1150" spans="1:4" x14ac:dyDescent="0.25">
      <c r="A1150" s="1"/>
      <c r="B1150" s="1"/>
      <c r="C1150" s="1"/>
      <c r="D1150" s="1"/>
    </row>
    <row r="1151" spans="1:4" x14ac:dyDescent="0.25">
      <c r="A1151" s="1"/>
      <c r="B1151" s="1"/>
      <c r="C1151" s="1"/>
      <c r="D1151" s="1"/>
    </row>
    <row r="1152" spans="1:4" x14ac:dyDescent="0.25">
      <c r="A1152" s="1"/>
      <c r="B1152" s="1"/>
      <c r="C1152" s="1"/>
      <c r="D1152" s="1"/>
    </row>
    <row r="1153" spans="1:4" x14ac:dyDescent="0.25">
      <c r="A1153" s="1"/>
      <c r="B1153" s="1"/>
      <c r="C1153" s="1"/>
      <c r="D1153" s="1"/>
    </row>
    <row r="1154" spans="1:4" x14ac:dyDescent="0.25">
      <c r="A1154" s="1"/>
      <c r="B1154" s="1"/>
      <c r="C1154" s="1"/>
      <c r="D1154" s="1"/>
    </row>
    <row r="1155" spans="1:4" x14ac:dyDescent="0.25">
      <c r="A1155" s="1"/>
      <c r="B1155" s="1"/>
      <c r="C1155" s="1"/>
      <c r="D1155" s="1"/>
    </row>
    <row r="1156" spans="1:4" x14ac:dyDescent="0.25">
      <c r="A1156" s="1"/>
      <c r="B1156" s="1"/>
      <c r="C1156" s="1"/>
      <c r="D1156" s="1"/>
    </row>
    <row r="1157" spans="1:4" x14ac:dyDescent="0.25">
      <c r="A1157" s="1"/>
      <c r="B1157" s="1"/>
      <c r="C1157" s="1"/>
      <c r="D1157" s="1"/>
    </row>
    <row r="1158" spans="1:4" x14ac:dyDescent="0.25">
      <c r="A1158" s="1"/>
      <c r="B1158" s="1"/>
      <c r="C1158" s="1"/>
      <c r="D1158" s="1"/>
    </row>
    <row r="1159" spans="1:4" x14ac:dyDescent="0.25">
      <c r="A1159" s="1"/>
      <c r="B1159" s="1"/>
      <c r="C1159" s="1"/>
      <c r="D1159" s="1"/>
    </row>
    <row r="1160" spans="1:4" x14ac:dyDescent="0.25">
      <c r="A1160" s="1"/>
      <c r="B1160" s="1"/>
      <c r="C1160" s="1"/>
      <c r="D1160" s="1"/>
    </row>
    <row r="1161" spans="1:4" x14ac:dyDescent="0.25">
      <c r="A1161" s="1"/>
      <c r="B1161" s="1"/>
      <c r="C1161" s="1"/>
      <c r="D1161" s="1"/>
    </row>
    <row r="1162" spans="1:4" x14ac:dyDescent="0.25">
      <c r="A1162" s="1"/>
      <c r="B1162" s="1"/>
      <c r="C1162" s="1"/>
      <c r="D1162" s="1"/>
    </row>
    <row r="1163" spans="1:4" x14ac:dyDescent="0.25">
      <c r="A1163" s="1"/>
      <c r="B1163" s="1"/>
      <c r="C1163" s="1"/>
      <c r="D1163" s="1"/>
    </row>
    <row r="1164" spans="1:4" x14ac:dyDescent="0.25">
      <c r="A1164" s="1"/>
      <c r="B1164" s="1"/>
      <c r="C1164" s="1"/>
      <c r="D1164" s="1"/>
    </row>
    <row r="1165" spans="1:4" x14ac:dyDescent="0.25">
      <c r="A1165" s="1"/>
      <c r="B1165" s="1"/>
      <c r="C1165" s="1"/>
      <c r="D1165" s="1"/>
    </row>
    <row r="1166" spans="1:4" x14ac:dyDescent="0.25">
      <c r="A1166" s="1"/>
      <c r="B1166" s="1"/>
      <c r="C1166" s="1"/>
      <c r="D1166" s="1"/>
    </row>
    <row r="1167" spans="1:4" x14ac:dyDescent="0.25">
      <c r="A1167" s="1"/>
      <c r="B1167" s="1"/>
      <c r="C1167" s="1"/>
      <c r="D1167" s="1"/>
    </row>
    <row r="1168" spans="1:4" x14ac:dyDescent="0.25">
      <c r="A1168" s="1"/>
      <c r="B1168" s="1"/>
      <c r="C1168" s="1"/>
      <c r="D1168" s="1"/>
    </row>
    <row r="1169" spans="1:4" x14ac:dyDescent="0.25">
      <c r="A1169" s="1"/>
      <c r="B1169" s="1"/>
      <c r="C1169" s="1"/>
      <c r="D1169" s="1"/>
    </row>
    <row r="1170" spans="1:4" x14ac:dyDescent="0.25">
      <c r="A1170" s="1"/>
      <c r="B1170" s="1"/>
      <c r="C1170" s="1"/>
      <c r="D1170" s="1"/>
    </row>
    <row r="1171" spans="1:4" x14ac:dyDescent="0.25">
      <c r="A1171" s="1"/>
      <c r="B1171" s="1"/>
      <c r="C1171" s="1"/>
      <c r="D1171" s="1"/>
    </row>
    <row r="1172" spans="1:4" x14ac:dyDescent="0.25">
      <c r="A1172" s="1"/>
      <c r="B1172" s="1"/>
      <c r="C1172" s="1"/>
      <c r="D1172" s="1"/>
    </row>
    <row r="1173" spans="1:4" x14ac:dyDescent="0.25">
      <c r="A1173" s="1"/>
      <c r="B1173" s="1"/>
      <c r="C1173" s="1"/>
      <c r="D1173" s="1"/>
    </row>
    <row r="1174" spans="1:4" x14ac:dyDescent="0.25">
      <c r="A1174" s="1"/>
      <c r="B1174" s="1"/>
      <c r="C1174" s="1"/>
      <c r="D1174" s="1"/>
    </row>
    <row r="1175" spans="1:4" x14ac:dyDescent="0.25">
      <c r="A1175" s="1"/>
      <c r="B1175" s="1"/>
      <c r="C1175" s="1"/>
      <c r="D1175" s="1"/>
    </row>
    <row r="1176" spans="1:4" x14ac:dyDescent="0.25">
      <c r="A1176" s="1"/>
      <c r="B1176" s="1"/>
      <c r="C1176" s="1"/>
      <c r="D1176" s="1"/>
    </row>
    <row r="1177" spans="1:4" x14ac:dyDescent="0.25">
      <c r="A1177" s="1"/>
      <c r="B1177" s="1"/>
      <c r="C1177" s="1"/>
      <c r="D1177" s="1"/>
    </row>
    <row r="1178" spans="1:4" x14ac:dyDescent="0.25">
      <c r="A1178" s="1"/>
      <c r="B1178" s="1"/>
      <c r="C1178" s="1"/>
      <c r="D1178" s="1"/>
    </row>
    <row r="1179" spans="1:4" x14ac:dyDescent="0.25">
      <c r="A1179" s="1"/>
      <c r="B1179" s="1"/>
      <c r="C1179" s="1"/>
      <c r="D1179" s="1"/>
    </row>
    <row r="1180" spans="1:4" x14ac:dyDescent="0.25">
      <c r="A1180" s="1"/>
      <c r="B1180" s="1"/>
      <c r="C1180" s="1"/>
      <c r="D1180" s="1"/>
    </row>
    <row r="1181" spans="1:4" x14ac:dyDescent="0.25">
      <c r="A1181" s="1"/>
      <c r="B1181" s="1"/>
      <c r="C1181" s="1"/>
      <c r="D1181" s="1"/>
    </row>
    <row r="1182" spans="1:4" x14ac:dyDescent="0.25">
      <c r="A1182" s="1"/>
      <c r="B1182" s="1"/>
      <c r="C1182" s="1"/>
      <c r="D1182" s="1"/>
    </row>
    <row r="1183" spans="1:4" x14ac:dyDescent="0.25">
      <c r="A1183" s="1"/>
      <c r="B1183" s="1"/>
      <c r="C1183" s="1"/>
      <c r="D1183" s="1"/>
    </row>
    <row r="1184" spans="1:4" x14ac:dyDescent="0.25">
      <c r="A1184" s="1"/>
      <c r="B1184" s="1"/>
      <c r="C1184" s="1"/>
      <c r="D1184" s="1"/>
    </row>
    <row r="1185" spans="1:4" x14ac:dyDescent="0.25">
      <c r="A1185" s="1"/>
      <c r="B1185" s="1"/>
      <c r="C1185" s="1"/>
      <c r="D1185" s="1"/>
    </row>
    <row r="1186" spans="1:4" x14ac:dyDescent="0.25">
      <c r="A1186" s="1"/>
      <c r="B1186" s="1"/>
      <c r="C1186" s="1"/>
      <c r="D1186" s="1"/>
    </row>
    <row r="1187" spans="1:4" x14ac:dyDescent="0.25">
      <c r="A1187" s="1"/>
      <c r="B1187" s="1"/>
      <c r="C1187" s="1"/>
      <c r="D1187" s="1"/>
    </row>
    <row r="1188" spans="1:4" x14ac:dyDescent="0.25">
      <c r="A1188" s="1"/>
      <c r="B1188" s="1"/>
      <c r="C1188" s="1"/>
      <c r="D1188" s="1"/>
    </row>
    <row r="1189" spans="1:4" x14ac:dyDescent="0.25">
      <c r="A1189" s="1"/>
      <c r="B1189" s="1"/>
      <c r="C1189" s="1"/>
      <c r="D1189" s="1"/>
    </row>
    <row r="1190" spans="1:4" x14ac:dyDescent="0.25">
      <c r="A1190" s="1"/>
      <c r="B1190" s="1"/>
      <c r="C1190" s="1"/>
      <c r="D1190" s="1"/>
    </row>
    <row r="1191" spans="1:4" x14ac:dyDescent="0.25">
      <c r="A1191" s="1"/>
      <c r="B1191" s="1"/>
      <c r="C1191" s="1"/>
      <c r="D1191" s="1"/>
    </row>
    <row r="1192" spans="1:4" x14ac:dyDescent="0.25">
      <c r="A1192" s="1"/>
      <c r="B1192" s="1"/>
      <c r="C1192" s="1"/>
      <c r="D1192" s="1"/>
    </row>
    <row r="1193" spans="1:4" x14ac:dyDescent="0.25">
      <c r="A1193" s="1"/>
      <c r="B1193" s="1"/>
      <c r="C1193" s="1"/>
      <c r="D1193" s="1"/>
    </row>
    <row r="1194" spans="1:4" x14ac:dyDescent="0.25">
      <c r="A1194" s="1"/>
      <c r="B1194" s="1"/>
      <c r="C1194" s="1"/>
      <c r="D1194" s="1"/>
    </row>
    <row r="1195" spans="1:4" x14ac:dyDescent="0.25">
      <c r="A1195" s="1"/>
      <c r="B1195" s="1"/>
      <c r="C1195" s="1"/>
      <c r="D1195" s="1"/>
    </row>
    <row r="1196" spans="1:4" x14ac:dyDescent="0.25">
      <c r="A1196" s="1"/>
      <c r="B1196" s="1"/>
      <c r="C1196" s="1"/>
      <c r="D1196" s="1"/>
    </row>
    <row r="1197" spans="1:4" x14ac:dyDescent="0.25">
      <c r="A1197" s="1"/>
      <c r="B1197" s="1"/>
      <c r="C1197" s="1"/>
      <c r="D1197" s="1"/>
    </row>
    <row r="1198" spans="1:4" x14ac:dyDescent="0.25">
      <c r="A1198" s="1"/>
      <c r="B1198" s="1"/>
      <c r="C1198" s="1"/>
      <c r="D1198" s="1"/>
    </row>
    <row r="1199" spans="1:4" x14ac:dyDescent="0.25">
      <c r="A1199" s="1"/>
      <c r="B1199" s="1"/>
      <c r="C1199" s="1"/>
      <c r="D1199" s="1"/>
    </row>
    <row r="1200" spans="1:4" x14ac:dyDescent="0.25">
      <c r="A1200" s="1"/>
      <c r="B1200" s="1"/>
      <c r="C1200" s="1"/>
      <c r="D1200" s="1"/>
    </row>
    <row r="1201" spans="1:4" x14ac:dyDescent="0.25">
      <c r="A1201" s="1"/>
      <c r="B1201" s="1"/>
      <c r="C1201" s="1"/>
      <c r="D1201" s="1"/>
    </row>
    <row r="1202" spans="1:4" x14ac:dyDescent="0.25">
      <c r="A1202" s="1"/>
      <c r="B1202" s="1"/>
      <c r="C1202" s="1"/>
      <c r="D1202" s="1"/>
    </row>
    <row r="1203" spans="1:4" x14ac:dyDescent="0.25">
      <c r="A1203" s="1"/>
      <c r="B1203" s="1"/>
      <c r="C1203" s="1"/>
      <c r="D1203" s="1"/>
    </row>
    <row r="1204" spans="1:4" x14ac:dyDescent="0.25">
      <c r="A1204" s="1"/>
      <c r="B1204" s="1"/>
      <c r="C1204" s="1"/>
      <c r="D1204" s="1"/>
    </row>
    <row r="1205" spans="1:4" x14ac:dyDescent="0.25">
      <c r="A1205" s="1"/>
      <c r="B1205" s="1"/>
      <c r="C1205" s="1"/>
      <c r="D1205" s="1"/>
    </row>
    <row r="1206" spans="1:4" x14ac:dyDescent="0.25">
      <c r="A1206" s="1"/>
      <c r="B1206" s="1"/>
      <c r="C1206" s="1"/>
      <c r="D1206" s="1"/>
    </row>
    <row r="1207" spans="1:4" x14ac:dyDescent="0.25">
      <c r="A1207" s="1"/>
      <c r="B1207" s="1"/>
      <c r="C1207" s="1"/>
      <c r="D1207" s="1"/>
    </row>
    <row r="1208" spans="1:4" x14ac:dyDescent="0.25">
      <c r="A1208" s="1"/>
      <c r="B1208" s="1"/>
      <c r="C1208" s="1"/>
      <c r="D1208" s="1"/>
    </row>
    <row r="1209" spans="1:4" x14ac:dyDescent="0.25">
      <c r="A1209" s="1"/>
      <c r="B1209" s="1"/>
      <c r="C1209" s="1"/>
      <c r="D1209" s="1"/>
    </row>
    <row r="1210" spans="1:4" x14ac:dyDescent="0.25">
      <c r="A1210" s="1"/>
      <c r="B1210" s="1"/>
      <c r="C1210" s="1"/>
      <c r="D1210" s="1"/>
    </row>
    <row r="1211" spans="1:4" x14ac:dyDescent="0.25">
      <c r="A1211" s="1"/>
      <c r="B1211" s="1"/>
      <c r="C1211" s="1"/>
      <c r="D1211" s="1"/>
    </row>
    <row r="1212" spans="1:4" x14ac:dyDescent="0.25">
      <c r="A1212" s="1"/>
      <c r="B1212" s="1"/>
      <c r="C1212" s="1"/>
      <c r="D1212" s="1"/>
    </row>
    <row r="1213" spans="1:4" x14ac:dyDescent="0.25">
      <c r="A1213" s="1"/>
      <c r="B1213" s="1"/>
      <c r="C1213" s="1"/>
      <c r="D1213" s="1"/>
    </row>
    <row r="1214" spans="1:4" x14ac:dyDescent="0.25">
      <c r="A1214" s="1"/>
      <c r="B1214" s="1"/>
      <c r="C1214" s="1"/>
      <c r="D1214" s="1"/>
    </row>
    <row r="1215" spans="1:4" x14ac:dyDescent="0.25">
      <c r="A1215" s="1"/>
      <c r="B1215" s="1"/>
      <c r="C1215" s="1"/>
      <c r="D1215" s="1"/>
    </row>
    <row r="1216" spans="1:4" x14ac:dyDescent="0.25">
      <c r="A1216" s="1"/>
      <c r="B1216" s="1"/>
      <c r="C1216" s="1"/>
      <c r="D1216" s="1"/>
    </row>
    <row r="1217" spans="1:4" x14ac:dyDescent="0.25">
      <c r="A1217" s="1"/>
      <c r="B1217" s="1"/>
      <c r="C1217" s="1"/>
      <c r="D1217" s="1"/>
    </row>
    <row r="1218" spans="1:4" x14ac:dyDescent="0.25">
      <c r="A1218" s="1"/>
      <c r="B1218" s="1"/>
      <c r="C1218" s="1"/>
      <c r="D1218" s="1"/>
    </row>
    <row r="1219" spans="1:4" x14ac:dyDescent="0.25">
      <c r="A1219" s="1"/>
      <c r="B1219" s="1"/>
      <c r="C1219" s="1"/>
      <c r="D1219" s="1"/>
    </row>
    <row r="1220" spans="1:4" x14ac:dyDescent="0.25">
      <c r="A1220" s="1"/>
      <c r="B1220" s="1"/>
      <c r="C1220" s="1"/>
      <c r="D1220" s="1"/>
    </row>
    <row r="1221" spans="1:4" x14ac:dyDescent="0.25">
      <c r="A1221" s="1"/>
      <c r="B1221" s="1"/>
      <c r="C1221" s="1"/>
      <c r="D1221" s="1"/>
    </row>
    <row r="1222" spans="1:4" x14ac:dyDescent="0.25">
      <c r="A1222" s="1"/>
      <c r="B1222" s="1"/>
      <c r="C1222" s="1"/>
      <c r="D1222" s="1"/>
    </row>
    <row r="1223" spans="1:4" x14ac:dyDescent="0.25">
      <c r="A1223" s="1"/>
      <c r="B1223" s="1"/>
      <c r="C1223" s="1"/>
      <c r="D1223" s="1"/>
    </row>
    <row r="1224" spans="1:4" x14ac:dyDescent="0.25">
      <c r="A1224" s="1"/>
      <c r="B1224" s="1"/>
      <c r="C1224" s="1"/>
      <c r="D1224" s="1"/>
    </row>
    <row r="1225" spans="1:4" x14ac:dyDescent="0.25">
      <c r="A1225" s="1"/>
      <c r="B1225" s="1"/>
      <c r="C1225" s="1"/>
      <c r="D1225" s="1"/>
    </row>
    <row r="1226" spans="1:4" x14ac:dyDescent="0.25">
      <c r="A1226" s="1"/>
      <c r="B1226" s="1"/>
      <c r="C1226" s="1"/>
      <c r="D1226" s="1"/>
    </row>
    <row r="1227" spans="1:4" x14ac:dyDescent="0.25">
      <c r="A1227" s="1"/>
      <c r="B1227" s="1"/>
      <c r="C1227" s="1"/>
      <c r="D1227" s="1"/>
    </row>
    <row r="1228" spans="1:4" x14ac:dyDescent="0.25">
      <c r="A1228" s="1"/>
      <c r="B1228" s="1"/>
      <c r="C1228" s="1"/>
      <c r="D1228" s="1"/>
    </row>
    <row r="1229" spans="1:4" x14ac:dyDescent="0.25">
      <c r="A1229" s="1"/>
      <c r="B1229" s="1"/>
      <c r="C1229" s="1"/>
      <c r="D1229" s="1"/>
    </row>
    <row r="1230" spans="1:4" x14ac:dyDescent="0.25">
      <c r="A1230" s="1"/>
      <c r="B1230" s="1"/>
      <c r="C1230" s="1"/>
      <c r="D1230" s="1"/>
    </row>
    <row r="1231" spans="1:4" x14ac:dyDescent="0.25">
      <c r="A1231" s="1"/>
      <c r="B1231" s="1"/>
      <c r="C1231" s="1"/>
      <c r="D1231" s="1"/>
    </row>
    <row r="1232" spans="1:4" x14ac:dyDescent="0.25">
      <c r="A1232" s="1"/>
      <c r="B1232" s="1"/>
      <c r="C1232" s="1"/>
      <c r="D1232" s="1"/>
    </row>
    <row r="1233" spans="1:4" x14ac:dyDescent="0.25">
      <c r="A1233" s="1"/>
      <c r="B1233" s="1"/>
      <c r="C1233" s="1"/>
      <c r="D1233" s="1"/>
    </row>
    <row r="1234" spans="1:4" x14ac:dyDescent="0.25">
      <c r="A1234" s="1"/>
      <c r="B1234" s="1"/>
      <c r="C1234" s="1"/>
      <c r="D1234" s="1"/>
    </row>
    <row r="1235" spans="1:4" x14ac:dyDescent="0.25">
      <c r="A1235" s="1"/>
      <c r="B1235" s="1"/>
      <c r="C1235" s="1"/>
      <c r="D1235" s="1"/>
    </row>
    <row r="1236" spans="1:4" x14ac:dyDescent="0.25">
      <c r="A1236" s="1"/>
      <c r="B1236" s="1"/>
      <c r="C1236" s="1"/>
      <c r="D1236" s="1"/>
    </row>
    <row r="1237" spans="1:4" x14ac:dyDescent="0.25">
      <c r="A1237" s="1"/>
      <c r="B1237" s="1"/>
      <c r="C1237" s="1"/>
      <c r="D1237" s="1"/>
    </row>
    <row r="1238" spans="1:4" x14ac:dyDescent="0.25">
      <c r="A1238" s="1"/>
      <c r="B1238" s="1"/>
      <c r="C1238" s="1"/>
      <c r="D1238" s="1"/>
    </row>
    <row r="1239" spans="1:4" x14ac:dyDescent="0.25">
      <c r="A1239" s="1"/>
      <c r="B1239" s="1"/>
      <c r="C1239" s="1"/>
      <c r="D1239" s="1"/>
    </row>
    <row r="1240" spans="1:4" x14ac:dyDescent="0.25">
      <c r="A1240" s="1"/>
      <c r="B1240" s="1"/>
      <c r="C1240" s="1"/>
      <c r="D1240" s="1"/>
    </row>
    <row r="1241" spans="1:4" x14ac:dyDescent="0.25">
      <c r="A1241" s="1"/>
      <c r="B1241" s="1"/>
      <c r="C1241" s="1"/>
      <c r="D1241" s="1"/>
    </row>
    <row r="1242" spans="1:4" x14ac:dyDescent="0.25">
      <c r="A1242" s="1"/>
      <c r="B1242" s="1"/>
      <c r="C1242" s="1"/>
      <c r="D1242" s="1"/>
    </row>
    <row r="1243" spans="1:4" x14ac:dyDescent="0.25">
      <c r="A1243" s="1"/>
      <c r="B1243" s="1"/>
      <c r="C1243" s="1"/>
      <c r="D1243" s="1"/>
    </row>
    <row r="1244" spans="1:4" x14ac:dyDescent="0.25">
      <c r="A1244" s="1"/>
      <c r="B1244" s="1"/>
      <c r="C1244" s="1"/>
      <c r="D1244" s="1"/>
    </row>
    <row r="1245" spans="1:4" x14ac:dyDescent="0.25">
      <c r="A1245" s="1"/>
      <c r="B1245" s="1"/>
      <c r="C1245" s="1"/>
      <c r="D1245" s="1"/>
    </row>
    <row r="1246" spans="1:4" x14ac:dyDescent="0.25">
      <c r="A1246" s="1"/>
      <c r="B1246" s="1"/>
      <c r="C1246" s="1"/>
      <c r="D1246" s="1"/>
    </row>
    <row r="1247" spans="1:4" x14ac:dyDescent="0.25">
      <c r="A1247" s="1"/>
      <c r="B1247" s="1"/>
      <c r="C1247" s="1"/>
      <c r="D1247" s="1"/>
    </row>
    <row r="1248" spans="1:4" x14ac:dyDescent="0.25">
      <c r="A1248" s="1"/>
      <c r="B1248" s="1"/>
      <c r="C1248" s="1"/>
      <c r="D1248" s="1"/>
    </row>
    <row r="1249" spans="1:4" x14ac:dyDescent="0.25">
      <c r="A1249" s="1"/>
      <c r="B1249" s="1"/>
      <c r="C1249" s="1"/>
      <c r="D1249" s="1"/>
    </row>
    <row r="1250" spans="1:4" x14ac:dyDescent="0.25">
      <c r="A1250" s="1"/>
      <c r="B1250" s="1"/>
      <c r="C1250" s="1"/>
      <c r="D1250" s="1"/>
    </row>
    <row r="1251" spans="1:4" x14ac:dyDescent="0.25">
      <c r="A1251" s="1"/>
      <c r="B1251" s="1"/>
      <c r="C1251" s="1"/>
      <c r="D1251" s="1"/>
    </row>
    <row r="1252" spans="1:4" x14ac:dyDescent="0.25">
      <c r="A1252" s="1"/>
      <c r="B1252" s="1"/>
      <c r="C1252" s="1"/>
      <c r="D1252" s="1"/>
    </row>
    <row r="1253" spans="1:4" x14ac:dyDescent="0.25">
      <c r="A1253" s="1"/>
      <c r="B1253" s="1"/>
      <c r="C1253" s="1"/>
      <c r="D1253" s="1"/>
    </row>
    <row r="1254" spans="1:4" x14ac:dyDescent="0.25">
      <c r="A1254" s="1"/>
      <c r="B1254" s="1"/>
      <c r="C1254" s="1"/>
      <c r="D1254" s="1"/>
    </row>
    <row r="1255" spans="1:4" x14ac:dyDescent="0.25">
      <c r="A1255" s="1"/>
      <c r="B1255" s="1"/>
      <c r="C1255" s="1"/>
      <c r="D1255" s="1"/>
    </row>
    <row r="1256" spans="1:4" x14ac:dyDescent="0.25">
      <c r="A1256" s="1"/>
      <c r="B1256" s="1"/>
      <c r="C1256" s="1"/>
      <c r="D1256" s="1"/>
    </row>
    <row r="1257" spans="1:4" x14ac:dyDescent="0.25">
      <c r="A1257" s="1"/>
      <c r="B1257" s="1"/>
      <c r="C1257" s="1"/>
      <c r="D1257" s="1"/>
    </row>
    <row r="1258" spans="1:4" x14ac:dyDescent="0.25">
      <c r="A1258" s="1"/>
      <c r="B1258" s="1"/>
      <c r="C1258" s="1"/>
      <c r="D1258" s="1"/>
    </row>
    <row r="1259" spans="1:4" x14ac:dyDescent="0.25">
      <c r="A1259" s="1"/>
      <c r="B1259" s="1"/>
      <c r="C1259" s="1"/>
      <c r="D1259" s="1"/>
    </row>
    <row r="1260" spans="1:4" x14ac:dyDescent="0.25">
      <c r="A1260" s="1"/>
      <c r="B1260" s="1"/>
      <c r="C1260" s="1"/>
      <c r="D1260" s="1"/>
    </row>
    <row r="1261" spans="1:4" x14ac:dyDescent="0.25">
      <c r="A1261" s="1"/>
      <c r="B1261" s="1"/>
      <c r="C1261" s="1"/>
      <c r="D1261" s="1"/>
    </row>
    <row r="1262" spans="1:4" x14ac:dyDescent="0.25">
      <c r="A1262" s="1"/>
      <c r="B1262" s="1"/>
      <c r="C1262" s="1"/>
      <c r="D1262" s="1"/>
    </row>
    <row r="1263" spans="1:4" x14ac:dyDescent="0.25">
      <c r="A1263" s="1"/>
      <c r="B1263" s="1"/>
      <c r="C1263" s="1"/>
      <c r="D1263" s="1"/>
    </row>
    <row r="1264" spans="1:4" x14ac:dyDescent="0.25">
      <c r="A1264" s="1"/>
      <c r="B1264" s="1"/>
      <c r="C1264" s="1"/>
      <c r="D1264" s="1"/>
    </row>
    <row r="1265" spans="1:4" x14ac:dyDescent="0.25">
      <c r="A1265" s="1"/>
      <c r="B1265" s="1"/>
      <c r="C1265" s="1"/>
      <c r="D1265" s="1"/>
    </row>
    <row r="1266" spans="1:4" x14ac:dyDescent="0.25">
      <c r="A1266" s="1"/>
      <c r="B1266" s="1"/>
      <c r="C1266" s="1"/>
      <c r="D1266" s="1"/>
    </row>
    <row r="1267" spans="1:4" x14ac:dyDescent="0.25">
      <c r="A1267" s="1"/>
      <c r="B1267" s="1"/>
      <c r="C1267" s="1"/>
      <c r="D1267" s="1"/>
    </row>
    <row r="1268" spans="1:4" x14ac:dyDescent="0.25">
      <c r="A1268" s="1"/>
      <c r="B1268" s="1"/>
      <c r="C1268" s="1"/>
      <c r="D1268" s="1"/>
    </row>
    <row r="1269" spans="1:4" x14ac:dyDescent="0.25">
      <c r="A1269" s="1"/>
      <c r="B1269" s="1"/>
      <c r="C1269" s="1"/>
      <c r="D1269" s="1"/>
    </row>
    <row r="1270" spans="1:4" x14ac:dyDescent="0.25">
      <c r="A1270" s="1"/>
      <c r="B1270" s="1"/>
      <c r="C1270" s="1"/>
      <c r="D1270" s="1"/>
    </row>
    <row r="1271" spans="1:4" x14ac:dyDescent="0.25">
      <c r="A1271" s="1"/>
      <c r="B1271" s="1"/>
      <c r="C1271" s="1"/>
      <c r="D1271" s="1"/>
    </row>
    <row r="1272" spans="1:4" x14ac:dyDescent="0.25">
      <c r="A1272" s="1"/>
      <c r="B1272" s="1"/>
      <c r="C1272" s="1"/>
      <c r="D1272" s="1"/>
    </row>
    <row r="1273" spans="1:4" x14ac:dyDescent="0.25">
      <c r="A1273" s="1"/>
      <c r="B1273" s="1"/>
      <c r="C1273" s="1"/>
      <c r="D1273" s="1"/>
    </row>
    <row r="1274" spans="1:4" x14ac:dyDescent="0.25">
      <c r="A1274" s="1"/>
      <c r="B1274" s="1"/>
      <c r="C1274" s="1"/>
      <c r="D1274" s="1"/>
    </row>
    <row r="1275" spans="1:4" x14ac:dyDescent="0.25">
      <c r="A1275" s="1"/>
      <c r="B1275" s="1"/>
      <c r="C1275" s="1"/>
      <c r="D1275" s="1"/>
    </row>
    <row r="1276" spans="1:4" x14ac:dyDescent="0.25">
      <c r="A1276" s="1"/>
      <c r="B1276" s="1"/>
      <c r="C1276" s="1"/>
      <c r="D1276" s="1"/>
    </row>
    <row r="1277" spans="1:4" x14ac:dyDescent="0.25">
      <c r="A1277" s="1"/>
      <c r="B1277" s="1"/>
      <c r="C1277" s="1"/>
      <c r="D1277" s="1"/>
    </row>
    <row r="1278" spans="1:4" x14ac:dyDescent="0.25">
      <c r="A1278" s="1"/>
      <c r="B1278" s="1"/>
      <c r="C1278" s="1"/>
      <c r="D1278" s="1"/>
    </row>
    <row r="1279" spans="1:4" x14ac:dyDescent="0.25">
      <c r="A1279" s="1"/>
      <c r="B1279" s="1"/>
      <c r="C1279" s="1"/>
      <c r="D1279" s="1"/>
    </row>
    <row r="1280" spans="1:4" x14ac:dyDescent="0.25">
      <c r="A1280" s="1"/>
      <c r="B1280" s="1"/>
      <c r="C1280" s="1"/>
      <c r="D1280" s="1"/>
    </row>
    <row r="1281" spans="1:4" x14ac:dyDescent="0.25">
      <c r="A1281" s="1"/>
      <c r="B1281" s="1"/>
      <c r="C1281" s="1"/>
      <c r="D1281" s="1"/>
    </row>
    <row r="1282" spans="1:4" x14ac:dyDescent="0.25">
      <c r="A1282" s="1"/>
      <c r="B1282" s="1"/>
      <c r="C1282" s="1"/>
      <c r="D1282" s="1"/>
    </row>
    <row r="1283" spans="1:4" x14ac:dyDescent="0.25">
      <c r="A1283" s="1"/>
      <c r="B1283" s="1"/>
      <c r="C1283" s="1"/>
      <c r="D1283" s="1"/>
    </row>
    <row r="1284" spans="1:4" x14ac:dyDescent="0.25">
      <c r="A1284" s="1"/>
      <c r="B1284" s="1"/>
      <c r="C1284" s="1"/>
      <c r="D1284" s="1"/>
    </row>
    <row r="1285" spans="1:4" x14ac:dyDescent="0.25">
      <c r="A1285" s="1"/>
      <c r="B1285" s="1"/>
      <c r="C1285" s="1"/>
      <c r="D1285" s="1"/>
    </row>
    <row r="1286" spans="1:4" x14ac:dyDescent="0.25">
      <c r="A1286" s="1"/>
      <c r="B1286" s="1"/>
      <c r="C1286" s="1"/>
      <c r="D1286" s="1"/>
    </row>
    <row r="1287" spans="1:4" x14ac:dyDescent="0.25">
      <c r="A1287" s="1"/>
      <c r="B1287" s="1"/>
      <c r="C1287" s="1"/>
      <c r="D1287" s="1"/>
    </row>
    <row r="1288" spans="1:4" x14ac:dyDescent="0.25">
      <c r="A1288" s="1"/>
      <c r="B1288" s="1"/>
      <c r="C1288" s="1"/>
      <c r="D1288" s="1"/>
    </row>
    <row r="1289" spans="1:4" x14ac:dyDescent="0.25">
      <c r="A1289" s="1"/>
      <c r="B1289" s="1"/>
      <c r="C1289" s="1"/>
      <c r="D1289" s="1"/>
    </row>
    <row r="1290" spans="1:4" x14ac:dyDescent="0.25">
      <c r="A1290" s="1"/>
      <c r="B1290" s="1"/>
      <c r="C1290" s="1"/>
      <c r="D1290" s="1"/>
    </row>
    <row r="1291" spans="1:4" x14ac:dyDescent="0.25">
      <c r="A1291" s="1"/>
      <c r="B1291" s="1"/>
      <c r="C1291" s="1"/>
      <c r="D1291" s="1"/>
    </row>
    <row r="1292" spans="1:4" x14ac:dyDescent="0.25">
      <c r="A1292" s="1"/>
      <c r="B1292" s="1"/>
      <c r="C1292" s="1"/>
      <c r="D1292" s="1"/>
    </row>
    <row r="1293" spans="1:4" x14ac:dyDescent="0.25">
      <c r="A1293" s="1"/>
      <c r="B1293" s="1"/>
      <c r="C1293" s="1"/>
      <c r="D1293" s="1"/>
    </row>
    <row r="1294" spans="1:4" x14ac:dyDescent="0.25">
      <c r="A1294" s="1"/>
      <c r="B1294" s="1"/>
      <c r="C1294" s="1"/>
      <c r="D1294" s="1"/>
    </row>
    <row r="1295" spans="1:4" x14ac:dyDescent="0.25">
      <c r="A1295" s="1"/>
      <c r="B1295" s="1"/>
      <c r="C1295" s="1"/>
      <c r="D1295" s="1"/>
    </row>
    <row r="1296" spans="1:4" x14ac:dyDescent="0.25">
      <c r="A1296" s="1"/>
      <c r="B1296" s="1"/>
      <c r="C1296" s="1"/>
      <c r="D1296" s="1"/>
    </row>
    <row r="1297" spans="1:4" x14ac:dyDescent="0.25">
      <c r="A1297" s="1"/>
      <c r="B1297" s="1"/>
      <c r="C1297" s="1"/>
      <c r="D1297" s="1"/>
    </row>
    <row r="1298" spans="1:4" x14ac:dyDescent="0.25">
      <c r="A1298" s="1"/>
      <c r="B1298" s="1"/>
      <c r="C1298" s="1"/>
      <c r="D1298" s="1"/>
    </row>
    <row r="1299" spans="1:4" x14ac:dyDescent="0.25">
      <c r="A1299" s="1"/>
      <c r="B1299" s="1"/>
      <c r="C1299" s="1"/>
      <c r="D1299" s="1"/>
    </row>
    <row r="1300" spans="1:4" x14ac:dyDescent="0.25">
      <c r="A1300" s="1"/>
      <c r="B1300" s="1"/>
      <c r="C1300" s="1"/>
      <c r="D1300" s="1"/>
    </row>
    <row r="1301" spans="1:4" x14ac:dyDescent="0.25">
      <c r="A1301" s="1"/>
      <c r="B1301" s="1"/>
      <c r="C1301" s="1"/>
      <c r="D1301" s="1"/>
    </row>
    <row r="1302" spans="1:4" x14ac:dyDescent="0.25">
      <c r="A1302" s="1"/>
      <c r="B1302" s="1"/>
      <c r="C1302" s="1"/>
      <c r="D1302" s="1"/>
    </row>
    <row r="1303" spans="1:4" x14ac:dyDescent="0.25">
      <c r="A1303" s="1"/>
      <c r="B1303" s="1"/>
      <c r="C1303" s="1"/>
      <c r="D1303" s="1"/>
    </row>
    <row r="1304" spans="1:4" x14ac:dyDescent="0.25">
      <c r="A1304" s="1"/>
      <c r="B1304" s="1"/>
      <c r="C1304" s="1"/>
      <c r="D1304" s="1"/>
    </row>
    <row r="1305" spans="1:4" x14ac:dyDescent="0.25">
      <c r="A1305" s="1"/>
      <c r="B1305" s="1"/>
      <c r="C1305" s="1"/>
      <c r="D1305" s="1"/>
    </row>
    <row r="1306" spans="1:4" x14ac:dyDescent="0.25">
      <c r="A1306" s="1"/>
      <c r="B1306" s="1"/>
      <c r="C1306" s="1"/>
      <c r="D1306" s="1"/>
    </row>
    <row r="1307" spans="1:4" x14ac:dyDescent="0.25">
      <c r="A1307" s="1"/>
      <c r="B1307" s="1"/>
      <c r="C1307" s="1"/>
      <c r="D1307" s="1"/>
    </row>
    <row r="1308" spans="1:4" x14ac:dyDescent="0.25">
      <c r="A1308" s="1"/>
      <c r="B1308" s="1"/>
      <c r="C1308" s="1"/>
      <c r="D1308" s="1"/>
    </row>
    <row r="1309" spans="1:4" x14ac:dyDescent="0.25">
      <c r="A1309" s="1"/>
      <c r="B1309" s="1"/>
      <c r="C1309" s="1"/>
      <c r="D1309" s="1"/>
    </row>
    <row r="1310" spans="1:4" x14ac:dyDescent="0.25">
      <c r="A1310" s="1"/>
      <c r="B1310" s="1"/>
      <c r="C1310" s="1"/>
      <c r="D1310" s="1"/>
    </row>
    <row r="1311" spans="1:4" x14ac:dyDescent="0.25">
      <c r="A1311" s="1"/>
      <c r="B1311" s="1"/>
      <c r="C1311" s="1"/>
      <c r="D1311" s="1"/>
    </row>
    <row r="1312" spans="1:4" x14ac:dyDescent="0.25">
      <c r="A1312" s="1"/>
      <c r="B1312" s="1"/>
      <c r="C1312" s="1"/>
      <c r="D1312" s="1"/>
    </row>
    <row r="1313" spans="1:4" x14ac:dyDescent="0.25">
      <c r="A1313" s="1"/>
      <c r="B1313" s="1"/>
      <c r="C1313" s="1"/>
      <c r="D1313" s="1"/>
    </row>
    <row r="1314" spans="1:4" x14ac:dyDescent="0.25">
      <c r="A1314" s="1"/>
      <c r="B1314" s="1"/>
      <c r="C1314" s="1"/>
      <c r="D1314" s="1"/>
    </row>
    <row r="1315" spans="1:4" x14ac:dyDescent="0.25">
      <c r="A1315" s="1"/>
      <c r="B1315" s="1"/>
      <c r="C1315" s="1"/>
      <c r="D1315" s="1"/>
    </row>
    <row r="1316" spans="1:4" x14ac:dyDescent="0.25">
      <c r="A1316" s="1"/>
      <c r="B1316" s="1"/>
      <c r="C1316" s="1"/>
      <c r="D1316" s="1"/>
    </row>
    <row r="1317" spans="1:4" x14ac:dyDescent="0.25">
      <c r="A1317" s="1"/>
      <c r="B1317" s="1"/>
      <c r="C1317" s="1"/>
      <c r="D1317" s="1"/>
    </row>
    <row r="1318" spans="1:4" x14ac:dyDescent="0.25">
      <c r="A1318" s="1"/>
      <c r="B1318" s="1"/>
      <c r="C1318" s="1"/>
      <c r="D1318" s="1"/>
    </row>
    <row r="1319" spans="1:4" x14ac:dyDescent="0.25">
      <c r="A1319" s="1"/>
      <c r="B1319" s="1"/>
      <c r="C1319" s="1"/>
      <c r="D1319" s="1"/>
    </row>
    <row r="1320" spans="1:4" x14ac:dyDescent="0.25">
      <c r="A1320" s="1"/>
      <c r="B1320" s="1"/>
      <c r="C1320" s="1"/>
      <c r="D1320" s="1"/>
    </row>
    <row r="1321" spans="1:4" x14ac:dyDescent="0.25">
      <c r="A1321" s="1"/>
      <c r="B1321" s="1"/>
      <c r="C1321" s="1"/>
      <c r="D1321" s="1"/>
    </row>
    <row r="1322" spans="1:4" x14ac:dyDescent="0.25">
      <c r="A1322" s="1"/>
      <c r="B1322" s="1"/>
      <c r="C1322" s="1"/>
      <c r="D1322" s="1"/>
    </row>
    <row r="1323" spans="1:4" x14ac:dyDescent="0.25">
      <c r="A1323" s="1"/>
      <c r="B1323" s="1"/>
      <c r="C1323" s="1"/>
      <c r="D1323" s="1"/>
    </row>
    <row r="1324" spans="1:4" x14ac:dyDescent="0.25">
      <c r="A1324" s="1"/>
      <c r="B1324" s="1"/>
      <c r="C1324" s="1"/>
      <c r="D1324" s="1"/>
    </row>
    <row r="1325" spans="1:4" x14ac:dyDescent="0.25">
      <c r="A1325" s="1"/>
      <c r="B1325" s="1"/>
      <c r="C1325" s="1"/>
      <c r="D1325" s="1"/>
    </row>
    <row r="1326" spans="1:4" x14ac:dyDescent="0.25">
      <c r="A1326" s="1"/>
      <c r="B1326" s="1"/>
      <c r="C1326" s="1"/>
      <c r="D1326" s="1"/>
    </row>
    <row r="1327" spans="1:4" x14ac:dyDescent="0.25">
      <c r="A1327" s="1"/>
      <c r="B1327" s="1"/>
      <c r="C1327" s="1"/>
      <c r="D1327" s="1"/>
    </row>
    <row r="1328" spans="1:4" x14ac:dyDescent="0.25">
      <c r="A1328" s="1"/>
      <c r="B1328" s="1"/>
      <c r="C1328" s="1"/>
      <c r="D1328" s="1"/>
    </row>
    <row r="1329" spans="1:4" x14ac:dyDescent="0.25">
      <c r="A1329" s="1"/>
      <c r="B1329" s="1"/>
      <c r="C1329" s="1"/>
      <c r="D1329" s="1"/>
    </row>
    <row r="1330" spans="1:4" x14ac:dyDescent="0.25">
      <c r="A1330" s="1"/>
      <c r="B1330" s="1"/>
      <c r="C1330" s="1"/>
      <c r="D1330" s="1"/>
    </row>
    <row r="1331" spans="1:4" x14ac:dyDescent="0.25">
      <c r="A1331" s="1"/>
      <c r="B1331" s="1"/>
      <c r="C1331" s="1"/>
      <c r="D1331" s="1"/>
    </row>
    <row r="1332" spans="1:4" x14ac:dyDescent="0.25">
      <c r="A1332" s="1"/>
      <c r="B1332" s="1"/>
      <c r="C1332" s="1"/>
      <c r="D1332" s="1"/>
    </row>
    <row r="1333" spans="1:4" x14ac:dyDescent="0.25">
      <c r="A1333" s="1"/>
      <c r="B1333" s="1"/>
      <c r="C1333" s="1"/>
      <c r="D1333" s="1"/>
    </row>
    <row r="1334" spans="1:4" x14ac:dyDescent="0.25">
      <c r="A1334" s="1"/>
      <c r="B1334" s="1"/>
      <c r="C1334" s="1"/>
      <c r="D1334" s="1"/>
    </row>
    <row r="1335" spans="1:4" x14ac:dyDescent="0.25">
      <c r="A1335" s="1"/>
      <c r="B1335" s="1"/>
      <c r="C1335" s="1"/>
      <c r="D1335" s="1"/>
    </row>
    <row r="1336" spans="1:4" x14ac:dyDescent="0.25">
      <c r="A1336" s="1"/>
      <c r="B1336" s="1"/>
      <c r="C1336" s="1"/>
      <c r="D1336" s="1"/>
    </row>
    <row r="1337" spans="1:4" x14ac:dyDescent="0.25">
      <c r="A1337" s="1"/>
      <c r="B1337" s="1"/>
      <c r="C1337" s="1"/>
      <c r="D1337" s="1"/>
    </row>
    <row r="1338" spans="1:4" x14ac:dyDescent="0.25">
      <c r="A1338" s="1"/>
      <c r="B1338" s="1"/>
      <c r="C1338" s="1"/>
      <c r="D1338" s="1"/>
    </row>
    <row r="1339" spans="1:4" x14ac:dyDescent="0.25">
      <c r="A1339" s="1"/>
      <c r="B1339" s="1"/>
      <c r="C1339" s="1"/>
      <c r="D1339" s="1"/>
    </row>
    <row r="1340" spans="1:4" x14ac:dyDescent="0.25">
      <c r="A1340" s="1"/>
      <c r="B1340" s="1"/>
      <c r="C1340" s="1"/>
      <c r="D1340" s="1"/>
    </row>
    <row r="1341" spans="1:4" x14ac:dyDescent="0.25">
      <c r="A1341" s="1"/>
      <c r="B1341" s="1"/>
      <c r="C1341" s="1"/>
      <c r="D1341" s="1"/>
    </row>
    <row r="1342" spans="1:4" x14ac:dyDescent="0.25">
      <c r="A1342" s="1"/>
      <c r="B1342" s="1"/>
      <c r="C1342" s="1"/>
      <c r="D1342" s="1"/>
    </row>
    <row r="1343" spans="1:4" x14ac:dyDescent="0.25">
      <c r="A1343" s="1"/>
      <c r="B1343" s="1"/>
      <c r="C1343" s="1"/>
      <c r="D1343" s="1"/>
    </row>
    <row r="1344" spans="1:4" x14ac:dyDescent="0.25">
      <c r="A1344" s="1"/>
      <c r="B1344" s="1"/>
      <c r="C1344" s="1"/>
      <c r="D1344" s="1"/>
    </row>
    <row r="1345" spans="1:4" x14ac:dyDescent="0.25">
      <c r="A1345" s="1"/>
      <c r="B1345" s="1"/>
      <c r="C1345" s="1"/>
      <c r="D1345" s="1"/>
    </row>
    <row r="1346" spans="1:4" x14ac:dyDescent="0.25">
      <c r="A1346" s="1"/>
      <c r="B1346" s="1"/>
      <c r="C1346" s="1"/>
      <c r="D1346" s="1"/>
    </row>
    <row r="1347" spans="1:4" x14ac:dyDescent="0.25">
      <c r="A1347" s="1"/>
      <c r="B1347" s="1"/>
      <c r="C1347" s="1"/>
      <c r="D1347" s="1"/>
    </row>
    <row r="1348" spans="1:4" x14ac:dyDescent="0.25">
      <c r="A1348" s="1"/>
      <c r="B1348" s="1"/>
      <c r="C1348" s="1"/>
      <c r="D1348" s="1"/>
    </row>
    <row r="1349" spans="1:4" x14ac:dyDescent="0.25">
      <c r="A1349" s="1"/>
      <c r="B1349" s="1"/>
      <c r="C1349" s="1"/>
      <c r="D1349" s="1"/>
    </row>
    <row r="1350" spans="1:4" x14ac:dyDescent="0.25">
      <c r="A1350" s="1"/>
      <c r="B1350" s="1"/>
      <c r="C1350" s="1"/>
      <c r="D1350" s="1"/>
    </row>
    <row r="1351" spans="1:4" x14ac:dyDescent="0.25">
      <c r="A1351" s="1"/>
      <c r="B1351" s="1"/>
      <c r="C1351" s="1"/>
      <c r="D1351" s="1"/>
    </row>
    <row r="1352" spans="1:4" x14ac:dyDescent="0.25">
      <c r="A1352" s="1"/>
      <c r="B1352" s="1"/>
      <c r="C1352" s="1"/>
      <c r="D1352" s="1"/>
    </row>
    <row r="1353" spans="1:4" x14ac:dyDescent="0.25">
      <c r="A1353" s="1"/>
      <c r="B1353" s="1"/>
      <c r="C1353" s="1"/>
      <c r="D1353" s="1"/>
    </row>
    <row r="1354" spans="1:4" x14ac:dyDescent="0.25">
      <c r="A1354" s="1"/>
      <c r="B1354" s="1"/>
      <c r="C1354" s="1"/>
      <c r="D1354" s="1"/>
    </row>
    <row r="1355" spans="1:4" x14ac:dyDescent="0.25">
      <c r="A1355" s="1"/>
      <c r="B1355" s="1"/>
      <c r="C1355" s="1"/>
      <c r="D1355" s="1"/>
    </row>
    <row r="1356" spans="1:4" x14ac:dyDescent="0.25">
      <c r="A1356" s="1"/>
      <c r="B1356" s="1"/>
      <c r="C1356" s="1"/>
      <c r="D1356" s="1"/>
    </row>
    <row r="1357" spans="1:4" x14ac:dyDescent="0.25">
      <c r="A1357" s="1"/>
      <c r="B1357" s="1"/>
      <c r="C1357" s="1"/>
      <c r="D1357" s="1"/>
    </row>
    <row r="1358" spans="1:4" x14ac:dyDescent="0.25">
      <c r="A1358" s="1"/>
      <c r="B1358" s="1"/>
      <c r="C1358" s="1"/>
      <c r="D1358" s="1"/>
    </row>
    <row r="1359" spans="1:4" x14ac:dyDescent="0.25">
      <c r="A1359" s="1"/>
      <c r="B1359" s="1"/>
      <c r="C1359" s="1"/>
      <c r="D1359" s="1"/>
    </row>
    <row r="1360" spans="1:4" x14ac:dyDescent="0.25">
      <c r="A1360" s="1"/>
      <c r="B1360" s="1"/>
      <c r="C1360" s="1"/>
      <c r="D1360" s="1"/>
    </row>
    <row r="1361" spans="1:4" x14ac:dyDescent="0.25">
      <c r="A1361" s="1"/>
      <c r="B1361" s="1"/>
      <c r="C1361" s="1"/>
      <c r="D1361" s="1"/>
    </row>
    <row r="1362" spans="1:4" x14ac:dyDescent="0.25">
      <c r="A1362" s="1"/>
      <c r="B1362" s="1"/>
      <c r="C1362" s="1"/>
      <c r="D1362" s="1"/>
    </row>
    <row r="1363" spans="1:4" x14ac:dyDescent="0.25">
      <c r="A1363" s="1"/>
      <c r="B1363" s="1"/>
      <c r="C1363" s="1"/>
      <c r="D1363" s="1"/>
    </row>
    <row r="1364" spans="1:4" x14ac:dyDescent="0.25">
      <c r="A1364" s="1"/>
      <c r="B1364" s="1"/>
      <c r="C1364" s="1"/>
      <c r="D1364" s="1"/>
    </row>
    <row r="1365" spans="1:4" x14ac:dyDescent="0.25">
      <c r="A1365" s="1"/>
      <c r="B1365" s="1"/>
      <c r="C1365" s="1"/>
      <c r="D1365" s="1"/>
    </row>
    <row r="1366" spans="1:4" x14ac:dyDescent="0.25">
      <c r="A1366" s="1"/>
      <c r="B1366" s="1"/>
      <c r="C1366" s="1"/>
      <c r="D1366" s="1"/>
    </row>
    <row r="1367" spans="1:4" x14ac:dyDescent="0.25">
      <c r="A1367" s="1"/>
      <c r="B1367" s="1"/>
      <c r="C1367" s="1"/>
      <c r="D1367" s="1"/>
    </row>
    <row r="1368" spans="1:4" x14ac:dyDescent="0.25">
      <c r="A1368" s="1"/>
      <c r="B1368" s="1"/>
      <c r="C1368" s="1"/>
      <c r="D1368" s="1"/>
    </row>
    <row r="1369" spans="1:4" x14ac:dyDescent="0.25">
      <c r="A1369" s="1"/>
      <c r="B1369" s="1"/>
      <c r="C1369" s="1"/>
      <c r="D1369" s="1"/>
    </row>
    <row r="1370" spans="1:4" x14ac:dyDescent="0.25">
      <c r="A1370" s="1"/>
      <c r="B1370" s="1"/>
      <c r="C1370" s="1"/>
      <c r="D1370" s="1"/>
    </row>
    <row r="1371" spans="1:4" x14ac:dyDescent="0.25">
      <c r="A1371" s="1"/>
      <c r="B1371" s="1"/>
      <c r="C1371" s="1"/>
      <c r="D1371" s="1"/>
    </row>
    <row r="1372" spans="1:4" x14ac:dyDescent="0.25">
      <c r="A1372" s="1"/>
      <c r="B1372" s="1"/>
      <c r="C1372" s="1"/>
      <c r="D1372" s="1"/>
    </row>
    <row r="1373" spans="1:4" x14ac:dyDescent="0.25">
      <c r="A1373" s="1"/>
      <c r="B1373" s="1"/>
      <c r="C1373" s="1"/>
      <c r="D1373" s="1"/>
    </row>
    <row r="1374" spans="1:4" x14ac:dyDescent="0.25">
      <c r="A1374" s="1"/>
      <c r="B1374" s="1"/>
      <c r="C1374" s="1"/>
      <c r="D1374" s="1"/>
    </row>
    <row r="1375" spans="1:4" x14ac:dyDescent="0.25">
      <c r="A1375" s="1"/>
      <c r="B1375" s="1"/>
      <c r="C1375" s="1"/>
      <c r="D1375" s="1"/>
    </row>
    <row r="1376" spans="1:4" x14ac:dyDescent="0.25">
      <c r="A1376" s="1"/>
      <c r="B1376" s="1"/>
      <c r="C1376" s="1"/>
      <c r="D1376" s="1"/>
    </row>
    <row r="1377" spans="1:4" x14ac:dyDescent="0.25">
      <c r="A1377" s="1"/>
      <c r="B1377" s="1"/>
      <c r="C1377" s="1"/>
      <c r="D1377" s="1"/>
    </row>
    <row r="1378" spans="1:4" x14ac:dyDescent="0.25">
      <c r="A1378" s="1"/>
      <c r="B1378" s="1"/>
      <c r="C1378" s="1"/>
      <c r="D1378" s="1"/>
    </row>
    <row r="1379" spans="1:4" x14ac:dyDescent="0.25">
      <c r="A1379" s="1"/>
      <c r="B1379" s="1"/>
      <c r="C1379" s="1"/>
      <c r="D1379" s="1"/>
    </row>
    <row r="1380" spans="1:4" x14ac:dyDescent="0.25">
      <c r="A1380" s="1"/>
      <c r="B1380" s="1"/>
      <c r="C1380" s="1"/>
      <c r="D1380" s="1"/>
    </row>
    <row r="1381" spans="1:4" x14ac:dyDescent="0.25">
      <c r="A1381" s="1"/>
      <c r="B1381" s="1"/>
      <c r="C1381" s="1"/>
      <c r="D1381" s="1"/>
    </row>
    <row r="1382" spans="1:4" x14ac:dyDescent="0.25">
      <c r="A1382" s="1"/>
      <c r="B1382" s="1"/>
      <c r="C1382" s="1"/>
      <c r="D1382" s="1"/>
    </row>
    <row r="1383" spans="1:4" x14ac:dyDescent="0.25">
      <c r="A1383" s="1"/>
      <c r="B1383" s="1"/>
      <c r="C1383" s="1"/>
      <c r="D1383" s="1"/>
    </row>
    <row r="1384" spans="1:4" x14ac:dyDescent="0.25">
      <c r="A1384" s="1"/>
      <c r="B1384" s="1"/>
      <c r="C1384" s="1"/>
      <c r="D1384" s="1"/>
    </row>
    <row r="1385" spans="1:4" x14ac:dyDescent="0.25">
      <c r="A1385" s="1"/>
      <c r="B1385" s="1"/>
      <c r="C1385" s="1"/>
      <c r="D1385" s="1"/>
    </row>
    <row r="1386" spans="1:4" x14ac:dyDescent="0.25">
      <c r="A1386" s="1"/>
      <c r="B1386" s="1"/>
      <c r="C1386" s="1"/>
      <c r="D1386" s="1"/>
    </row>
    <row r="1387" spans="1:4" x14ac:dyDescent="0.25">
      <c r="A1387" s="1"/>
      <c r="B1387" s="1"/>
      <c r="C1387" s="1"/>
      <c r="D1387" s="1"/>
    </row>
    <row r="1388" spans="1:4" x14ac:dyDescent="0.25">
      <c r="A1388" s="1"/>
      <c r="B1388" s="1"/>
      <c r="C1388" s="1"/>
      <c r="D1388" s="1"/>
    </row>
    <row r="1389" spans="1:4" x14ac:dyDescent="0.25">
      <c r="A1389" s="1"/>
      <c r="B1389" s="1"/>
      <c r="C1389" s="1"/>
      <c r="D1389" s="1"/>
    </row>
    <row r="1390" spans="1:4" x14ac:dyDescent="0.25">
      <c r="A1390" s="1"/>
      <c r="B1390" s="1"/>
      <c r="C1390" s="1"/>
      <c r="D1390" s="1"/>
    </row>
    <row r="1391" spans="1:4" x14ac:dyDescent="0.25">
      <c r="A1391" s="1"/>
      <c r="B1391" s="1"/>
      <c r="C1391" s="1"/>
      <c r="D1391" s="1"/>
    </row>
    <row r="1392" spans="1:4" x14ac:dyDescent="0.25">
      <c r="A1392" s="1"/>
      <c r="B1392" s="1"/>
      <c r="C1392" s="1"/>
      <c r="D1392" s="1"/>
    </row>
    <row r="1393" spans="1:4" x14ac:dyDescent="0.25">
      <c r="A1393" s="1"/>
      <c r="B1393" s="1"/>
      <c r="C1393" s="1"/>
      <c r="D1393" s="1"/>
    </row>
    <row r="1394" spans="1:4" x14ac:dyDescent="0.25">
      <c r="A1394" s="1"/>
      <c r="B1394" s="1"/>
      <c r="C1394" s="1"/>
      <c r="D1394" s="1"/>
    </row>
    <row r="1395" spans="1:4" x14ac:dyDescent="0.25">
      <c r="A1395" s="1"/>
      <c r="B1395" s="1"/>
      <c r="C1395" s="1"/>
      <c r="D1395" s="1"/>
    </row>
    <row r="1396" spans="1:4" x14ac:dyDescent="0.25">
      <c r="A1396" s="1"/>
      <c r="B1396" s="1"/>
      <c r="C1396" s="1"/>
      <c r="D1396" s="1"/>
    </row>
    <row r="1397" spans="1:4" x14ac:dyDescent="0.25">
      <c r="A1397" s="1"/>
      <c r="B1397" s="1"/>
      <c r="C1397" s="1"/>
      <c r="D1397" s="1"/>
    </row>
    <row r="1398" spans="1:4" x14ac:dyDescent="0.25">
      <c r="A1398" s="1"/>
      <c r="B1398" s="1"/>
      <c r="C1398" s="1"/>
      <c r="D1398" s="1"/>
    </row>
    <row r="1399" spans="1:4" x14ac:dyDescent="0.25">
      <c r="A1399" s="1"/>
      <c r="B1399" s="1"/>
      <c r="C1399" s="1"/>
      <c r="D1399" s="1"/>
    </row>
    <row r="1400" spans="1:4" x14ac:dyDescent="0.25">
      <c r="A1400" s="1"/>
      <c r="B1400" s="1"/>
      <c r="C1400" s="1"/>
      <c r="D1400" s="1"/>
    </row>
    <row r="1401" spans="1:4" x14ac:dyDescent="0.25">
      <c r="A1401" s="1"/>
      <c r="B1401" s="1"/>
      <c r="C1401" s="1"/>
      <c r="D1401" s="1"/>
    </row>
    <row r="1402" spans="1:4" x14ac:dyDescent="0.25">
      <c r="A1402" s="1"/>
      <c r="B1402" s="1"/>
      <c r="C1402" s="1"/>
      <c r="D1402" s="1"/>
    </row>
    <row r="1403" spans="1:4" x14ac:dyDescent="0.25">
      <c r="A1403" s="1"/>
      <c r="B1403" s="1"/>
      <c r="C1403" s="1"/>
      <c r="D1403" s="1"/>
    </row>
    <row r="1404" spans="1:4" x14ac:dyDescent="0.25">
      <c r="A1404" s="1"/>
      <c r="B1404" s="1"/>
      <c r="C1404" s="1"/>
      <c r="D1404" s="1"/>
    </row>
    <row r="1405" spans="1:4" x14ac:dyDescent="0.25">
      <c r="A1405" s="1"/>
      <c r="B1405" s="1"/>
      <c r="C1405" s="1"/>
      <c r="D1405" s="1"/>
    </row>
    <row r="1406" spans="1:4" x14ac:dyDescent="0.25">
      <c r="A1406" s="1"/>
      <c r="B1406" s="1"/>
      <c r="C1406" s="1"/>
      <c r="D1406" s="1"/>
    </row>
    <row r="1407" spans="1:4" x14ac:dyDescent="0.25">
      <c r="A1407" s="1"/>
      <c r="B1407" s="1"/>
      <c r="C1407" s="1"/>
      <c r="D1407" s="1"/>
    </row>
    <row r="1408" spans="1:4" x14ac:dyDescent="0.25">
      <c r="A1408" s="1"/>
      <c r="B1408" s="1"/>
      <c r="C1408" s="1"/>
      <c r="D1408" s="1"/>
    </row>
    <row r="1409" spans="1:4" x14ac:dyDescent="0.25">
      <c r="A1409" s="1"/>
      <c r="B1409" s="1"/>
      <c r="C1409" s="1"/>
      <c r="D1409" s="1"/>
    </row>
    <row r="1410" spans="1:4" x14ac:dyDescent="0.25">
      <c r="A1410" s="1"/>
      <c r="B1410" s="1"/>
      <c r="C1410" s="1"/>
      <c r="D1410" s="1"/>
    </row>
    <row r="1411" spans="1:4" x14ac:dyDescent="0.25">
      <c r="A1411" s="1"/>
      <c r="B1411" s="1"/>
      <c r="C1411" s="1"/>
      <c r="D1411" s="1"/>
    </row>
    <row r="1412" spans="1:4" x14ac:dyDescent="0.25">
      <c r="A1412" s="1"/>
      <c r="B1412" s="1"/>
      <c r="C1412" s="1"/>
      <c r="D1412" s="1"/>
    </row>
    <row r="1413" spans="1:4" x14ac:dyDescent="0.25">
      <c r="A1413" s="1"/>
      <c r="B1413" s="1"/>
      <c r="C1413" s="1"/>
      <c r="D1413" s="1"/>
    </row>
    <row r="1414" spans="1:4" x14ac:dyDescent="0.25">
      <c r="A1414" s="1"/>
      <c r="B1414" s="1"/>
      <c r="C1414" s="1"/>
      <c r="D1414" s="1"/>
    </row>
    <row r="1415" spans="1:4" x14ac:dyDescent="0.25">
      <c r="A1415" s="1"/>
      <c r="B1415" s="1"/>
      <c r="C1415" s="1"/>
      <c r="D1415" s="1"/>
    </row>
    <row r="1416" spans="1:4" x14ac:dyDescent="0.25">
      <c r="A1416" s="1"/>
      <c r="B1416" s="1"/>
      <c r="C1416" s="1"/>
      <c r="D1416" s="1"/>
    </row>
    <row r="1417" spans="1:4" x14ac:dyDescent="0.25">
      <c r="A1417" s="1"/>
      <c r="B1417" s="1"/>
      <c r="C1417" s="1"/>
      <c r="D1417" s="1"/>
    </row>
    <row r="1418" spans="1:4" x14ac:dyDescent="0.25">
      <c r="A1418" s="1"/>
      <c r="B1418" s="1"/>
      <c r="C1418" s="1"/>
      <c r="D1418" s="1"/>
    </row>
    <row r="1419" spans="1:4" x14ac:dyDescent="0.25">
      <c r="A1419" s="1"/>
      <c r="B1419" s="1"/>
      <c r="C1419" s="1"/>
      <c r="D1419" s="1"/>
    </row>
    <row r="1420" spans="1:4" x14ac:dyDescent="0.25">
      <c r="A1420" s="1"/>
      <c r="B1420" s="1"/>
      <c r="C1420" s="1"/>
      <c r="D1420" s="1"/>
    </row>
    <row r="1421" spans="1:4" x14ac:dyDescent="0.25">
      <c r="A1421" s="1"/>
      <c r="B1421" s="1"/>
      <c r="C1421" s="1"/>
      <c r="D1421" s="1"/>
    </row>
    <row r="1422" spans="1:4" x14ac:dyDescent="0.25">
      <c r="A1422" s="1"/>
      <c r="B1422" s="1"/>
      <c r="C1422" s="1"/>
      <c r="D1422" s="1"/>
    </row>
    <row r="1423" spans="1:4" x14ac:dyDescent="0.25">
      <c r="A1423" s="1"/>
      <c r="B1423" s="1"/>
      <c r="C1423" s="1"/>
      <c r="D1423" s="1"/>
    </row>
    <row r="1424" spans="1:4" x14ac:dyDescent="0.25">
      <c r="A1424" s="1"/>
      <c r="B1424" s="1"/>
      <c r="C1424" s="1"/>
      <c r="D1424" s="1"/>
    </row>
    <row r="1425" spans="1:4" x14ac:dyDescent="0.25">
      <c r="A1425" s="1"/>
      <c r="B1425" s="1"/>
      <c r="C1425" s="1"/>
      <c r="D1425" s="1"/>
    </row>
    <row r="1426" spans="1:4" x14ac:dyDescent="0.25">
      <c r="A1426" s="1"/>
      <c r="B1426" s="1"/>
      <c r="C1426" s="1"/>
      <c r="D1426" s="1"/>
    </row>
    <row r="1427" spans="1:4" x14ac:dyDescent="0.25">
      <c r="A1427" s="1"/>
      <c r="B1427" s="1"/>
      <c r="C1427" s="1"/>
      <c r="D1427" s="1"/>
    </row>
    <row r="1428" spans="1:4" x14ac:dyDescent="0.25">
      <c r="A1428" s="1"/>
      <c r="B1428" s="1"/>
      <c r="C1428" s="1"/>
      <c r="D1428" s="1"/>
    </row>
    <row r="1429" spans="1:4" x14ac:dyDescent="0.25">
      <c r="A1429" s="1"/>
      <c r="B1429" s="1"/>
      <c r="C1429" s="1"/>
      <c r="D1429" s="1"/>
    </row>
    <row r="1430" spans="1:4" x14ac:dyDescent="0.25">
      <c r="A1430" s="1"/>
      <c r="B1430" s="1"/>
      <c r="C1430" s="1"/>
      <c r="D1430" s="1"/>
    </row>
    <row r="1431" spans="1:4" x14ac:dyDescent="0.25">
      <c r="A1431" s="1"/>
      <c r="B1431" s="1"/>
      <c r="C1431" s="1"/>
      <c r="D1431" s="1"/>
    </row>
    <row r="1432" spans="1:4" x14ac:dyDescent="0.25">
      <c r="A1432" s="1"/>
      <c r="B1432" s="1"/>
      <c r="C1432" s="1"/>
      <c r="D1432" s="1"/>
    </row>
    <row r="1433" spans="1:4" x14ac:dyDescent="0.25">
      <c r="A1433" s="1"/>
      <c r="B1433" s="1"/>
      <c r="C1433" s="1"/>
      <c r="D1433" s="1"/>
    </row>
    <row r="1434" spans="1:4" x14ac:dyDescent="0.25">
      <c r="A1434" s="1"/>
      <c r="B1434" s="1"/>
      <c r="C1434" s="1"/>
      <c r="D1434" s="1"/>
    </row>
    <row r="1435" spans="1:4" x14ac:dyDescent="0.25">
      <c r="A1435" s="1"/>
      <c r="B1435" s="1"/>
      <c r="C1435" s="1"/>
      <c r="D1435" s="1"/>
    </row>
    <row r="1436" spans="1:4" x14ac:dyDescent="0.25">
      <c r="A1436" s="1"/>
      <c r="B1436" s="1"/>
      <c r="C1436" s="1"/>
      <c r="D1436" s="1"/>
    </row>
    <row r="1437" spans="1:4" x14ac:dyDescent="0.25">
      <c r="A1437" s="1"/>
      <c r="B1437" s="1"/>
      <c r="C1437" s="1"/>
      <c r="D1437" s="1"/>
    </row>
    <row r="1438" spans="1:4" x14ac:dyDescent="0.25">
      <c r="A1438" s="1"/>
      <c r="B1438" s="1"/>
      <c r="C1438" s="1"/>
      <c r="D1438" s="1"/>
    </row>
    <row r="1439" spans="1:4" x14ac:dyDescent="0.25">
      <c r="A1439" s="1"/>
      <c r="B1439" s="1"/>
      <c r="C1439" s="1"/>
      <c r="D1439" s="1"/>
    </row>
    <row r="1440" spans="1:4" x14ac:dyDescent="0.25">
      <c r="A1440" s="1"/>
      <c r="B1440" s="1"/>
      <c r="C1440" s="1"/>
      <c r="D1440" s="1"/>
    </row>
    <row r="1441" spans="1:4" x14ac:dyDescent="0.25">
      <c r="A1441" s="1"/>
      <c r="B1441" s="1"/>
      <c r="C1441" s="1"/>
      <c r="D1441" s="1"/>
    </row>
    <row r="1442" spans="1:4" x14ac:dyDescent="0.25">
      <c r="A1442" s="1"/>
      <c r="B1442" s="1"/>
      <c r="C1442" s="1"/>
      <c r="D1442" s="1"/>
    </row>
    <row r="1443" spans="1:4" x14ac:dyDescent="0.25">
      <c r="A1443" s="1"/>
      <c r="B1443" s="1"/>
      <c r="C1443" s="1"/>
      <c r="D1443" s="1"/>
    </row>
    <row r="1444" spans="1:4" x14ac:dyDescent="0.25">
      <c r="A1444" s="1"/>
      <c r="B1444" s="1"/>
      <c r="C1444" s="1"/>
      <c r="D1444" s="1"/>
    </row>
    <row r="1445" spans="1:4" x14ac:dyDescent="0.25">
      <c r="A1445" s="1"/>
      <c r="B1445" s="1"/>
      <c r="C1445" s="1"/>
      <c r="D1445" s="1"/>
    </row>
    <row r="1446" spans="1:4" x14ac:dyDescent="0.25">
      <c r="A1446" s="1"/>
      <c r="B1446" s="1"/>
      <c r="C1446" s="1"/>
      <c r="D1446" s="1"/>
    </row>
    <row r="1447" spans="1:4" x14ac:dyDescent="0.25">
      <c r="A1447" s="1"/>
      <c r="B1447" s="1"/>
      <c r="C1447" s="1"/>
      <c r="D1447" s="1"/>
    </row>
    <row r="1448" spans="1:4" x14ac:dyDescent="0.25">
      <c r="A1448" s="1"/>
      <c r="B1448" s="1"/>
      <c r="C1448" s="1"/>
      <c r="D1448" s="1"/>
    </row>
    <row r="1449" spans="1:4" x14ac:dyDescent="0.25">
      <c r="A1449" s="1"/>
      <c r="B1449" s="1"/>
      <c r="C1449" s="1"/>
      <c r="D1449" s="1"/>
    </row>
    <row r="1450" spans="1:4" x14ac:dyDescent="0.25">
      <c r="A1450" s="1"/>
      <c r="B1450" s="1"/>
      <c r="C1450" s="1"/>
      <c r="D1450" s="1"/>
    </row>
    <row r="1451" spans="1:4" x14ac:dyDescent="0.25">
      <c r="A1451" s="1"/>
      <c r="B1451" s="1"/>
      <c r="C1451" s="1"/>
      <c r="D1451" s="1"/>
    </row>
    <row r="1452" spans="1:4" x14ac:dyDescent="0.25">
      <c r="A1452" s="1"/>
      <c r="B1452" s="1"/>
      <c r="C1452" s="1"/>
      <c r="D1452" s="1"/>
    </row>
    <row r="1453" spans="1:4" x14ac:dyDescent="0.25">
      <c r="A1453" s="1"/>
      <c r="B1453" s="1"/>
      <c r="C1453" s="1"/>
      <c r="D1453" s="1"/>
    </row>
    <row r="1454" spans="1:4" x14ac:dyDescent="0.25">
      <c r="A1454" s="1"/>
      <c r="B1454" s="1"/>
      <c r="C1454" s="1"/>
      <c r="D1454" s="1"/>
    </row>
    <row r="1455" spans="1:4" x14ac:dyDescent="0.25">
      <c r="A1455" s="1"/>
      <c r="B1455" s="1"/>
      <c r="C1455" s="1"/>
      <c r="D1455" s="1"/>
    </row>
    <row r="1456" spans="1:4" x14ac:dyDescent="0.25">
      <c r="A1456" s="1"/>
      <c r="B1456" s="1"/>
      <c r="C1456" s="1"/>
      <c r="D1456" s="1"/>
    </row>
    <row r="1457" spans="1:4" x14ac:dyDescent="0.25">
      <c r="A1457" s="1"/>
      <c r="B1457" s="1"/>
      <c r="C1457" s="1"/>
      <c r="D1457" s="1"/>
    </row>
    <row r="1458" spans="1:4" x14ac:dyDescent="0.25">
      <c r="A1458" s="1"/>
      <c r="B1458" s="1"/>
      <c r="C1458" s="1"/>
      <c r="D1458" s="1"/>
    </row>
    <row r="1459" spans="1:4" x14ac:dyDescent="0.25">
      <c r="A1459" s="1"/>
      <c r="B1459" s="1"/>
      <c r="C1459" s="1"/>
      <c r="D1459" s="1"/>
    </row>
    <row r="1460" spans="1:4" x14ac:dyDescent="0.25">
      <c r="A1460" s="1"/>
      <c r="B1460" s="1"/>
      <c r="C1460" s="1"/>
      <c r="D1460" s="1"/>
    </row>
    <row r="1461" spans="1:4" x14ac:dyDescent="0.25">
      <c r="A1461" s="1"/>
      <c r="B1461" s="1"/>
      <c r="C1461" s="1"/>
      <c r="D1461" s="1"/>
    </row>
    <row r="1462" spans="1:4" x14ac:dyDescent="0.25">
      <c r="A1462" s="1"/>
      <c r="B1462" s="1"/>
      <c r="C1462" s="1"/>
      <c r="D1462" s="1"/>
    </row>
    <row r="1463" spans="1:4" x14ac:dyDescent="0.25">
      <c r="A1463" s="1"/>
      <c r="B1463" s="1"/>
      <c r="C1463" s="1"/>
      <c r="D1463" s="1"/>
    </row>
    <row r="1464" spans="1:4" x14ac:dyDescent="0.25">
      <c r="A1464" s="1"/>
      <c r="B1464" s="1"/>
      <c r="C1464" s="1"/>
      <c r="D1464" s="1"/>
    </row>
    <row r="1465" spans="1:4" x14ac:dyDescent="0.25">
      <c r="A1465" s="1"/>
      <c r="B1465" s="1"/>
      <c r="C1465" s="1"/>
      <c r="D1465" s="1"/>
    </row>
    <row r="1466" spans="1:4" x14ac:dyDescent="0.25">
      <c r="A1466" s="1"/>
      <c r="B1466" s="1"/>
      <c r="C1466" s="1"/>
      <c r="D1466" s="1"/>
    </row>
    <row r="1467" spans="1:4" x14ac:dyDescent="0.25">
      <c r="A1467" s="1"/>
      <c r="B1467" s="1"/>
      <c r="C1467" s="1"/>
      <c r="D1467" s="1"/>
    </row>
    <row r="1468" spans="1:4" x14ac:dyDescent="0.25">
      <c r="A1468" s="1"/>
      <c r="B1468" s="1"/>
      <c r="C1468" s="1"/>
      <c r="D1468" s="1"/>
    </row>
    <row r="1469" spans="1:4" x14ac:dyDescent="0.25">
      <c r="A1469" s="1"/>
      <c r="B1469" s="1"/>
      <c r="C1469" s="1"/>
      <c r="D1469" s="1"/>
    </row>
    <row r="1470" spans="1:4" x14ac:dyDescent="0.25">
      <c r="A1470" s="1"/>
      <c r="B1470" s="1"/>
      <c r="C1470" s="1"/>
      <c r="D1470" s="1"/>
    </row>
    <row r="1471" spans="1:4" x14ac:dyDescent="0.25">
      <c r="A1471" s="1"/>
      <c r="B1471" s="1"/>
      <c r="C1471" s="1"/>
      <c r="D1471" s="1"/>
    </row>
    <row r="1472" spans="1:4" x14ac:dyDescent="0.25">
      <c r="A1472" s="1"/>
      <c r="B1472" s="1"/>
      <c r="C1472" s="1"/>
      <c r="D1472" s="1"/>
    </row>
    <row r="1473" spans="1:4" x14ac:dyDescent="0.25">
      <c r="A1473" s="1"/>
      <c r="B1473" s="1"/>
      <c r="C1473" s="1"/>
      <c r="D1473" s="1"/>
    </row>
    <row r="1474" spans="1:4" x14ac:dyDescent="0.25">
      <c r="A1474" s="1"/>
      <c r="B1474" s="1"/>
      <c r="C1474" s="1"/>
      <c r="D1474" s="1"/>
    </row>
    <row r="1475" spans="1:4" x14ac:dyDescent="0.25">
      <c r="A1475" s="1"/>
      <c r="B1475" s="1"/>
      <c r="C1475" s="1"/>
      <c r="D1475" s="1"/>
    </row>
    <row r="1476" spans="1:4" x14ac:dyDescent="0.25">
      <c r="A1476" s="1"/>
      <c r="B1476" s="1"/>
      <c r="C1476" s="1"/>
      <c r="D1476" s="1"/>
    </row>
    <row r="1477" spans="1:4" x14ac:dyDescent="0.25">
      <c r="A1477" s="1"/>
      <c r="B1477" s="1"/>
      <c r="C1477" s="1"/>
      <c r="D1477" s="1"/>
    </row>
    <row r="1478" spans="1:4" x14ac:dyDescent="0.25">
      <c r="A1478" s="1"/>
      <c r="B1478" s="1"/>
      <c r="C1478" s="1"/>
      <c r="D1478" s="1"/>
    </row>
    <row r="1479" spans="1:4" x14ac:dyDescent="0.25">
      <c r="A1479" s="1"/>
      <c r="B1479" s="1"/>
      <c r="C1479" s="1"/>
      <c r="D1479" s="1"/>
    </row>
    <row r="1480" spans="1:4" x14ac:dyDescent="0.25">
      <c r="A1480" s="1"/>
      <c r="B1480" s="1"/>
      <c r="C1480" s="1"/>
      <c r="D1480" s="1"/>
    </row>
    <row r="1481" spans="1:4" x14ac:dyDescent="0.25">
      <c r="A1481" s="1"/>
      <c r="B1481" s="1"/>
      <c r="C1481" s="1"/>
      <c r="D1481" s="1"/>
    </row>
    <row r="1482" spans="1:4" x14ac:dyDescent="0.25">
      <c r="A1482" s="1"/>
      <c r="B1482" s="1"/>
      <c r="C1482" s="1"/>
      <c r="D1482" s="1"/>
    </row>
    <row r="1483" spans="1:4" x14ac:dyDescent="0.25">
      <c r="A1483" s="1"/>
      <c r="B1483" s="1"/>
      <c r="C1483" s="1"/>
      <c r="D1483" s="1"/>
    </row>
    <row r="1484" spans="1:4" x14ac:dyDescent="0.25">
      <c r="A1484" s="1"/>
      <c r="B1484" s="1"/>
      <c r="C1484" s="1"/>
      <c r="D1484" s="1"/>
    </row>
    <row r="1485" spans="1:4" x14ac:dyDescent="0.25">
      <c r="A1485" s="1"/>
      <c r="B1485" s="1"/>
      <c r="C1485" s="1"/>
      <c r="D1485" s="1"/>
    </row>
    <row r="1486" spans="1:4" x14ac:dyDescent="0.25">
      <c r="A1486" s="1"/>
      <c r="B1486" s="1"/>
      <c r="C1486" s="1"/>
      <c r="D1486" s="1"/>
    </row>
    <row r="1487" spans="1:4" x14ac:dyDescent="0.25">
      <c r="A1487" s="1"/>
      <c r="B1487" s="1"/>
      <c r="C1487" s="1"/>
      <c r="D1487" s="1"/>
    </row>
    <row r="1488" spans="1:4" x14ac:dyDescent="0.25">
      <c r="A1488" s="1"/>
      <c r="B1488" s="1"/>
      <c r="C1488" s="1"/>
      <c r="D1488" s="1"/>
    </row>
    <row r="1489" spans="1:4" x14ac:dyDescent="0.25">
      <c r="A1489" s="1"/>
      <c r="B1489" s="1"/>
      <c r="C1489" s="1"/>
      <c r="D1489" s="1"/>
    </row>
    <row r="1490" spans="1:4" x14ac:dyDescent="0.25">
      <c r="A1490" s="1"/>
      <c r="B1490" s="1"/>
      <c r="C1490" s="1"/>
      <c r="D1490" s="1"/>
    </row>
    <row r="1491" spans="1:4" x14ac:dyDescent="0.25">
      <c r="A1491" s="1"/>
      <c r="B1491" s="1"/>
      <c r="C1491" s="1"/>
      <c r="D1491" s="1"/>
    </row>
    <row r="1492" spans="1:4" x14ac:dyDescent="0.25">
      <c r="A1492" s="1"/>
      <c r="B1492" s="1"/>
      <c r="C1492" s="1"/>
      <c r="D1492" s="1"/>
    </row>
    <row r="1493" spans="1:4" x14ac:dyDescent="0.25">
      <c r="A1493" s="1"/>
      <c r="B1493" s="1"/>
      <c r="C1493" s="1"/>
      <c r="D1493" s="1"/>
    </row>
    <row r="1494" spans="1:4" x14ac:dyDescent="0.25">
      <c r="A1494" s="1"/>
      <c r="B1494" s="1"/>
      <c r="C1494" s="1"/>
      <c r="D1494" s="1"/>
    </row>
    <row r="1495" spans="1:4" x14ac:dyDescent="0.25">
      <c r="A1495" s="1"/>
      <c r="B1495" s="1"/>
      <c r="C1495" s="1"/>
      <c r="D1495" s="1"/>
    </row>
    <row r="1496" spans="1:4" x14ac:dyDescent="0.25">
      <c r="A1496" s="1"/>
      <c r="B1496" s="1"/>
      <c r="C1496" s="1"/>
      <c r="D1496" s="1"/>
    </row>
    <row r="1497" spans="1:4" x14ac:dyDescent="0.25">
      <c r="A1497" s="1"/>
      <c r="B1497" s="1"/>
      <c r="C1497" s="1"/>
      <c r="D1497" s="1"/>
    </row>
    <row r="1498" spans="1:4" x14ac:dyDescent="0.25">
      <c r="A1498" s="1"/>
      <c r="B1498" s="1"/>
      <c r="C1498" s="1"/>
      <c r="D1498" s="1"/>
    </row>
    <row r="1499" spans="1:4" x14ac:dyDescent="0.25">
      <c r="A1499" s="1"/>
      <c r="B1499" s="1"/>
      <c r="C1499" s="1"/>
      <c r="D1499" s="1"/>
    </row>
    <row r="1500" spans="1:4" x14ac:dyDescent="0.25">
      <c r="A1500" s="1"/>
      <c r="B1500" s="1"/>
      <c r="C1500" s="1"/>
      <c r="D1500" s="1"/>
    </row>
    <row r="1501" spans="1:4" x14ac:dyDescent="0.25">
      <c r="A1501" s="1"/>
      <c r="B1501" s="1"/>
      <c r="C1501" s="1"/>
      <c r="D1501" s="1"/>
    </row>
    <row r="1502" spans="1:4" x14ac:dyDescent="0.25">
      <c r="A1502" s="1"/>
      <c r="B1502" s="1"/>
      <c r="C1502" s="1"/>
      <c r="D1502" s="1"/>
    </row>
    <row r="1503" spans="1:4" x14ac:dyDescent="0.25">
      <c r="A1503" s="1"/>
      <c r="B1503" s="1"/>
      <c r="C1503" s="1"/>
      <c r="D1503" s="1"/>
    </row>
    <row r="1504" spans="1:4" x14ac:dyDescent="0.25">
      <c r="A1504" s="1"/>
      <c r="B1504" s="1"/>
      <c r="C1504" s="1"/>
      <c r="D1504" s="1"/>
    </row>
    <row r="1505" spans="1:4" x14ac:dyDescent="0.25">
      <c r="A1505" s="1"/>
      <c r="B1505" s="1"/>
      <c r="C1505" s="1"/>
      <c r="D1505" s="1"/>
    </row>
    <row r="1506" spans="1:4" x14ac:dyDescent="0.25">
      <c r="A1506" s="1"/>
      <c r="B1506" s="1"/>
      <c r="C1506" s="1"/>
      <c r="D1506" s="1"/>
    </row>
    <row r="1507" spans="1:4" x14ac:dyDescent="0.25">
      <c r="A1507" s="1"/>
      <c r="B1507" s="1"/>
      <c r="C1507" s="1"/>
      <c r="D1507" s="1"/>
    </row>
    <row r="1508" spans="1:4" x14ac:dyDescent="0.25">
      <c r="A1508" s="1"/>
      <c r="B1508" s="1"/>
      <c r="C1508" s="1"/>
      <c r="D1508" s="1"/>
    </row>
    <row r="1509" spans="1:4" x14ac:dyDescent="0.25">
      <c r="A1509" s="1"/>
      <c r="B1509" s="1"/>
      <c r="C1509" s="1"/>
      <c r="D1509" s="1"/>
    </row>
    <row r="1510" spans="1:4" x14ac:dyDescent="0.25">
      <c r="A1510" s="1"/>
      <c r="B1510" s="1"/>
      <c r="C1510" s="1"/>
      <c r="D1510" s="1"/>
    </row>
    <row r="1511" spans="1:4" x14ac:dyDescent="0.25">
      <c r="A1511" s="1"/>
      <c r="B1511" s="1"/>
      <c r="C1511" s="1"/>
      <c r="D1511" s="1"/>
    </row>
    <row r="1512" spans="1:4" x14ac:dyDescent="0.25">
      <c r="A1512" s="1"/>
      <c r="B1512" s="1"/>
      <c r="C1512" s="1"/>
      <c r="D1512" s="1"/>
    </row>
    <row r="1513" spans="1:4" x14ac:dyDescent="0.25">
      <c r="A1513" s="1"/>
      <c r="B1513" s="1"/>
      <c r="C1513" s="1"/>
      <c r="D1513" s="1"/>
    </row>
    <row r="1514" spans="1:4" x14ac:dyDescent="0.25">
      <c r="A1514" s="1"/>
      <c r="B1514" s="1"/>
      <c r="C1514" s="1"/>
      <c r="D1514" s="1"/>
    </row>
    <row r="1515" spans="1:4" x14ac:dyDescent="0.25">
      <c r="A1515" s="1"/>
      <c r="B1515" s="1"/>
      <c r="C1515" s="1"/>
      <c r="D1515" s="1"/>
    </row>
    <row r="1516" spans="1:4" x14ac:dyDescent="0.25">
      <c r="A1516" s="1"/>
      <c r="B1516" s="1"/>
      <c r="C1516" s="1"/>
      <c r="D1516" s="1"/>
    </row>
    <row r="1517" spans="1:4" x14ac:dyDescent="0.25">
      <c r="A1517" s="1"/>
      <c r="B1517" s="1"/>
      <c r="C1517" s="1"/>
      <c r="D1517" s="1"/>
    </row>
    <row r="1518" spans="1:4" x14ac:dyDescent="0.25">
      <c r="A1518" s="1"/>
      <c r="B1518" s="1"/>
      <c r="C1518" s="1"/>
      <c r="D1518" s="1"/>
    </row>
    <row r="1519" spans="1:4" x14ac:dyDescent="0.25">
      <c r="A1519" s="1"/>
      <c r="B1519" s="1"/>
      <c r="C1519" s="1"/>
      <c r="D1519" s="1"/>
    </row>
    <row r="1520" spans="1:4" x14ac:dyDescent="0.25">
      <c r="A1520" s="1"/>
      <c r="B1520" s="1"/>
      <c r="C1520" s="1"/>
      <c r="D1520" s="1"/>
    </row>
    <row r="1521" spans="1:4" x14ac:dyDescent="0.25">
      <c r="A1521" s="1"/>
      <c r="B1521" s="1"/>
      <c r="C1521" s="1"/>
      <c r="D1521" s="1"/>
    </row>
    <row r="1522" spans="1:4" x14ac:dyDescent="0.25">
      <c r="A1522" s="1"/>
      <c r="B1522" s="1"/>
      <c r="C1522" s="1"/>
      <c r="D1522" s="1"/>
    </row>
    <row r="1523" spans="1:4" x14ac:dyDescent="0.25">
      <c r="A1523" s="1"/>
      <c r="B1523" s="1"/>
      <c r="C1523" s="1"/>
      <c r="D1523" s="1"/>
    </row>
    <row r="1524" spans="1:4" x14ac:dyDescent="0.25">
      <c r="A1524" s="1"/>
      <c r="B1524" s="1"/>
      <c r="C1524" s="1"/>
      <c r="D1524" s="1"/>
    </row>
    <row r="1525" spans="1:4" x14ac:dyDescent="0.25">
      <c r="A1525" s="1"/>
      <c r="B1525" s="1"/>
      <c r="C1525" s="1"/>
      <c r="D1525" s="1"/>
    </row>
    <row r="1526" spans="1:4" x14ac:dyDescent="0.25">
      <c r="A1526" s="1"/>
      <c r="B1526" s="1"/>
      <c r="C1526" s="1"/>
      <c r="D1526" s="1"/>
    </row>
    <row r="1527" spans="1:4" x14ac:dyDescent="0.25">
      <c r="A1527" s="1"/>
      <c r="B1527" s="1"/>
      <c r="C1527" s="1"/>
      <c r="D1527" s="1"/>
    </row>
    <row r="1528" spans="1:4" x14ac:dyDescent="0.25">
      <c r="A1528" s="1"/>
      <c r="B1528" s="1"/>
      <c r="C1528" s="1"/>
      <c r="D1528" s="1"/>
    </row>
    <row r="1529" spans="1:4" x14ac:dyDescent="0.25">
      <c r="A1529" s="1"/>
      <c r="B1529" s="1"/>
      <c r="C1529" s="1"/>
      <c r="D1529" s="1"/>
    </row>
    <row r="1530" spans="1:4" x14ac:dyDescent="0.25">
      <c r="A1530" s="1"/>
      <c r="B1530" s="1"/>
      <c r="C1530" s="1"/>
      <c r="D1530" s="1"/>
    </row>
    <row r="1531" spans="1:4" x14ac:dyDescent="0.25">
      <c r="A1531" s="1"/>
      <c r="B1531" s="1"/>
      <c r="C1531" s="1"/>
      <c r="D1531" s="1"/>
    </row>
    <row r="1532" spans="1:4" x14ac:dyDescent="0.25">
      <c r="A1532" s="1"/>
      <c r="B1532" s="1"/>
      <c r="C1532" s="1"/>
      <c r="D1532" s="1"/>
    </row>
    <row r="1533" spans="1:4" x14ac:dyDescent="0.25">
      <c r="A1533" s="1"/>
      <c r="B1533" s="1"/>
      <c r="C1533" s="1"/>
      <c r="D1533" s="1"/>
    </row>
    <row r="1534" spans="1:4" x14ac:dyDescent="0.25">
      <c r="A1534" s="1"/>
      <c r="B1534" s="1"/>
      <c r="C1534" s="1"/>
      <c r="D1534" s="1"/>
    </row>
    <row r="1535" spans="1:4" x14ac:dyDescent="0.25">
      <c r="A1535" s="1"/>
      <c r="B1535" s="1"/>
      <c r="C1535" s="1"/>
      <c r="D1535" s="1"/>
    </row>
    <row r="1536" spans="1:4" x14ac:dyDescent="0.25">
      <c r="A1536" s="1"/>
      <c r="B1536" s="1"/>
      <c r="C1536" s="1"/>
      <c r="D1536" s="1"/>
    </row>
    <row r="1537" spans="1:4" x14ac:dyDescent="0.25">
      <c r="A1537" s="1"/>
      <c r="B1537" s="1"/>
      <c r="C1537" s="1"/>
      <c r="D1537" s="1"/>
    </row>
    <row r="1538" spans="1:4" x14ac:dyDescent="0.25">
      <c r="A1538" s="1"/>
      <c r="B1538" s="1"/>
      <c r="C1538" s="1"/>
      <c r="D1538" s="1"/>
    </row>
    <row r="1539" spans="1:4" x14ac:dyDescent="0.25">
      <c r="A1539" s="1"/>
      <c r="B1539" s="1"/>
      <c r="C1539" s="1"/>
      <c r="D1539" s="1"/>
    </row>
    <row r="1540" spans="1:4" x14ac:dyDescent="0.25">
      <c r="A1540" s="1"/>
      <c r="B1540" s="1"/>
      <c r="C1540" s="1"/>
      <c r="D1540" s="1"/>
    </row>
    <row r="1541" spans="1:4" x14ac:dyDescent="0.25">
      <c r="A1541" s="1"/>
      <c r="B1541" s="1"/>
      <c r="C1541" s="1"/>
      <c r="D1541" s="1"/>
    </row>
    <row r="1542" spans="1:4" x14ac:dyDescent="0.25">
      <c r="A1542" s="1"/>
      <c r="B1542" s="1"/>
      <c r="C1542" s="1"/>
      <c r="D1542" s="1"/>
    </row>
    <row r="1543" spans="1:4" x14ac:dyDescent="0.25">
      <c r="A1543" s="1"/>
      <c r="B1543" s="1"/>
      <c r="C1543" s="1"/>
      <c r="D1543" s="1"/>
    </row>
    <row r="1544" spans="1:4" x14ac:dyDescent="0.25">
      <c r="A1544" s="1"/>
      <c r="B1544" s="1"/>
      <c r="C1544" s="1"/>
      <c r="D1544" s="1"/>
    </row>
    <row r="1545" spans="1:4" x14ac:dyDescent="0.25">
      <c r="A1545" s="1"/>
      <c r="B1545" s="1"/>
      <c r="C1545" s="1"/>
      <c r="D1545" s="1"/>
    </row>
    <row r="1546" spans="1:4" x14ac:dyDescent="0.25">
      <c r="A1546" s="1"/>
      <c r="B1546" s="1"/>
      <c r="C1546" s="1"/>
      <c r="D1546" s="1"/>
    </row>
    <row r="1547" spans="1:4" x14ac:dyDescent="0.25">
      <c r="A1547" s="1"/>
      <c r="B1547" s="1"/>
      <c r="C1547" s="1"/>
      <c r="D1547" s="1"/>
    </row>
    <row r="1548" spans="1:4" x14ac:dyDescent="0.25">
      <c r="A1548" s="1"/>
      <c r="B1548" s="1"/>
      <c r="C1548" s="1"/>
      <c r="D1548" s="1"/>
    </row>
    <row r="1549" spans="1:4" x14ac:dyDescent="0.25">
      <c r="A1549" s="1"/>
      <c r="B1549" s="1"/>
      <c r="C1549" s="1"/>
      <c r="D1549" s="1"/>
    </row>
    <row r="1550" spans="1:4" x14ac:dyDescent="0.25">
      <c r="A1550" s="1"/>
      <c r="B1550" s="1"/>
      <c r="C1550" s="1"/>
      <c r="D1550" s="1"/>
    </row>
    <row r="1551" spans="1:4" x14ac:dyDescent="0.25">
      <c r="A1551" s="1"/>
      <c r="B1551" s="1"/>
      <c r="C1551" s="1"/>
      <c r="D1551" s="1"/>
    </row>
    <row r="1552" spans="1:4" x14ac:dyDescent="0.25">
      <c r="A1552" s="1"/>
      <c r="B1552" s="1"/>
      <c r="C1552" s="1"/>
      <c r="D1552" s="1"/>
    </row>
    <row r="1553" spans="1:4" x14ac:dyDescent="0.25">
      <c r="A1553" s="1"/>
      <c r="B1553" s="1"/>
      <c r="C1553" s="1"/>
      <c r="D1553" s="1"/>
    </row>
    <row r="1554" spans="1:4" x14ac:dyDescent="0.25">
      <c r="A1554" s="1"/>
      <c r="B1554" s="1"/>
      <c r="C1554" s="1"/>
      <c r="D1554" s="1"/>
    </row>
    <row r="1555" spans="1:4" x14ac:dyDescent="0.25">
      <c r="A1555" s="1"/>
      <c r="B1555" s="1"/>
      <c r="C1555" s="1"/>
      <c r="D1555" s="1"/>
    </row>
    <row r="1556" spans="1:4" x14ac:dyDescent="0.25">
      <c r="A1556" s="1"/>
      <c r="B1556" s="1"/>
      <c r="C1556" s="1"/>
      <c r="D1556" s="1"/>
    </row>
    <row r="1557" spans="1:4" x14ac:dyDescent="0.25">
      <c r="A1557" s="1"/>
      <c r="B1557" s="1"/>
      <c r="C1557" s="1"/>
      <c r="D1557" s="1"/>
    </row>
    <row r="1558" spans="1:4" x14ac:dyDescent="0.25">
      <c r="A1558" s="1"/>
      <c r="B1558" s="1"/>
      <c r="C1558" s="1"/>
      <c r="D1558" s="1"/>
    </row>
    <row r="1559" spans="1:4" x14ac:dyDescent="0.25">
      <c r="A1559" s="1"/>
      <c r="B1559" s="1"/>
      <c r="C1559" s="1"/>
      <c r="D1559" s="1"/>
    </row>
    <row r="1560" spans="1:4" x14ac:dyDescent="0.25">
      <c r="A1560" s="1"/>
      <c r="B1560" s="1"/>
      <c r="C1560" s="1"/>
      <c r="D1560" s="1"/>
    </row>
    <row r="1561" spans="1:4" x14ac:dyDescent="0.25">
      <c r="A1561" s="1"/>
      <c r="B1561" s="1"/>
      <c r="C1561" s="1"/>
      <c r="D1561" s="1"/>
    </row>
    <row r="1562" spans="1:4" x14ac:dyDescent="0.25">
      <c r="A1562" s="1"/>
      <c r="B1562" s="1"/>
      <c r="C1562" s="1"/>
      <c r="D1562" s="1"/>
    </row>
    <row r="1563" spans="1:4" x14ac:dyDescent="0.25">
      <c r="A1563" s="1"/>
      <c r="B1563" s="1"/>
      <c r="C1563" s="1"/>
      <c r="D1563" s="1"/>
    </row>
    <row r="1564" spans="1:4" x14ac:dyDescent="0.25">
      <c r="A1564" s="1"/>
      <c r="B1564" s="1"/>
      <c r="C1564" s="1"/>
      <c r="D1564" s="1"/>
    </row>
    <row r="1565" spans="1:4" x14ac:dyDescent="0.25">
      <c r="A1565" s="1"/>
      <c r="B1565" s="1"/>
      <c r="C1565" s="1"/>
      <c r="D1565" s="1"/>
    </row>
    <row r="1566" spans="1:4" x14ac:dyDescent="0.25">
      <c r="A1566" s="1"/>
      <c r="B1566" s="1"/>
      <c r="C1566" s="1"/>
      <c r="D1566" s="1"/>
    </row>
    <row r="1567" spans="1:4" x14ac:dyDescent="0.25">
      <c r="A1567" s="1"/>
      <c r="B1567" s="1"/>
      <c r="C1567" s="1"/>
      <c r="D1567" s="1"/>
    </row>
    <row r="1568" spans="1:4" x14ac:dyDescent="0.25">
      <c r="A1568" s="1"/>
      <c r="B1568" s="1"/>
      <c r="C1568" s="1"/>
      <c r="D1568" s="1"/>
    </row>
    <row r="1569" spans="1:4" x14ac:dyDescent="0.25">
      <c r="A1569" s="1"/>
      <c r="B1569" s="1"/>
      <c r="C1569" s="1"/>
      <c r="D1569" s="1"/>
    </row>
    <row r="1570" spans="1:4" x14ac:dyDescent="0.25">
      <c r="A1570" s="1"/>
      <c r="B1570" s="1"/>
      <c r="C1570" s="1"/>
      <c r="D1570" s="1"/>
    </row>
    <row r="1571" spans="1:4" x14ac:dyDescent="0.25">
      <c r="A1571" s="1"/>
      <c r="B1571" s="1"/>
      <c r="C1571" s="1"/>
      <c r="D1571" s="1"/>
    </row>
    <row r="1572" spans="1:4" x14ac:dyDescent="0.25">
      <c r="A1572" s="1"/>
      <c r="B1572" s="1"/>
      <c r="C1572" s="1"/>
      <c r="D1572" s="1"/>
    </row>
    <row r="1573" spans="1:4" x14ac:dyDescent="0.25">
      <c r="A1573" s="1"/>
      <c r="B1573" s="1"/>
      <c r="C1573" s="1"/>
      <c r="D1573" s="1"/>
    </row>
    <row r="1574" spans="1:4" x14ac:dyDescent="0.25">
      <c r="A1574" s="1"/>
      <c r="B1574" s="1"/>
      <c r="C1574" s="1"/>
      <c r="D1574" s="1"/>
    </row>
    <row r="1575" spans="1:4" x14ac:dyDescent="0.25">
      <c r="A1575" s="1"/>
      <c r="B1575" s="1"/>
      <c r="C1575" s="1"/>
      <c r="D1575" s="1"/>
    </row>
    <row r="1576" spans="1:4" x14ac:dyDescent="0.25">
      <c r="A1576" s="1"/>
      <c r="B1576" s="1"/>
      <c r="C1576" s="1"/>
      <c r="D1576" s="1"/>
    </row>
    <row r="1577" spans="1:4" x14ac:dyDescent="0.25">
      <c r="A1577" s="1"/>
      <c r="B1577" s="1"/>
      <c r="C1577" s="1"/>
      <c r="D1577" s="1"/>
    </row>
    <row r="1578" spans="1:4" x14ac:dyDescent="0.25">
      <c r="A1578" s="1"/>
      <c r="B1578" s="1"/>
      <c r="C1578" s="1"/>
      <c r="D1578" s="1"/>
    </row>
    <row r="1579" spans="1:4" x14ac:dyDescent="0.25">
      <c r="A1579" s="1"/>
      <c r="B1579" s="1"/>
      <c r="C1579" s="1"/>
      <c r="D1579" s="1"/>
    </row>
    <row r="1580" spans="1:4" x14ac:dyDescent="0.25">
      <c r="A1580" s="1"/>
      <c r="B1580" s="1"/>
      <c r="C1580" s="1"/>
      <c r="D1580" s="1"/>
    </row>
    <row r="1581" spans="1:4" x14ac:dyDescent="0.25">
      <c r="A1581" s="1"/>
      <c r="B1581" s="1"/>
      <c r="C1581" s="1"/>
      <c r="D1581" s="1"/>
    </row>
    <row r="1582" spans="1:4" x14ac:dyDescent="0.25">
      <c r="A1582" s="1"/>
      <c r="B1582" s="1"/>
      <c r="C1582" s="1"/>
      <c r="D1582" s="1"/>
    </row>
    <row r="1583" spans="1:4" x14ac:dyDescent="0.25">
      <c r="A1583" s="1"/>
      <c r="B1583" s="1"/>
      <c r="C1583" s="1"/>
      <c r="D1583" s="1"/>
    </row>
    <row r="1584" spans="1:4" x14ac:dyDescent="0.25">
      <c r="A1584" s="1"/>
      <c r="B1584" s="1"/>
      <c r="C1584" s="1"/>
      <c r="D1584" s="1"/>
    </row>
    <row r="1585" spans="1:4" x14ac:dyDescent="0.25">
      <c r="A1585" s="1"/>
      <c r="B1585" s="1"/>
      <c r="C1585" s="1"/>
      <c r="D1585" s="1"/>
    </row>
    <row r="1586" spans="1:4" x14ac:dyDescent="0.25">
      <c r="A1586" s="1"/>
      <c r="B1586" s="1"/>
      <c r="C1586" s="1"/>
      <c r="D1586" s="1"/>
    </row>
    <row r="1587" spans="1:4" x14ac:dyDescent="0.25">
      <c r="A1587" s="1"/>
      <c r="B1587" s="1"/>
      <c r="C1587" s="1"/>
      <c r="D1587" s="1"/>
    </row>
    <row r="1588" spans="1:4" x14ac:dyDescent="0.25">
      <c r="A1588" s="1"/>
      <c r="B1588" s="1"/>
      <c r="C1588" s="1"/>
      <c r="D1588" s="1"/>
    </row>
    <row r="1589" spans="1:4" x14ac:dyDescent="0.25">
      <c r="A1589" s="1"/>
      <c r="B1589" s="1"/>
      <c r="C1589" s="1"/>
      <c r="D1589" s="1"/>
    </row>
    <row r="1590" spans="1:4" x14ac:dyDescent="0.25">
      <c r="A1590" s="1"/>
      <c r="B1590" s="1"/>
      <c r="C1590" s="1"/>
      <c r="D1590" s="1"/>
    </row>
    <row r="1591" spans="1:4" x14ac:dyDescent="0.25">
      <c r="A1591" s="1"/>
      <c r="B1591" s="1"/>
      <c r="C1591" s="1"/>
      <c r="D1591" s="1"/>
    </row>
    <row r="1592" spans="1:4" x14ac:dyDescent="0.25">
      <c r="A1592" s="1"/>
      <c r="B1592" s="1"/>
      <c r="C1592" s="1"/>
      <c r="D1592" s="1"/>
    </row>
    <row r="1593" spans="1:4" x14ac:dyDescent="0.25">
      <c r="A1593" s="1"/>
      <c r="B1593" s="1"/>
      <c r="C1593" s="1"/>
      <c r="D1593" s="1"/>
    </row>
    <row r="1594" spans="1:4" x14ac:dyDescent="0.25">
      <c r="A1594" s="1"/>
      <c r="B1594" s="1"/>
      <c r="C1594" s="1"/>
      <c r="D1594" s="1"/>
    </row>
    <row r="1595" spans="1:4" x14ac:dyDescent="0.25">
      <c r="A1595" s="1"/>
      <c r="B1595" s="1"/>
      <c r="C1595" s="1"/>
      <c r="D1595" s="1"/>
    </row>
    <row r="1596" spans="1:4" x14ac:dyDescent="0.25">
      <c r="A1596" s="1"/>
      <c r="B1596" s="1"/>
      <c r="C1596" s="1"/>
      <c r="D1596" s="1"/>
    </row>
    <row r="1597" spans="1:4" x14ac:dyDescent="0.25">
      <c r="A1597" s="1"/>
      <c r="B1597" s="1"/>
      <c r="C1597" s="1"/>
      <c r="D1597" s="1"/>
    </row>
    <row r="1598" spans="1:4" x14ac:dyDescent="0.25">
      <c r="A1598" s="1"/>
      <c r="B1598" s="1"/>
      <c r="C1598" s="1"/>
      <c r="D1598" s="1"/>
    </row>
    <row r="1599" spans="1:4" x14ac:dyDescent="0.25">
      <c r="A1599" s="1"/>
      <c r="B1599" s="1"/>
      <c r="C1599" s="1"/>
      <c r="D1599" s="1"/>
    </row>
    <row r="1600" spans="1:4" x14ac:dyDescent="0.25">
      <c r="A1600" s="1"/>
      <c r="B1600" s="1"/>
      <c r="C1600" s="1"/>
      <c r="D1600" s="1"/>
    </row>
    <row r="1601" spans="1:4" x14ac:dyDescent="0.25">
      <c r="A1601" s="1"/>
      <c r="B1601" s="1"/>
      <c r="C1601" s="1"/>
      <c r="D1601" s="1"/>
    </row>
    <row r="1602" spans="1:4" x14ac:dyDescent="0.25">
      <c r="A1602" s="1"/>
      <c r="B1602" s="1"/>
      <c r="C1602" s="1"/>
      <c r="D1602" s="1"/>
    </row>
    <row r="1603" spans="1:4" x14ac:dyDescent="0.25">
      <c r="A1603" s="1"/>
      <c r="B1603" s="1"/>
      <c r="C1603" s="1"/>
      <c r="D1603" s="1"/>
    </row>
    <row r="1604" spans="1:4" x14ac:dyDescent="0.25">
      <c r="A1604" s="1"/>
      <c r="B1604" s="1"/>
      <c r="C1604" s="1"/>
      <c r="D1604" s="1"/>
    </row>
    <row r="1605" spans="1:4" x14ac:dyDescent="0.25">
      <c r="A1605" s="1"/>
      <c r="B1605" s="1"/>
      <c r="C1605" s="1"/>
      <c r="D1605" s="1"/>
    </row>
    <row r="1606" spans="1:4" x14ac:dyDescent="0.25">
      <c r="A1606" s="1"/>
      <c r="B1606" s="1"/>
      <c r="C1606" s="1"/>
      <c r="D1606" s="1"/>
    </row>
    <row r="1607" spans="1:4" x14ac:dyDescent="0.25">
      <c r="A1607" s="1"/>
      <c r="B1607" s="1"/>
      <c r="C1607" s="1"/>
      <c r="D1607" s="1"/>
    </row>
    <row r="1608" spans="1:4" x14ac:dyDescent="0.25">
      <c r="A1608" s="1"/>
      <c r="B1608" s="1"/>
      <c r="C1608" s="1"/>
      <c r="D1608" s="1"/>
    </row>
    <row r="1609" spans="1:4" x14ac:dyDescent="0.25">
      <c r="A1609" s="1"/>
      <c r="B1609" s="1"/>
      <c r="C1609" s="1"/>
      <c r="D1609" s="1"/>
    </row>
    <row r="1610" spans="1:4" x14ac:dyDescent="0.25">
      <c r="A1610" s="1"/>
      <c r="B1610" s="1"/>
      <c r="C1610" s="1"/>
      <c r="D1610" s="1"/>
    </row>
    <row r="1611" spans="1:4" x14ac:dyDescent="0.25">
      <c r="A1611" s="1"/>
      <c r="B1611" s="1"/>
      <c r="C1611" s="1"/>
      <c r="D1611" s="1"/>
    </row>
    <row r="1612" spans="1:4" x14ac:dyDescent="0.25">
      <c r="A1612" s="1"/>
      <c r="B1612" s="1"/>
      <c r="C1612" s="1"/>
      <c r="D1612" s="1"/>
    </row>
    <row r="1613" spans="1:4" x14ac:dyDescent="0.25">
      <c r="A1613" s="1"/>
      <c r="B1613" s="1"/>
      <c r="C1613" s="1"/>
      <c r="D1613" s="1"/>
    </row>
    <row r="1614" spans="1:4" x14ac:dyDescent="0.25">
      <c r="A1614" s="1"/>
      <c r="B1614" s="1"/>
      <c r="C1614" s="1"/>
      <c r="D1614" s="1"/>
    </row>
    <row r="1615" spans="1:4" x14ac:dyDescent="0.25">
      <c r="A1615" s="1"/>
      <c r="B1615" s="1"/>
      <c r="C1615" s="1"/>
      <c r="D1615" s="1"/>
    </row>
    <row r="1616" spans="1:4" x14ac:dyDescent="0.25">
      <c r="A1616" s="1"/>
      <c r="B1616" s="1"/>
      <c r="C1616" s="1"/>
      <c r="D1616" s="1"/>
    </row>
    <row r="1617" spans="1:4" x14ac:dyDescent="0.25">
      <c r="A1617" s="1"/>
      <c r="B1617" s="1"/>
      <c r="C1617" s="1"/>
      <c r="D1617" s="1"/>
    </row>
    <row r="1618" spans="1:4" x14ac:dyDescent="0.25">
      <c r="A1618" s="1"/>
      <c r="B1618" s="1"/>
      <c r="C1618" s="1"/>
      <c r="D1618" s="1"/>
    </row>
    <row r="1619" spans="1:4" x14ac:dyDescent="0.25">
      <c r="A1619" s="1"/>
      <c r="B1619" s="1"/>
      <c r="C1619" s="1"/>
      <c r="D1619" s="1"/>
    </row>
    <row r="1620" spans="1:4" x14ac:dyDescent="0.25">
      <c r="A1620" s="1"/>
      <c r="B1620" s="1"/>
      <c r="C1620" s="1"/>
      <c r="D1620" s="1"/>
    </row>
    <row r="1621" spans="1:4" x14ac:dyDescent="0.25">
      <c r="A1621" s="1"/>
      <c r="B1621" s="1"/>
      <c r="C1621" s="1"/>
      <c r="D1621" s="1"/>
    </row>
    <row r="1622" spans="1:4" x14ac:dyDescent="0.25">
      <c r="A1622" s="1"/>
      <c r="B1622" s="1"/>
      <c r="C1622" s="1"/>
      <c r="D1622" s="1"/>
    </row>
    <row r="1623" spans="1:4" x14ac:dyDescent="0.25">
      <c r="A1623" s="1"/>
      <c r="B1623" s="1"/>
      <c r="C1623" s="1"/>
      <c r="D1623" s="1"/>
    </row>
    <row r="1624" spans="1:4" x14ac:dyDescent="0.25">
      <c r="A1624" s="1"/>
      <c r="B1624" s="1"/>
      <c r="C1624" s="1"/>
      <c r="D1624" s="1"/>
    </row>
    <row r="1625" spans="1:4" x14ac:dyDescent="0.25">
      <c r="A1625" s="1"/>
      <c r="B1625" s="1"/>
      <c r="C1625" s="1"/>
      <c r="D1625" s="1"/>
    </row>
    <row r="1626" spans="1:4" x14ac:dyDescent="0.25">
      <c r="A1626" s="1"/>
      <c r="B1626" s="1"/>
      <c r="C1626" s="1"/>
      <c r="D1626" s="1"/>
    </row>
    <row r="1627" spans="1:4" x14ac:dyDescent="0.25">
      <c r="A1627" s="1"/>
      <c r="B1627" s="1"/>
      <c r="C1627" s="1"/>
      <c r="D1627" s="1"/>
    </row>
    <row r="1628" spans="1:4" x14ac:dyDescent="0.25">
      <c r="A1628" s="1"/>
      <c r="B1628" s="1"/>
      <c r="C1628" s="1"/>
      <c r="D1628" s="1"/>
    </row>
    <row r="1629" spans="1:4" x14ac:dyDescent="0.25">
      <c r="A1629" s="1"/>
      <c r="B1629" s="1"/>
      <c r="C1629" s="1"/>
      <c r="D1629" s="1"/>
    </row>
    <row r="1630" spans="1:4" x14ac:dyDescent="0.25">
      <c r="A1630" s="1"/>
      <c r="B1630" s="1"/>
      <c r="C1630" s="1"/>
      <c r="D1630" s="1"/>
    </row>
    <row r="1631" spans="1:4" x14ac:dyDescent="0.25">
      <c r="A1631" s="1"/>
      <c r="B1631" s="1"/>
      <c r="C1631" s="1"/>
      <c r="D1631" s="1"/>
    </row>
    <row r="1632" spans="1:4" x14ac:dyDescent="0.25">
      <c r="A1632" s="1"/>
      <c r="B1632" s="1"/>
      <c r="C1632" s="1"/>
      <c r="D1632" s="1"/>
    </row>
    <row r="1633" spans="1:4" x14ac:dyDescent="0.25">
      <c r="A1633" s="1"/>
      <c r="B1633" s="1"/>
      <c r="C1633" s="1"/>
      <c r="D1633" s="1"/>
    </row>
    <row r="1634" spans="1:4" x14ac:dyDescent="0.25">
      <c r="A1634" s="1"/>
      <c r="B1634" s="1"/>
      <c r="C1634" s="1"/>
      <c r="D1634" s="1"/>
    </row>
    <row r="1635" spans="1:4" x14ac:dyDescent="0.25">
      <c r="A1635" s="1"/>
      <c r="B1635" s="1"/>
      <c r="C1635" s="1"/>
      <c r="D1635" s="1"/>
    </row>
    <row r="1636" spans="1:4" x14ac:dyDescent="0.25">
      <c r="A1636" s="1"/>
      <c r="B1636" s="1"/>
      <c r="C1636" s="1"/>
      <c r="D1636" s="1"/>
    </row>
    <row r="1637" spans="1:4" x14ac:dyDescent="0.25">
      <c r="A1637" s="1"/>
      <c r="B1637" s="1"/>
      <c r="C1637" s="1"/>
      <c r="D1637" s="1"/>
    </row>
    <row r="1638" spans="1:4" x14ac:dyDescent="0.25">
      <c r="A1638" s="1"/>
      <c r="B1638" s="1"/>
      <c r="C1638" s="1"/>
      <c r="D1638" s="1"/>
    </row>
    <row r="1639" spans="1:4" x14ac:dyDescent="0.25">
      <c r="A1639" s="1"/>
      <c r="B1639" s="1"/>
      <c r="C1639" s="1"/>
      <c r="D1639" s="1"/>
    </row>
    <row r="1640" spans="1:4" x14ac:dyDescent="0.25">
      <c r="A1640" s="1"/>
      <c r="B1640" s="1"/>
      <c r="C1640" s="1"/>
      <c r="D1640" s="1"/>
    </row>
    <row r="1641" spans="1:4" x14ac:dyDescent="0.25">
      <c r="A1641" s="1"/>
      <c r="B1641" s="1"/>
      <c r="C1641" s="1"/>
      <c r="D1641" s="1"/>
    </row>
    <row r="1642" spans="1:4" x14ac:dyDescent="0.25">
      <c r="A1642" s="1"/>
      <c r="B1642" s="1"/>
      <c r="C1642" s="1"/>
      <c r="D1642" s="1"/>
    </row>
    <row r="1643" spans="1:4" x14ac:dyDescent="0.25">
      <c r="A1643" s="1"/>
      <c r="B1643" s="1"/>
      <c r="C1643" s="1"/>
      <c r="D1643" s="1"/>
    </row>
    <row r="1644" spans="1:4" x14ac:dyDescent="0.25">
      <c r="A1644" s="1"/>
      <c r="B1644" s="1"/>
      <c r="C1644" s="1"/>
      <c r="D1644" s="1"/>
    </row>
    <row r="1645" spans="1:4" x14ac:dyDescent="0.25">
      <c r="A1645" s="1"/>
      <c r="B1645" s="1"/>
      <c r="C1645" s="1"/>
      <c r="D1645" s="1"/>
    </row>
    <row r="1646" spans="1:4" x14ac:dyDescent="0.25">
      <c r="A1646" s="1"/>
      <c r="B1646" s="1"/>
      <c r="C1646" s="1"/>
      <c r="D1646" s="1"/>
    </row>
    <row r="1647" spans="1:4" x14ac:dyDescent="0.25">
      <c r="A1647" s="1"/>
      <c r="B1647" s="1"/>
      <c r="C1647" s="1"/>
      <c r="D1647" s="1"/>
    </row>
    <row r="1648" spans="1:4" x14ac:dyDescent="0.25">
      <c r="A1648" s="1"/>
      <c r="B1648" s="1"/>
      <c r="C1648" s="1"/>
      <c r="D1648" s="1"/>
    </row>
    <row r="1649" spans="1:4" x14ac:dyDescent="0.25">
      <c r="A1649" s="1"/>
      <c r="B1649" s="1"/>
      <c r="C1649" s="1"/>
      <c r="D1649" s="1"/>
    </row>
    <row r="1650" spans="1:4" x14ac:dyDescent="0.25">
      <c r="A1650" s="1"/>
      <c r="B1650" s="1"/>
      <c r="C1650" s="1"/>
      <c r="D1650" s="1"/>
    </row>
    <row r="1651" spans="1:4" x14ac:dyDescent="0.25">
      <c r="A1651" s="1"/>
      <c r="B1651" s="1"/>
      <c r="C1651" s="1"/>
      <c r="D1651" s="1"/>
    </row>
    <row r="1652" spans="1:4" x14ac:dyDescent="0.25">
      <c r="A1652" s="1"/>
      <c r="B1652" s="1"/>
      <c r="C1652" s="1"/>
      <c r="D1652" s="1"/>
    </row>
    <row r="1653" spans="1:4" x14ac:dyDescent="0.25">
      <c r="A1653" s="1"/>
      <c r="B1653" s="1"/>
      <c r="C1653" s="1"/>
      <c r="D1653" s="1"/>
    </row>
    <row r="1654" spans="1:4" x14ac:dyDescent="0.25">
      <c r="A1654" s="1"/>
      <c r="B1654" s="1"/>
      <c r="C1654" s="1"/>
      <c r="D1654" s="1"/>
    </row>
    <row r="1655" spans="1:4" x14ac:dyDescent="0.25">
      <c r="A1655" s="1"/>
      <c r="B1655" s="1"/>
      <c r="C1655" s="1"/>
      <c r="D1655" s="1"/>
    </row>
    <row r="1656" spans="1:4" x14ac:dyDescent="0.25">
      <c r="A1656" s="1"/>
      <c r="B1656" s="1"/>
      <c r="C1656" s="1"/>
      <c r="D1656" s="1"/>
    </row>
    <row r="1657" spans="1:4" x14ac:dyDescent="0.25">
      <c r="A1657" s="1"/>
      <c r="B1657" s="1"/>
      <c r="C1657" s="1"/>
      <c r="D1657" s="1"/>
    </row>
    <row r="1658" spans="1:4" x14ac:dyDescent="0.25">
      <c r="A1658" s="1"/>
      <c r="B1658" s="1"/>
      <c r="C1658" s="1"/>
      <c r="D1658" s="1"/>
    </row>
    <row r="1659" spans="1:4" x14ac:dyDescent="0.25">
      <c r="A1659" s="1"/>
      <c r="B1659" s="1"/>
      <c r="C1659" s="1"/>
      <c r="D1659" s="1"/>
    </row>
    <row r="1660" spans="1:4" x14ac:dyDescent="0.25">
      <c r="A1660" s="1"/>
      <c r="B1660" s="1"/>
      <c r="C1660" s="1"/>
      <c r="D1660" s="1"/>
    </row>
    <row r="1661" spans="1:4" x14ac:dyDescent="0.25">
      <c r="A1661" s="1"/>
      <c r="B1661" s="1"/>
      <c r="C1661" s="1"/>
      <c r="D1661" s="1"/>
    </row>
    <row r="1662" spans="1:4" x14ac:dyDescent="0.25">
      <c r="A1662" s="1"/>
      <c r="B1662" s="1"/>
      <c r="C1662" s="1"/>
      <c r="D1662" s="1"/>
    </row>
    <row r="1663" spans="1:4" x14ac:dyDescent="0.25">
      <c r="A1663" s="1"/>
      <c r="B1663" s="1"/>
      <c r="C1663" s="1"/>
      <c r="D1663" s="1"/>
    </row>
    <row r="1664" spans="1:4" x14ac:dyDescent="0.25">
      <c r="A1664" s="1"/>
      <c r="B1664" s="1"/>
      <c r="C1664" s="1"/>
      <c r="D1664" s="1"/>
    </row>
    <row r="1665" spans="1:4" x14ac:dyDescent="0.25">
      <c r="A1665" s="1"/>
      <c r="B1665" s="1"/>
      <c r="C1665" s="1"/>
      <c r="D1665" s="1"/>
    </row>
    <row r="1666" spans="1:4" x14ac:dyDescent="0.25">
      <c r="A1666" s="1"/>
      <c r="B1666" s="1"/>
      <c r="C1666" s="1"/>
      <c r="D1666" s="1"/>
    </row>
    <row r="1667" spans="1:4" x14ac:dyDescent="0.25">
      <c r="A1667" s="1"/>
      <c r="B1667" s="1"/>
      <c r="C1667" s="1"/>
      <c r="D1667" s="1"/>
    </row>
    <row r="1668" spans="1:4" x14ac:dyDescent="0.25">
      <c r="A1668" s="1"/>
      <c r="B1668" s="1"/>
      <c r="C1668" s="1"/>
      <c r="D1668" s="1"/>
    </row>
    <row r="1669" spans="1:4" x14ac:dyDescent="0.25">
      <c r="A1669" s="1"/>
      <c r="B1669" s="1"/>
      <c r="C1669" s="1"/>
      <c r="D1669" s="1"/>
    </row>
    <row r="1670" spans="1:4" x14ac:dyDescent="0.25">
      <c r="A1670" s="1"/>
      <c r="B1670" s="1"/>
      <c r="C1670" s="1"/>
      <c r="D1670" s="1"/>
    </row>
    <row r="1671" spans="1:4" x14ac:dyDescent="0.25">
      <c r="A1671" s="1"/>
      <c r="B1671" s="1"/>
      <c r="C1671" s="1"/>
      <c r="D1671" s="1"/>
    </row>
    <row r="1672" spans="1:4" x14ac:dyDescent="0.25">
      <c r="A1672" s="1"/>
      <c r="B1672" s="1"/>
      <c r="C1672" s="1"/>
      <c r="D1672" s="1"/>
    </row>
    <row r="1673" spans="1:4" x14ac:dyDescent="0.25">
      <c r="A1673" s="1"/>
      <c r="B1673" s="1"/>
      <c r="C1673" s="1"/>
      <c r="D1673" s="1"/>
    </row>
    <row r="1674" spans="1:4" x14ac:dyDescent="0.25">
      <c r="A1674" s="1"/>
      <c r="B1674" s="1"/>
      <c r="C1674" s="1"/>
      <c r="D1674" s="1"/>
    </row>
    <row r="1675" spans="1:4" x14ac:dyDescent="0.25">
      <c r="A1675" s="1"/>
      <c r="B1675" s="1"/>
      <c r="C1675" s="1"/>
      <c r="D1675" s="1"/>
    </row>
    <row r="1676" spans="1:4" x14ac:dyDescent="0.25">
      <c r="A1676" s="1"/>
      <c r="B1676" s="1"/>
      <c r="C1676" s="1"/>
      <c r="D1676" s="1"/>
    </row>
    <row r="1677" spans="1:4" x14ac:dyDescent="0.25">
      <c r="A1677" s="1"/>
      <c r="B1677" s="1"/>
      <c r="C1677" s="1"/>
      <c r="D1677" s="1"/>
    </row>
    <row r="1678" spans="1:4" x14ac:dyDescent="0.25">
      <c r="A1678" s="1"/>
      <c r="B1678" s="1"/>
      <c r="C1678" s="1"/>
      <c r="D1678" s="1"/>
    </row>
    <row r="1679" spans="1:4" x14ac:dyDescent="0.25">
      <c r="A1679" s="1"/>
      <c r="B1679" s="1"/>
      <c r="C1679" s="1"/>
      <c r="D1679" s="1"/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1"/>
    </row>
    <row r="1682" spans="1:4" x14ac:dyDescent="0.25">
      <c r="A1682" s="1"/>
      <c r="B1682" s="1"/>
      <c r="C1682" s="1"/>
      <c r="D1682" s="1"/>
    </row>
    <row r="1683" spans="1:4" x14ac:dyDescent="0.25">
      <c r="A1683" s="1"/>
      <c r="B1683" s="1"/>
      <c r="C1683" s="1"/>
      <c r="D1683" s="1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1"/>
    </row>
    <row r="1686" spans="1:4" x14ac:dyDescent="0.25">
      <c r="A1686" s="1"/>
      <c r="B1686" s="1"/>
      <c r="C1686" s="1"/>
      <c r="D1686" s="1"/>
    </row>
    <row r="1687" spans="1:4" x14ac:dyDescent="0.25">
      <c r="A1687" s="1"/>
      <c r="B1687" s="1"/>
      <c r="C1687" s="1"/>
      <c r="D1687" s="1"/>
    </row>
    <row r="1688" spans="1:4" x14ac:dyDescent="0.25">
      <c r="A1688" s="1"/>
      <c r="B1688" s="1"/>
      <c r="C1688" s="1"/>
      <c r="D1688" s="1"/>
    </row>
    <row r="1689" spans="1:4" x14ac:dyDescent="0.25">
      <c r="A1689" s="1"/>
      <c r="B1689" s="1"/>
      <c r="C1689" s="1"/>
      <c r="D1689" s="1"/>
    </row>
    <row r="1690" spans="1:4" x14ac:dyDescent="0.25">
      <c r="A1690" s="1"/>
      <c r="B1690" s="1"/>
      <c r="C1690" s="1"/>
      <c r="D1690" s="1"/>
    </row>
    <row r="1691" spans="1:4" x14ac:dyDescent="0.25">
      <c r="A1691" s="1"/>
      <c r="B1691" s="1"/>
      <c r="C1691" s="1"/>
      <c r="D1691" s="1"/>
    </row>
    <row r="1692" spans="1:4" x14ac:dyDescent="0.25">
      <c r="A1692" s="1"/>
      <c r="B1692" s="1"/>
      <c r="C1692" s="1"/>
      <c r="D1692" s="1"/>
    </row>
    <row r="1693" spans="1:4" x14ac:dyDescent="0.25">
      <c r="A1693" s="1"/>
      <c r="B1693" s="1"/>
      <c r="C1693" s="1"/>
      <c r="D1693" s="1"/>
    </row>
    <row r="1694" spans="1:4" x14ac:dyDescent="0.25">
      <c r="A1694" s="1"/>
      <c r="B1694" s="1"/>
      <c r="C1694" s="1"/>
      <c r="D1694" s="1"/>
    </row>
    <row r="1695" spans="1:4" x14ac:dyDescent="0.25">
      <c r="A1695" s="1"/>
      <c r="B1695" s="1"/>
      <c r="C1695" s="1"/>
      <c r="D1695" s="1"/>
    </row>
    <row r="1696" spans="1:4" x14ac:dyDescent="0.25">
      <c r="A1696" s="1"/>
      <c r="B1696" s="1"/>
      <c r="C1696" s="1"/>
      <c r="D1696" s="1"/>
    </row>
    <row r="1697" spans="1:4" x14ac:dyDescent="0.25">
      <c r="A1697" s="1"/>
      <c r="B1697" s="1"/>
      <c r="C1697" s="1"/>
      <c r="D1697" s="1"/>
    </row>
    <row r="1698" spans="1:4" x14ac:dyDescent="0.25">
      <c r="A1698" s="1"/>
      <c r="B1698" s="1"/>
      <c r="C1698" s="1"/>
      <c r="D1698" s="1"/>
    </row>
    <row r="1699" spans="1:4" x14ac:dyDescent="0.25">
      <c r="A1699" s="1"/>
      <c r="B1699" s="1"/>
      <c r="C1699" s="1"/>
      <c r="D1699" s="1"/>
    </row>
    <row r="1700" spans="1:4" x14ac:dyDescent="0.25">
      <c r="A1700" s="1"/>
      <c r="B1700" s="1"/>
      <c r="C1700" s="1"/>
      <c r="D1700" s="1"/>
    </row>
    <row r="1701" spans="1:4" x14ac:dyDescent="0.25">
      <c r="A1701" s="1"/>
      <c r="B1701" s="1"/>
      <c r="C1701" s="1"/>
      <c r="D1701" s="1"/>
    </row>
    <row r="1702" spans="1:4" x14ac:dyDescent="0.25">
      <c r="A1702" s="1"/>
      <c r="B1702" s="1"/>
      <c r="C1702" s="1"/>
      <c r="D1702" s="1"/>
    </row>
    <row r="1703" spans="1:4" x14ac:dyDescent="0.25">
      <c r="A1703" s="1"/>
      <c r="B1703" s="1"/>
      <c r="C1703" s="1"/>
      <c r="D1703" s="1"/>
    </row>
    <row r="1704" spans="1:4" x14ac:dyDescent="0.25">
      <c r="A1704" s="1"/>
      <c r="B1704" s="1"/>
      <c r="C1704" s="1"/>
      <c r="D1704" s="1"/>
    </row>
    <row r="1705" spans="1:4" x14ac:dyDescent="0.25">
      <c r="A1705" s="1"/>
      <c r="B1705" s="1"/>
      <c r="C1705" s="1"/>
      <c r="D1705" s="1"/>
    </row>
    <row r="1706" spans="1:4" x14ac:dyDescent="0.25">
      <c r="A1706" s="1"/>
      <c r="B1706" s="1"/>
      <c r="C1706" s="1"/>
      <c r="D1706" s="1"/>
    </row>
    <row r="1707" spans="1:4" x14ac:dyDescent="0.25">
      <c r="A1707" s="1"/>
      <c r="B1707" s="1"/>
      <c r="C1707" s="1"/>
      <c r="D1707" s="1"/>
    </row>
    <row r="1708" spans="1:4" x14ac:dyDescent="0.25">
      <c r="A1708" s="1"/>
      <c r="B1708" s="1"/>
      <c r="C1708" s="1"/>
      <c r="D1708" s="1"/>
    </row>
    <row r="1709" spans="1:4" x14ac:dyDescent="0.25">
      <c r="A1709" s="1"/>
      <c r="B1709" s="1"/>
      <c r="C1709" s="1"/>
      <c r="D1709" s="1"/>
    </row>
    <row r="1710" spans="1:4" x14ac:dyDescent="0.25">
      <c r="A1710" s="1"/>
      <c r="B1710" s="1"/>
      <c r="C1710" s="1"/>
      <c r="D1710" s="1"/>
    </row>
    <row r="1711" spans="1:4" x14ac:dyDescent="0.25">
      <c r="A1711" s="1"/>
      <c r="B1711" s="1"/>
      <c r="C1711" s="1"/>
      <c r="D1711" s="1"/>
    </row>
    <row r="1712" spans="1:4" x14ac:dyDescent="0.25">
      <c r="A1712" s="1"/>
      <c r="B1712" s="1"/>
      <c r="C1712" s="1"/>
      <c r="D1712" s="1"/>
    </row>
    <row r="1713" spans="1:4" x14ac:dyDescent="0.25">
      <c r="A1713" s="1"/>
      <c r="B1713" s="1"/>
      <c r="C1713" s="1"/>
      <c r="D1713" s="1"/>
    </row>
    <row r="1714" spans="1:4" x14ac:dyDescent="0.25">
      <c r="A1714" s="1"/>
      <c r="B1714" s="1"/>
      <c r="C1714" s="1"/>
      <c r="D1714" s="1"/>
    </row>
    <row r="1715" spans="1:4" x14ac:dyDescent="0.25">
      <c r="A1715" s="1"/>
      <c r="B1715" s="1"/>
      <c r="C1715" s="1"/>
      <c r="D1715" s="1"/>
    </row>
    <row r="1716" spans="1:4" x14ac:dyDescent="0.25">
      <c r="A1716" s="1"/>
      <c r="B1716" s="1"/>
      <c r="C1716" s="1"/>
      <c r="D1716" s="1"/>
    </row>
    <row r="1717" spans="1:4" x14ac:dyDescent="0.25">
      <c r="A1717" s="1"/>
      <c r="B1717" s="1"/>
      <c r="C1717" s="1"/>
      <c r="D1717" s="1"/>
    </row>
    <row r="1718" spans="1:4" x14ac:dyDescent="0.25">
      <c r="A1718" s="1"/>
      <c r="B1718" s="1"/>
      <c r="C1718" s="1"/>
      <c r="D1718" s="1"/>
    </row>
    <row r="1719" spans="1:4" x14ac:dyDescent="0.25">
      <c r="A1719" s="1"/>
      <c r="B1719" s="1"/>
      <c r="C1719" s="1"/>
      <c r="D1719" s="1"/>
    </row>
    <row r="1720" spans="1:4" x14ac:dyDescent="0.25">
      <c r="A1720" s="1"/>
      <c r="B1720" s="1"/>
      <c r="C1720" s="1"/>
      <c r="D1720" s="1"/>
    </row>
    <row r="1721" spans="1:4" x14ac:dyDescent="0.25">
      <c r="A1721" s="1"/>
      <c r="B1721" s="1"/>
      <c r="C1721" s="1"/>
      <c r="D1721" s="1"/>
    </row>
    <row r="1722" spans="1:4" x14ac:dyDescent="0.25">
      <c r="A1722" s="1"/>
      <c r="B1722" s="1"/>
      <c r="C1722" s="1"/>
      <c r="D1722" s="1"/>
    </row>
    <row r="1723" spans="1:4" x14ac:dyDescent="0.25">
      <c r="A1723" s="1"/>
      <c r="B1723" s="1"/>
      <c r="C1723" s="1"/>
      <c r="D1723" s="1"/>
    </row>
    <row r="1724" spans="1:4" x14ac:dyDescent="0.25">
      <c r="A1724" s="1"/>
      <c r="B1724" s="1"/>
      <c r="C1724" s="1"/>
      <c r="D1724" s="1"/>
    </row>
    <row r="1725" spans="1:4" x14ac:dyDescent="0.25">
      <c r="A1725" s="1"/>
      <c r="B1725" s="1"/>
      <c r="C1725" s="1"/>
      <c r="D1725" s="1"/>
    </row>
    <row r="1726" spans="1:4" x14ac:dyDescent="0.25">
      <c r="A1726" s="1"/>
      <c r="B1726" s="1"/>
      <c r="C1726" s="1"/>
      <c r="D1726" s="1"/>
    </row>
    <row r="1727" spans="1:4" x14ac:dyDescent="0.25">
      <c r="A1727" s="1"/>
      <c r="B1727" s="1"/>
      <c r="C1727" s="1"/>
      <c r="D1727" s="1"/>
    </row>
    <row r="1728" spans="1:4" x14ac:dyDescent="0.25">
      <c r="A1728" s="1"/>
      <c r="B1728" s="1"/>
      <c r="C1728" s="1"/>
      <c r="D1728" s="1"/>
    </row>
    <row r="1729" spans="1:4" x14ac:dyDescent="0.25">
      <c r="A1729" s="1"/>
      <c r="B1729" s="1"/>
      <c r="C1729" s="1"/>
      <c r="D1729" s="1"/>
    </row>
    <row r="1730" spans="1:4" x14ac:dyDescent="0.25">
      <c r="A1730" s="1"/>
      <c r="B1730" s="1"/>
      <c r="C1730" s="1"/>
      <c r="D1730" s="1"/>
    </row>
    <row r="1731" spans="1:4" x14ac:dyDescent="0.25">
      <c r="A1731" s="1"/>
      <c r="B1731" s="1"/>
      <c r="C1731" s="1"/>
      <c r="D1731" s="1"/>
    </row>
    <row r="1732" spans="1:4" x14ac:dyDescent="0.25">
      <c r="A1732" s="1"/>
      <c r="B1732" s="1"/>
      <c r="C1732" s="1"/>
      <c r="D1732" s="1"/>
    </row>
    <row r="1733" spans="1:4" x14ac:dyDescent="0.25">
      <c r="A1733" s="1"/>
      <c r="B1733" s="1"/>
      <c r="C1733" s="1"/>
      <c r="D1733" s="1"/>
    </row>
    <row r="1734" spans="1:4" x14ac:dyDescent="0.25">
      <c r="A1734" s="1"/>
      <c r="B1734" s="1"/>
      <c r="C1734" s="1"/>
      <c r="D1734" s="1"/>
    </row>
    <row r="1735" spans="1:4" x14ac:dyDescent="0.25">
      <c r="A1735" s="1"/>
      <c r="B1735" s="1"/>
      <c r="C1735" s="1"/>
      <c r="D1735" s="1"/>
    </row>
    <row r="1736" spans="1:4" x14ac:dyDescent="0.25">
      <c r="A1736" s="1"/>
      <c r="B1736" s="1"/>
      <c r="C1736" s="1"/>
      <c r="D1736" s="1"/>
    </row>
    <row r="1737" spans="1:4" x14ac:dyDescent="0.25">
      <c r="A1737" s="1"/>
      <c r="B1737" s="1"/>
      <c r="C1737" s="1"/>
      <c r="D1737" s="1"/>
    </row>
    <row r="1738" spans="1:4" x14ac:dyDescent="0.25">
      <c r="A1738" s="1"/>
      <c r="B1738" s="1"/>
      <c r="C1738" s="1"/>
      <c r="D1738" s="1"/>
    </row>
    <row r="1739" spans="1:4" x14ac:dyDescent="0.25">
      <c r="A1739" s="1"/>
      <c r="B1739" s="1"/>
      <c r="C1739" s="1"/>
      <c r="D1739" s="1"/>
    </row>
    <row r="1740" spans="1:4" x14ac:dyDescent="0.25">
      <c r="A1740" s="1"/>
      <c r="B1740" s="1"/>
      <c r="C1740" s="1"/>
      <c r="D1740" s="1"/>
    </row>
    <row r="1741" spans="1:4" x14ac:dyDescent="0.25">
      <c r="A1741" s="1"/>
      <c r="B1741" s="1"/>
      <c r="C1741" s="1"/>
      <c r="D1741" s="1"/>
    </row>
    <row r="1742" spans="1:4" x14ac:dyDescent="0.25">
      <c r="A1742" s="1"/>
      <c r="B1742" s="1"/>
      <c r="C1742" s="1"/>
      <c r="D1742" s="1"/>
    </row>
    <row r="1743" spans="1:4" x14ac:dyDescent="0.25">
      <c r="A1743" s="1"/>
      <c r="B1743" s="1"/>
      <c r="C1743" s="1"/>
      <c r="D1743" s="1"/>
    </row>
    <row r="1744" spans="1:4" x14ac:dyDescent="0.25">
      <c r="A1744" s="1"/>
      <c r="B1744" s="1"/>
      <c r="C1744" s="1"/>
      <c r="D1744" s="1"/>
    </row>
    <row r="1745" spans="1:4" x14ac:dyDescent="0.25">
      <c r="A1745" s="1"/>
      <c r="B1745" s="1"/>
      <c r="C1745" s="1"/>
      <c r="D1745" s="1"/>
    </row>
    <row r="1746" spans="1:4" x14ac:dyDescent="0.25">
      <c r="A1746" s="1"/>
      <c r="B1746" s="1"/>
      <c r="C1746" s="1"/>
      <c r="D1746" s="1"/>
    </row>
    <row r="1747" spans="1:4" x14ac:dyDescent="0.25">
      <c r="A1747" s="1"/>
      <c r="B1747" s="1"/>
      <c r="C1747" s="1"/>
      <c r="D1747" s="1"/>
    </row>
    <row r="1748" spans="1:4" x14ac:dyDescent="0.25">
      <c r="A1748" s="1"/>
      <c r="B1748" s="1"/>
      <c r="C1748" s="1"/>
      <c r="D1748" s="1"/>
    </row>
    <row r="1749" spans="1:4" x14ac:dyDescent="0.25">
      <c r="A1749" s="1"/>
      <c r="B1749" s="1"/>
      <c r="C1749" s="1"/>
      <c r="D1749" s="1"/>
    </row>
    <row r="1750" spans="1:4" x14ac:dyDescent="0.25">
      <c r="A1750" s="1"/>
      <c r="B1750" s="1"/>
      <c r="C1750" s="1"/>
      <c r="D1750" s="1"/>
    </row>
    <row r="1751" spans="1:4" x14ac:dyDescent="0.25">
      <c r="A1751" s="1"/>
      <c r="B1751" s="1"/>
      <c r="C1751" s="1"/>
      <c r="D1751" s="1"/>
    </row>
    <row r="1752" spans="1:4" x14ac:dyDescent="0.25">
      <c r="A1752" s="1"/>
      <c r="B1752" s="1"/>
      <c r="C1752" s="1"/>
      <c r="D1752" s="1"/>
    </row>
    <row r="1753" spans="1:4" x14ac:dyDescent="0.25">
      <c r="A1753" s="1"/>
      <c r="B1753" s="1"/>
      <c r="C1753" s="1"/>
      <c r="D1753" s="1"/>
    </row>
    <row r="1754" spans="1:4" x14ac:dyDescent="0.25">
      <c r="A1754" s="1"/>
      <c r="B1754" s="1"/>
      <c r="C1754" s="1"/>
      <c r="D1754" s="1"/>
    </row>
    <row r="1755" spans="1:4" x14ac:dyDescent="0.25">
      <c r="A1755" s="1"/>
      <c r="B1755" s="1"/>
      <c r="C1755" s="1"/>
      <c r="D1755" s="1"/>
    </row>
    <row r="1756" spans="1:4" x14ac:dyDescent="0.25">
      <c r="A1756" s="1"/>
      <c r="B1756" s="1"/>
      <c r="C1756" s="1"/>
      <c r="D1756" s="1"/>
    </row>
    <row r="1757" spans="1:4" x14ac:dyDescent="0.25">
      <c r="A1757" s="1"/>
      <c r="B1757" s="1"/>
      <c r="C1757" s="1"/>
      <c r="D1757" s="1"/>
    </row>
    <row r="1758" spans="1:4" x14ac:dyDescent="0.25">
      <c r="A1758" s="1"/>
      <c r="B1758" s="1"/>
      <c r="C1758" s="1"/>
      <c r="D1758" s="1"/>
    </row>
    <row r="1759" spans="1:4" x14ac:dyDescent="0.25">
      <c r="A1759" s="1"/>
      <c r="B1759" s="1"/>
      <c r="C1759" s="1"/>
      <c r="D1759" s="1"/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1"/>
    </row>
    <row r="1763" spans="1:4" x14ac:dyDescent="0.25">
      <c r="A1763" s="1"/>
      <c r="B1763" s="1"/>
      <c r="C1763" s="1"/>
      <c r="D1763" s="1"/>
    </row>
    <row r="1764" spans="1:4" x14ac:dyDescent="0.25">
      <c r="A1764" s="1"/>
      <c r="B1764" s="1"/>
      <c r="C1764" s="1"/>
      <c r="D1764" s="1"/>
    </row>
    <row r="1765" spans="1:4" x14ac:dyDescent="0.25">
      <c r="A1765" s="1"/>
      <c r="B1765" s="1"/>
      <c r="C1765" s="1"/>
      <c r="D1765" s="1"/>
    </row>
    <row r="1766" spans="1:4" x14ac:dyDescent="0.25">
      <c r="A1766" s="1"/>
      <c r="B1766" s="1"/>
      <c r="C1766" s="1"/>
      <c r="D1766" s="1"/>
    </row>
    <row r="1767" spans="1:4" x14ac:dyDescent="0.25">
      <c r="A1767" s="1"/>
      <c r="B1767" s="1"/>
      <c r="C1767" s="1"/>
      <c r="D1767" s="1"/>
    </row>
    <row r="1768" spans="1:4" x14ac:dyDescent="0.25">
      <c r="A1768" s="1"/>
      <c r="B1768" s="1"/>
      <c r="C1768" s="1"/>
      <c r="D1768" s="1"/>
    </row>
    <row r="1769" spans="1:4" x14ac:dyDescent="0.25">
      <c r="A1769" s="1"/>
      <c r="B1769" s="1"/>
      <c r="C1769" s="1"/>
      <c r="D1769" s="1"/>
    </row>
    <row r="1770" spans="1:4" x14ac:dyDescent="0.25">
      <c r="A1770" s="1"/>
      <c r="B1770" s="1"/>
      <c r="C1770" s="1"/>
      <c r="D1770" s="1"/>
    </row>
    <row r="1771" spans="1:4" x14ac:dyDescent="0.25">
      <c r="A1771" s="1"/>
      <c r="B1771" s="1"/>
      <c r="C1771" s="1"/>
      <c r="D1771" s="1"/>
    </row>
    <row r="1772" spans="1:4" x14ac:dyDescent="0.25">
      <c r="A1772" s="1"/>
      <c r="B1772" s="1"/>
      <c r="C1772" s="1"/>
      <c r="D1772" s="1"/>
    </row>
    <row r="1773" spans="1:4" x14ac:dyDescent="0.25">
      <c r="A1773" s="1"/>
      <c r="B1773" s="1"/>
      <c r="C1773" s="1"/>
      <c r="D1773" s="1"/>
    </row>
    <row r="1774" spans="1:4" x14ac:dyDescent="0.25">
      <c r="A1774" s="1"/>
      <c r="B1774" s="1"/>
      <c r="C1774" s="1"/>
      <c r="D1774" s="1"/>
    </row>
    <row r="1775" spans="1:4" x14ac:dyDescent="0.25">
      <c r="A1775" s="1"/>
      <c r="B1775" s="1"/>
      <c r="C1775" s="1"/>
      <c r="D1775" s="1"/>
    </row>
    <row r="1776" spans="1:4" x14ac:dyDescent="0.25">
      <c r="A1776" s="1"/>
      <c r="B1776" s="1"/>
      <c r="C1776" s="1"/>
      <c r="D1776" s="1"/>
    </row>
    <row r="1777" spans="1:4" x14ac:dyDescent="0.25">
      <c r="A1777" s="1"/>
      <c r="B1777" s="1"/>
      <c r="C1777" s="1"/>
      <c r="D1777" s="1"/>
    </row>
    <row r="1778" spans="1:4" x14ac:dyDescent="0.25">
      <c r="A1778" s="1"/>
      <c r="B1778" s="1"/>
      <c r="C1778" s="1"/>
      <c r="D1778" s="1"/>
    </row>
    <row r="1779" spans="1:4" x14ac:dyDescent="0.25">
      <c r="A1779" s="1"/>
      <c r="B1779" s="1"/>
      <c r="C1779" s="1"/>
      <c r="D1779" s="1"/>
    </row>
    <row r="1780" spans="1:4" x14ac:dyDescent="0.25">
      <c r="A1780" s="1"/>
      <c r="B1780" s="1"/>
      <c r="C1780" s="1"/>
      <c r="D1780" s="1"/>
    </row>
    <row r="1781" spans="1:4" x14ac:dyDescent="0.25">
      <c r="A1781" s="1"/>
      <c r="B1781" s="1"/>
      <c r="C1781" s="1"/>
      <c r="D1781" s="1"/>
    </row>
    <row r="1782" spans="1:4" x14ac:dyDescent="0.25">
      <c r="A1782" s="1"/>
      <c r="B1782" s="1"/>
      <c r="C1782" s="1"/>
      <c r="D1782" s="1"/>
    </row>
    <row r="1783" spans="1:4" x14ac:dyDescent="0.25">
      <c r="A1783" s="1"/>
      <c r="B1783" s="1"/>
      <c r="C1783" s="1"/>
      <c r="D1783" s="1"/>
    </row>
    <row r="1784" spans="1:4" x14ac:dyDescent="0.25">
      <c r="A1784" s="1"/>
      <c r="B1784" s="1"/>
      <c r="C1784" s="1"/>
      <c r="D1784" s="1"/>
    </row>
    <row r="1785" spans="1:4" x14ac:dyDescent="0.25">
      <c r="A1785" s="1"/>
      <c r="B1785" s="1"/>
      <c r="C1785" s="1"/>
      <c r="D1785" s="1"/>
    </row>
    <row r="1786" spans="1:4" x14ac:dyDescent="0.25">
      <c r="A1786" s="1"/>
      <c r="B1786" s="1"/>
      <c r="C1786" s="1"/>
      <c r="D1786" s="1"/>
    </row>
    <row r="1787" spans="1:4" x14ac:dyDescent="0.25">
      <c r="A1787" s="1"/>
      <c r="B1787" s="1"/>
      <c r="C1787" s="1"/>
      <c r="D1787" s="1"/>
    </row>
    <row r="1788" spans="1:4" x14ac:dyDescent="0.25">
      <c r="A1788" s="1"/>
      <c r="B1788" s="1"/>
      <c r="C1788" s="1"/>
      <c r="D1788" s="1"/>
    </row>
    <row r="1789" spans="1:4" x14ac:dyDescent="0.25">
      <c r="A1789" s="1"/>
      <c r="B1789" s="1"/>
      <c r="C1789" s="1"/>
      <c r="D1789" s="1"/>
    </row>
    <row r="1790" spans="1:4" x14ac:dyDescent="0.25">
      <c r="A1790" s="1"/>
      <c r="B1790" s="1"/>
      <c r="C1790" s="1"/>
      <c r="D1790" s="1"/>
    </row>
    <row r="1791" spans="1:4" x14ac:dyDescent="0.25">
      <c r="A1791" s="1"/>
      <c r="B1791" s="1"/>
      <c r="C1791" s="1"/>
      <c r="D1791" s="1"/>
    </row>
    <row r="1792" spans="1:4" x14ac:dyDescent="0.25">
      <c r="A1792" s="1"/>
      <c r="B1792" s="1"/>
      <c r="C1792" s="1"/>
      <c r="D1792" s="1"/>
    </row>
    <row r="1793" spans="1:4" x14ac:dyDescent="0.25">
      <c r="A1793" s="1"/>
      <c r="B1793" s="1"/>
      <c r="C1793" s="1"/>
      <c r="D1793" s="1"/>
    </row>
    <row r="1794" spans="1:4" x14ac:dyDescent="0.25">
      <c r="A1794" s="1"/>
      <c r="B1794" s="1"/>
      <c r="C1794" s="1"/>
      <c r="D1794" s="1"/>
    </row>
    <row r="1795" spans="1:4" x14ac:dyDescent="0.25">
      <c r="A1795" s="1"/>
      <c r="B1795" s="1"/>
      <c r="C1795" s="1"/>
      <c r="D1795" s="1"/>
    </row>
    <row r="1796" spans="1:4" x14ac:dyDescent="0.25">
      <c r="A1796" s="1"/>
      <c r="B1796" s="1"/>
      <c r="C1796" s="1"/>
      <c r="D1796" s="1"/>
    </row>
    <row r="1797" spans="1:4" x14ac:dyDescent="0.25">
      <c r="A1797" s="1"/>
      <c r="B1797" s="1"/>
      <c r="C1797" s="1"/>
      <c r="D1797" s="1"/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x14ac:dyDescent="0.25">
      <c r="A1800" s="1"/>
      <c r="B1800" s="1"/>
      <c r="C1800" s="1"/>
      <c r="D1800" s="1"/>
    </row>
    <row r="1801" spans="1:4" x14ac:dyDescent="0.25">
      <c r="A1801" s="1"/>
      <c r="B1801" s="1"/>
      <c r="C1801" s="1"/>
      <c r="D1801" s="1"/>
    </row>
    <row r="1802" spans="1:4" x14ac:dyDescent="0.25">
      <c r="A1802" s="1"/>
      <c r="B1802" s="1"/>
      <c r="C1802" s="1"/>
      <c r="D1802" s="1"/>
    </row>
    <row r="1803" spans="1:4" x14ac:dyDescent="0.25">
      <c r="A1803" s="1"/>
      <c r="B1803" s="1"/>
      <c r="C1803" s="1"/>
      <c r="D1803" s="1"/>
    </row>
    <row r="1804" spans="1:4" x14ac:dyDescent="0.25">
      <c r="A1804" s="1"/>
      <c r="B1804" s="1"/>
      <c r="C1804" s="1"/>
      <c r="D1804" s="1"/>
    </row>
    <row r="1805" spans="1:4" x14ac:dyDescent="0.25">
      <c r="A1805" s="1"/>
      <c r="B1805" s="1"/>
      <c r="C1805" s="1"/>
      <c r="D1805" s="1"/>
    </row>
    <row r="1806" spans="1:4" x14ac:dyDescent="0.25">
      <c r="A1806" s="1"/>
      <c r="B1806" s="1"/>
      <c r="C1806" s="1"/>
      <c r="D1806" s="1"/>
    </row>
    <row r="1807" spans="1:4" x14ac:dyDescent="0.25">
      <c r="A1807" s="1"/>
      <c r="B1807" s="1"/>
      <c r="C1807" s="1"/>
      <c r="D1807" s="1"/>
    </row>
    <row r="1808" spans="1:4" x14ac:dyDescent="0.25">
      <c r="A1808" s="1"/>
      <c r="B1808" s="1"/>
      <c r="C1808" s="1"/>
      <c r="D1808" s="1"/>
    </row>
    <row r="1809" spans="1:4" x14ac:dyDescent="0.25">
      <c r="A1809" s="1"/>
      <c r="B1809" s="1"/>
      <c r="C1809" s="1"/>
      <c r="D1809" s="1"/>
    </row>
    <row r="1810" spans="1:4" x14ac:dyDescent="0.25">
      <c r="A1810" s="1"/>
      <c r="B1810" s="1"/>
      <c r="C1810" s="1"/>
      <c r="D1810" s="1"/>
    </row>
    <row r="1811" spans="1:4" x14ac:dyDescent="0.25">
      <c r="A1811" s="1"/>
      <c r="B1811" s="1"/>
      <c r="C1811" s="1"/>
      <c r="D1811" s="1"/>
    </row>
    <row r="1812" spans="1:4" x14ac:dyDescent="0.25">
      <c r="A1812" s="1"/>
      <c r="B1812" s="1"/>
      <c r="C1812" s="1"/>
      <c r="D1812" s="1"/>
    </row>
    <row r="1813" spans="1:4" x14ac:dyDescent="0.25">
      <c r="A1813" s="1"/>
      <c r="B1813" s="1"/>
      <c r="C1813" s="1"/>
      <c r="D1813" s="1"/>
    </row>
    <row r="1814" spans="1:4" x14ac:dyDescent="0.25">
      <c r="A1814" s="1"/>
      <c r="B1814" s="1"/>
      <c r="C1814" s="1"/>
      <c r="D1814" s="1"/>
    </row>
    <row r="1815" spans="1:4" x14ac:dyDescent="0.25">
      <c r="A1815" s="1"/>
      <c r="B1815" s="1"/>
      <c r="C1815" s="1"/>
      <c r="D1815" s="1"/>
    </row>
    <row r="1816" spans="1:4" x14ac:dyDescent="0.25">
      <c r="A1816" s="1"/>
      <c r="B1816" s="1"/>
      <c r="C1816" s="1"/>
      <c r="D1816" s="1"/>
    </row>
    <row r="1817" spans="1:4" x14ac:dyDescent="0.25">
      <c r="A1817" s="1"/>
      <c r="B1817" s="1"/>
      <c r="C1817" s="1"/>
      <c r="D1817" s="1"/>
    </row>
    <row r="1818" spans="1:4" x14ac:dyDescent="0.25">
      <c r="A1818" s="1"/>
      <c r="B1818" s="1"/>
      <c r="C1818" s="1"/>
      <c r="D1818" s="1"/>
    </row>
    <row r="1819" spans="1:4" x14ac:dyDescent="0.25">
      <c r="A1819" s="1"/>
      <c r="B1819" s="1"/>
      <c r="C1819" s="1"/>
      <c r="D1819" s="1"/>
    </row>
    <row r="1820" spans="1:4" x14ac:dyDescent="0.25">
      <c r="A1820" s="1"/>
      <c r="B1820" s="1"/>
      <c r="C1820" s="1"/>
      <c r="D1820" s="1"/>
    </row>
    <row r="1821" spans="1:4" x14ac:dyDescent="0.25">
      <c r="A1821" s="1"/>
      <c r="B1821" s="1"/>
      <c r="C1821" s="1"/>
      <c r="D1821" s="1"/>
    </row>
    <row r="1822" spans="1:4" x14ac:dyDescent="0.25">
      <c r="A1822" s="1"/>
      <c r="B1822" s="1"/>
      <c r="C1822" s="1"/>
      <c r="D1822" s="1"/>
    </row>
    <row r="1823" spans="1:4" x14ac:dyDescent="0.25">
      <c r="A1823" s="1"/>
      <c r="B1823" s="1"/>
      <c r="C1823" s="1"/>
      <c r="D1823" s="1"/>
    </row>
    <row r="1824" spans="1:4" x14ac:dyDescent="0.25">
      <c r="A1824" s="1"/>
      <c r="B1824" s="1"/>
      <c r="C1824" s="1"/>
      <c r="D1824" s="1"/>
    </row>
    <row r="1825" spans="1:4" x14ac:dyDescent="0.25">
      <c r="A1825" s="1"/>
      <c r="B1825" s="1"/>
      <c r="C1825" s="1"/>
      <c r="D1825" s="1"/>
    </row>
    <row r="1826" spans="1:4" x14ac:dyDescent="0.25">
      <c r="A1826" s="1"/>
      <c r="B1826" s="1"/>
      <c r="C1826" s="1"/>
      <c r="D1826" s="1"/>
    </row>
    <row r="1827" spans="1:4" x14ac:dyDescent="0.25">
      <c r="A1827" s="1"/>
      <c r="B1827" s="1"/>
      <c r="C1827" s="1"/>
      <c r="D1827" s="1"/>
    </row>
    <row r="1828" spans="1:4" x14ac:dyDescent="0.25">
      <c r="A1828" s="1"/>
      <c r="B1828" s="1"/>
      <c r="C1828" s="1"/>
      <c r="D1828" s="1"/>
    </row>
    <row r="1829" spans="1:4" x14ac:dyDescent="0.25">
      <c r="A1829" s="1"/>
      <c r="B1829" s="1"/>
      <c r="C1829" s="1"/>
      <c r="D1829" s="1"/>
    </row>
    <row r="1830" spans="1:4" x14ac:dyDescent="0.25">
      <c r="A1830" s="1"/>
      <c r="B1830" s="1"/>
      <c r="C1830" s="1"/>
      <c r="D1830" s="1"/>
    </row>
    <row r="1831" spans="1:4" x14ac:dyDescent="0.25">
      <c r="A1831" s="1"/>
      <c r="B1831" s="1"/>
      <c r="C1831" s="1"/>
      <c r="D1831" s="1"/>
    </row>
    <row r="1832" spans="1:4" x14ac:dyDescent="0.25">
      <c r="A1832" s="1"/>
      <c r="B1832" s="1"/>
      <c r="C1832" s="1"/>
      <c r="D1832" s="1"/>
    </row>
    <row r="1833" spans="1:4" x14ac:dyDescent="0.25">
      <c r="A1833" s="1"/>
      <c r="B1833" s="1"/>
      <c r="C1833" s="1"/>
      <c r="D1833" s="1"/>
    </row>
    <row r="1834" spans="1:4" x14ac:dyDescent="0.25">
      <c r="A1834" s="1"/>
      <c r="B1834" s="1"/>
      <c r="C1834" s="1"/>
      <c r="D1834" s="1"/>
    </row>
    <row r="1835" spans="1:4" x14ac:dyDescent="0.25">
      <c r="A1835" s="1"/>
      <c r="B1835" s="1"/>
      <c r="C1835" s="1"/>
      <c r="D1835" s="1"/>
    </row>
    <row r="1836" spans="1:4" x14ac:dyDescent="0.25">
      <c r="A1836" s="1"/>
      <c r="B1836" s="1"/>
      <c r="C1836" s="1"/>
      <c r="D1836" s="1"/>
    </row>
    <row r="1837" spans="1:4" x14ac:dyDescent="0.25">
      <c r="A1837" s="1"/>
      <c r="B1837" s="1"/>
      <c r="C1837" s="1"/>
      <c r="D1837" s="1"/>
    </row>
    <row r="1838" spans="1:4" x14ac:dyDescent="0.25">
      <c r="A1838" s="1"/>
      <c r="B1838" s="1"/>
      <c r="C1838" s="1"/>
      <c r="D1838" s="1"/>
    </row>
    <row r="1839" spans="1:4" x14ac:dyDescent="0.25">
      <c r="A1839" s="1"/>
      <c r="B1839" s="1"/>
      <c r="C1839" s="1"/>
      <c r="D1839" s="1"/>
    </row>
    <row r="1840" spans="1:4" x14ac:dyDescent="0.25">
      <c r="A1840" s="1"/>
      <c r="B1840" s="1"/>
      <c r="C1840" s="1"/>
      <c r="D1840" s="1"/>
    </row>
    <row r="1841" spans="1:4" x14ac:dyDescent="0.25">
      <c r="A1841" s="1"/>
      <c r="B1841" s="1"/>
      <c r="C1841" s="1"/>
      <c r="D1841" s="1"/>
    </row>
    <row r="1842" spans="1:4" x14ac:dyDescent="0.25">
      <c r="A1842" s="1"/>
      <c r="B1842" s="1"/>
      <c r="C1842" s="1"/>
      <c r="D1842" s="1"/>
    </row>
    <row r="1843" spans="1:4" x14ac:dyDescent="0.25">
      <c r="A1843" s="1"/>
      <c r="B1843" s="1"/>
      <c r="C1843" s="1"/>
      <c r="D1843" s="1"/>
    </row>
    <row r="1844" spans="1:4" x14ac:dyDescent="0.25">
      <c r="A1844" s="1"/>
      <c r="B1844" s="1"/>
      <c r="C1844" s="1"/>
      <c r="D1844" s="1"/>
    </row>
    <row r="1845" spans="1:4" x14ac:dyDescent="0.25">
      <c r="A1845" s="1"/>
      <c r="B1845" s="1"/>
      <c r="C1845" s="1"/>
      <c r="D1845" s="1"/>
    </row>
    <row r="1846" spans="1:4" x14ac:dyDescent="0.25">
      <c r="A1846" s="1"/>
      <c r="B1846" s="1"/>
      <c r="C1846" s="1"/>
      <c r="D1846" s="1"/>
    </row>
    <row r="1847" spans="1:4" x14ac:dyDescent="0.25">
      <c r="A1847" s="1"/>
      <c r="B1847" s="1"/>
      <c r="C1847" s="1"/>
      <c r="D1847" s="1"/>
    </row>
    <row r="1848" spans="1:4" x14ac:dyDescent="0.25">
      <c r="A1848" s="1"/>
      <c r="B1848" s="1"/>
      <c r="C1848" s="1"/>
      <c r="D1848" s="1"/>
    </row>
    <row r="1849" spans="1:4" x14ac:dyDescent="0.25">
      <c r="A1849" s="1"/>
      <c r="B1849" s="1"/>
      <c r="C1849" s="1"/>
      <c r="D1849" s="1"/>
    </row>
    <row r="1850" spans="1:4" x14ac:dyDescent="0.25">
      <c r="A1850" s="1"/>
      <c r="B1850" s="1"/>
      <c r="C1850" s="1"/>
      <c r="D1850" s="1"/>
    </row>
    <row r="1851" spans="1:4" x14ac:dyDescent="0.25">
      <c r="A1851" s="1"/>
      <c r="B1851" s="1"/>
      <c r="C1851" s="1"/>
      <c r="D1851" s="1"/>
    </row>
    <row r="1852" spans="1:4" x14ac:dyDescent="0.25">
      <c r="A1852" s="1"/>
      <c r="B1852" s="1"/>
      <c r="C1852" s="1"/>
      <c r="D1852" s="1"/>
    </row>
    <row r="1853" spans="1:4" x14ac:dyDescent="0.25">
      <c r="A1853" s="1"/>
      <c r="B1853" s="1"/>
      <c r="C1853" s="1"/>
      <c r="D1853" s="1"/>
    </row>
    <row r="1854" spans="1:4" x14ac:dyDescent="0.25">
      <c r="A1854" s="1"/>
      <c r="B1854" s="1"/>
      <c r="C1854" s="1"/>
      <c r="D1854" s="1"/>
    </row>
    <row r="1855" spans="1:4" x14ac:dyDescent="0.25">
      <c r="A1855" s="1"/>
      <c r="B1855" s="1"/>
      <c r="C1855" s="1"/>
      <c r="D1855" s="1"/>
    </row>
    <row r="1856" spans="1:4" x14ac:dyDescent="0.25">
      <c r="A1856" s="1"/>
      <c r="B1856" s="1"/>
      <c r="C1856" s="1"/>
      <c r="D1856" s="1"/>
    </row>
    <row r="1857" spans="1:4" x14ac:dyDescent="0.25">
      <c r="A1857" s="1"/>
      <c r="B1857" s="1"/>
      <c r="C1857" s="1"/>
      <c r="D1857" s="1"/>
    </row>
    <row r="1858" spans="1:4" x14ac:dyDescent="0.25">
      <c r="A1858" s="1"/>
      <c r="B1858" s="1"/>
      <c r="C1858" s="1"/>
      <c r="D1858" s="1"/>
    </row>
    <row r="1859" spans="1:4" x14ac:dyDescent="0.25">
      <c r="A1859" s="1"/>
      <c r="B1859" s="1"/>
      <c r="C1859" s="1"/>
      <c r="D1859" s="1"/>
    </row>
    <row r="1860" spans="1:4" x14ac:dyDescent="0.25">
      <c r="A1860" s="1"/>
      <c r="B1860" s="1"/>
      <c r="C1860" s="1"/>
      <c r="D1860" s="1"/>
    </row>
    <row r="1861" spans="1:4" x14ac:dyDescent="0.25">
      <c r="A1861" s="1"/>
      <c r="B1861" s="1"/>
      <c r="C1861" s="1"/>
      <c r="D1861" s="1"/>
    </row>
    <row r="1862" spans="1:4" x14ac:dyDescent="0.25">
      <c r="A1862" s="1"/>
      <c r="B1862" s="1"/>
      <c r="C1862" s="1"/>
      <c r="D1862" s="1"/>
    </row>
    <row r="1863" spans="1:4" x14ac:dyDescent="0.25">
      <c r="A1863" s="1"/>
      <c r="B1863" s="1"/>
      <c r="C1863" s="1"/>
      <c r="D1863" s="1"/>
    </row>
    <row r="1864" spans="1:4" x14ac:dyDescent="0.25">
      <c r="A1864" s="1"/>
      <c r="B1864" s="1"/>
      <c r="C1864" s="1"/>
      <c r="D1864" s="1"/>
    </row>
    <row r="1865" spans="1:4" x14ac:dyDescent="0.25">
      <c r="A1865" s="1"/>
      <c r="B1865" s="1"/>
      <c r="C1865" s="1"/>
      <c r="D1865" s="1"/>
    </row>
    <row r="1866" spans="1:4" x14ac:dyDescent="0.25">
      <c r="A1866" s="1"/>
      <c r="B1866" s="1"/>
      <c r="C1866" s="1"/>
      <c r="D1866" s="1"/>
    </row>
    <row r="1867" spans="1:4" x14ac:dyDescent="0.25">
      <c r="A1867" s="1"/>
      <c r="B1867" s="1"/>
      <c r="C1867" s="1"/>
      <c r="D1867" s="1"/>
    </row>
    <row r="1868" spans="1:4" x14ac:dyDescent="0.25">
      <c r="A1868" s="1"/>
      <c r="B1868" s="1"/>
      <c r="C1868" s="1"/>
      <c r="D1868" s="1"/>
    </row>
    <row r="1869" spans="1:4" x14ac:dyDescent="0.25">
      <c r="A1869" s="1"/>
      <c r="B1869" s="1"/>
      <c r="C1869" s="1"/>
      <c r="D1869" s="1"/>
    </row>
    <row r="1870" spans="1:4" x14ac:dyDescent="0.25">
      <c r="A1870" s="1"/>
      <c r="B1870" s="1"/>
      <c r="C1870" s="1"/>
      <c r="D1870" s="1"/>
    </row>
    <row r="1871" spans="1:4" x14ac:dyDescent="0.25">
      <c r="A1871" s="1"/>
      <c r="B1871" s="1"/>
      <c r="C1871" s="1"/>
      <c r="D1871" s="1"/>
    </row>
    <row r="1872" spans="1:4" x14ac:dyDescent="0.25">
      <c r="A1872" s="1"/>
      <c r="B1872" s="1"/>
      <c r="C1872" s="1"/>
      <c r="D1872" s="1"/>
    </row>
    <row r="1873" spans="1:4" x14ac:dyDescent="0.25">
      <c r="A1873" s="1"/>
      <c r="B1873" s="1"/>
      <c r="C1873" s="1"/>
      <c r="D1873" s="1"/>
    </row>
    <row r="1874" spans="1:4" x14ac:dyDescent="0.25">
      <c r="A1874" s="1"/>
      <c r="B1874" s="1"/>
      <c r="C1874" s="1"/>
      <c r="D1874" s="1"/>
    </row>
    <row r="1875" spans="1:4" x14ac:dyDescent="0.25">
      <c r="A1875" s="1"/>
      <c r="B1875" s="1"/>
      <c r="C1875" s="1"/>
      <c r="D1875" s="1"/>
    </row>
    <row r="1876" spans="1:4" x14ac:dyDescent="0.25">
      <c r="A1876" s="1"/>
      <c r="B1876" s="1"/>
      <c r="C1876" s="1"/>
      <c r="D1876" s="1"/>
    </row>
    <row r="1877" spans="1:4" x14ac:dyDescent="0.25">
      <c r="A1877" s="1"/>
      <c r="B1877" s="1"/>
      <c r="C1877" s="1"/>
      <c r="D1877" s="1"/>
    </row>
    <row r="1878" spans="1:4" x14ac:dyDescent="0.25">
      <c r="A1878" s="1"/>
      <c r="B1878" s="1"/>
      <c r="C1878" s="1"/>
      <c r="D1878" s="1"/>
    </row>
    <row r="1879" spans="1:4" x14ac:dyDescent="0.25">
      <c r="A1879" s="1"/>
      <c r="B1879" s="1"/>
      <c r="C1879" s="1"/>
      <c r="D1879" s="1"/>
    </row>
    <row r="1880" spans="1:4" x14ac:dyDescent="0.25">
      <c r="A1880" s="1"/>
      <c r="B1880" s="1"/>
      <c r="C1880" s="1"/>
      <c r="D1880" s="1"/>
    </row>
    <row r="1881" spans="1:4" x14ac:dyDescent="0.25">
      <c r="A1881" s="1"/>
      <c r="B1881" s="1"/>
      <c r="C1881" s="1"/>
      <c r="D1881" s="1"/>
    </row>
    <row r="1882" spans="1:4" x14ac:dyDescent="0.25">
      <c r="A1882" s="1"/>
      <c r="B1882" s="1"/>
      <c r="C1882" s="1"/>
      <c r="D1882" s="1"/>
    </row>
    <row r="1883" spans="1:4" x14ac:dyDescent="0.25">
      <c r="A1883" s="1"/>
      <c r="B1883" s="1"/>
      <c r="C1883" s="1"/>
      <c r="D1883" s="1"/>
    </row>
    <row r="1884" spans="1:4" x14ac:dyDescent="0.25">
      <c r="A1884" s="1"/>
      <c r="B1884" s="1"/>
      <c r="C1884" s="1"/>
      <c r="D1884" s="1"/>
    </row>
    <row r="1885" spans="1:4" x14ac:dyDescent="0.25">
      <c r="A1885" s="1"/>
      <c r="B1885" s="1"/>
      <c r="C1885" s="1"/>
      <c r="D1885" s="1"/>
    </row>
    <row r="1886" spans="1:4" x14ac:dyDescent="0.25">
      <c r="A1886" s="1"/>
      <c r="B1886" s="1"/>
      <c r="C1886" s="1"/>
      <c r="D1886" s="1"/>
    </row>
    <row r="1887" spans="1:4" x14ac:dyDescent="0.25">
      <c r="A1887" s="1"/>
      <c r="B1887" s="1"/>
      <c r="C1887" s="1"/>
      <c r="D1887" s="1"/>
    </row>
    <row r="1888" spans="1:4" x14ac:dyDescent="0.25">
      <c r="A1888" s="1"/>
      <c r="B1888" s="1"/>
      <c r="C1888" s="1"/>
      <c r="D1888" s="1"/>
    </row>
    <row r="1889" spans="1:4" x14ac:dyDescent="0.25">
      <c r="A1889" s="1"/>
      <c r="B1889" s="1"/>
      <c r="C1889" s="1"/>
      <c r="D1889" s="1"/>
    </row>
    <row r="1890" spans="1:4" x14ac:dyDescent="0.25">
      <c r="A1890" s="1"/>
      <c r="B1890" s="1"/>
      <c r="C1890" s="1"/>
      <c r="D1890" s="1"/>
    </row>
    <row r="1891" spans="1:4" x14ac:dyDescent="0.25">
      <c r="A1891" s="1"/>
      <c r="B1891" s="1"/>
      <c r="C1891" s="1"/>
      <c r="D1891" s="1"/>
    </row>
    <row r="1892" spans="1:4" x14ac:dyDescent="0.25">
      <c r="A1892" s="1"/>
      <c r="B1892" s="1"/>
      <c r="C1892" s="1"/>
      <c r="D1892" s="1"/>
    </row>
    <row r="1893" spans="1:4" x14ac:dyDescent="0.25">
      <c r="A1893" s="1"/>
      <c r="B1893" s="1"/>
      <c r="C1893" s="1"/>
      <c r="D1893" s="1"/>
    </row>
    <row r="1894" spans="1:4" x14ac:dyDescent="0.25">
      <c r="A1894" s="1"/>
      <c r="B1894" s="1"/>
      <c r="C1894" s="1"/>
      <c r="D1894" s="1"/>
    </row>
    <row r="1895" spans="1:4" x14ac:dyDescent="0.25">
      <c r="A1895" s="1"/>
      <c r="B1895" s="1"/>
      <c r="C1895" s="1"/>
      <c r="D1895" s="1"/>
    </row>
    <row r="1896" spans="1:4" x14ac:dyDescent="0.25">
      <c r="A1896" s="1"/>
      <c r="B1896" s="1"/>
      <c r="C1896" s="1"/>
      <c r="D1896" s="1"/>
    </row>
    <row r="1897" spans="1:4" x14ac:dyDescent="0.25">
      <c r="A1897" s="1"/>
      <c r="B1897" s="1"/>
      <c r="C1897" s="1"/>
      <c r="D1897" s="1"/>
    </row>
    <row r="1898" spans="1:4" x14ac:dyDescent="0.25">
      <c r="A1898" s="1"/>
      <c r="B1898" s="1"/>
      <c r="C1898" s="1"/>
      <c r="D1898" s="1"/>
    </row>
    <row r="1899" spans="1:4" x14ac:dyDescent="0.25">
      <c r="A1899" s="1"/>
      <c r="B1899" s="1"/>
      <c r="C1899" s="1"/>
      <c r="D1899" s="1"/>
    </row>
    <row r="1900" spans="1:4" x14ac:dyDescent="0.25">
      <c r="A1900" s="1"/>
      <c r="B1900" s="1"/>
      <c r="C1900" s="1"/>
      <c r="D1900" s="1"/>
    </row>
    <row r="1901" spans="1:4" x14ac:dyDescent="0.25">
      <c r="A1901" s="1"/>
      <c r="B1901" s="1"/>
      <c r="C1901" s="1"/>
      <c r="D1901" s="1"/>
    </row>
    <row r="1902" spans="1:4" x14ac:dyDescent="0.25">
      <c r="A1902" s="1"/>
      <c r="B1902" s="1"/>
      <c r="C1902" s="1"/>
      <c r="D1902" s="1"/>
    </row>
    <row r="1903" spans="1:4" x14ac:dyDescent="0.25">
      <c r="A1903" s="1"/>
      <c r="B1903" s="1"/>
      <c r="C1903" s="1"/>
      <c r="D1903" s="1"/>
    </row>
    <row r="1904" spans="1:4" x14ac:dyDescent="0.25">
      <c r="A1904" s="1"/>
      <c r="B1904" s="1"/>
      <c r="C1904" s="1"/>
      <c r="D1904" s="1"/>
    </row>
    <row r="1905" spans="1:4" x14ac:dyDescent="0.25">
      <c r="A1905" s="1"/>
      <c r="B1905" s="1"/>
      <c r="C1905" s="1"/>
      <c r="D1905" s="1"/>
    </row>
    <row r="1906" spans="1:4" x14ac:dyDescent="0.25">
      <c r="A1906" s="1"/>
      <c r="B1906" s="1"/>
      <c r="C1906" s="1"/>
      <c r="D1906" s="1"/>
    </row>
    <row r="1907" spans="1:4" x14ac:dyDescent="0.25">
      <c r="A1907" s="1"/>
      <c r="B1907" s="1"/>
      <c r="C1907" s="1"/>
      <c r="D1907" s="1"/>
    </row>
    <row r="1908" spans="1:4" x14ac:dyDescent="0.25">
      <c r="A1908" s="1"/>
      <c r="B1908" s="1"/>
      <c r="C1908" s="1"/>
      <c r="D1908" s="1"/>
    </row>
    <row r="1909" spans="1:4" x14ac:dyDescent="0.25">
      <c r="A1909" s="1"/>
      <c r="B1909" s="1"/>
      <c r="C1909" s="1"/>
      <c r="D1909" s="1"/>
    </row>
    <row r="1910" spans="1:4" x14ac:dyDescent="0.25">
      <c r="A1910" s="1"/>
      <c r="B1910" s="1"/>
      <c r="C1910" s="1"/>
      <c r="D1910" s="1"/>
    </row>
    <row r="1911" spans="1:4" x14ac:dyDescent="0.25">
      <c r="A1911" s="1"/>
      <c r="B1911" s="1"/>
      <c r="C1911" s="1"/>
      <c r="D1911" s="1"/>
    </row>
    <row r="1912" spans="1:4" x14ac:dyDescent="0.25">
      <c r="A1912" s="1"/>
      <c r="B1912" s="1"/>
      <c r="C1912" s="1"/>
      <c r="D1912" s="1"/>
    </row>
    <row r="1913" spans="1:4" x14ac:dyDescent="0.25">
      <c r="A1913" s="1"/>
      <c r="B1913" s="1"/>
      <c r="C1913" s="1"/>
      <c r="D1913" s="1"/>
    </row>
    <row r="1914" spans="1:4" x14ac:dyDescent="0.25">
      <c r="A1914" s="1"/>
      <c r="B1914" s="1"/>
      <c r="C1914" s="1"/>
      <c r="D1914" s="1"/>
    </row>
    <row r="1915" spans="1:4" x14ac:dyDescent="0.25">
      <c r="A1915" s="1"/>
      <c r="B1915" s="1"/>
      <c r="C1915" s="1"/>
      <c r="D1915" s="1"/>
    </row>
    <row r="1916" spans="1:4" x14ac:dyDescent="0.25">
      <c r="A1916" s="1"/>
      <c r="B1916" s="1"/>
      <c r="C1916" s="1"/>
      <c r="D1916" s="1"/>
    </row>
    <row r="1917" spans="1:4" x14ac:dyDescent="0.25">
      <c r="A1917" s="1"/>
      <c r="B1917" s="1"/>
      <c r="C1917" s="1"/>
      <c r="D1917" s="1"/>
    </row>
    <row r="1918" spans="1:4" x14ac:dyDescent="0.25">
      <c r="A1918" s="1"/>
      <c r="B1918" s="1"/>
      <c r="C1918" s="1"/>
      <c r="D1918" s="1"/>
    </row>
    <row r="1919" spans="1:4" x14ac:dyDescent="0.25">
      <c r="A1919" s="1"/>
      <c r="B1919" s="1"/>
      <c r="C1919" s="1"/>
      <c r="D1919" s="1"/>
    </row>
    <row r="1920" spans="1:4" x14ac:dyDescent="0.25">
      <c r="A1920" s="1"/>
      <c r="B1920" s="1"/>
      <c r="C1920" s="1"/>
      <c r="D1920" s="1"/>
    </row>
    <row r="1921" spans="1:4" x14ac:dyDescent="0.25">
      <c r="A1921" s="1"/>
      <c r="B1921" s="1"/>
      <c r="C1921" s="1"/>
      <c r="D1921" s="1"/>
    </row>
    <row r="1922" spans="1:4" x14ac:dyDescent="0.25">
      <c r="A1922" s="1"/>
      <c r="B1922" s="1"/>
      <c r="C1922" s="1"/>
      <c r="D1922" s="1"/>
    </row>
    <row r="1923" spans="1:4" x14ac:dyDescent="0.25">
      <c r="A1923" s="1"/>
      <c r="B1923" s="1"/>
      <c r="C1923" s="1"/>
      <c r="D1923" s="1"/>
    </row>
    <row r="1924" spans="1:4" x14ac:dyDescent="0.25">
      <c r="A1924" s="1"/>
      <c r="B1924" s="1"/>
      <c r="C1924" s="1"/>
      <c r="D1924" s="1"/>
    </row>
    <row r="1925" spans="1:4" x14ac:dyDescent="0.25">
      <c r="A1925" s="1"/>
      <c r="B1925" s="1"/>
      <c r="C1925" s="1"/>
      <c r="D1925" s="1"/>
    </row>
    <row r="1926" spans="1:4" x14ac:dyDescent="0.25">
      <c r="A1926" s="1"/>
      <c r="B1926" s="1"/>
      <c r="C1926" s="1"/>
      <c r="D1926" s="1"/>
    </row>
    <row r="1927" spans="1:4" x14ac:dyDescent="0.25">
      <c r="A1927" s="1"/>
      <c r="B1927" s="1"/>
      <c r="C1927" s="1"/>
      <c r="D1927" s="1"/>
    </row>
    <row r="1928" spans="1:4" x14ac:dyDescent="0.25">
      <c r="A1928" s="1"/>
      <c r="B1928" s="1"/>
      <c r="C1928" s="1"/>
      <c r="D1928" s="1"/>
    </row>
    <row r="1929" spans="1:4" x14ac:dyDescent="0.25">
      <c r="A1929" s="1"/>
      <c r="B1929" s="1"/>
      <c r="C1929" s="1"/>
      <c r="D1929" s="1"/>
    </row>
    <row r="1930" spans="1:4" x14ac:dyDescent="0.25">
      <c r="A1930" s="1"/>
      <c r="B1930" s="1"/>
      <c r="C1930" s="1"/>
      <c r="D1930" s="1"/>
    </row>
    <row r="1931" spans="1:4" x14ac:dyDescent="0.25">
      <c r="A1931" s="1"/>
      <c r="B1931" s="1"/>
      <c r="C1931" s="1"/>
      <c r="D1931" s="1"/>
    </row>
    <row r="1932" spans="1:4" x14ac:dyDescent="0.25">
      <c r="A1932" s="1"/>
      <c r="B1932" s="1"/>
      <c r="C1932" s="1"/>
      <c r="D1932" s="1"/>
    </row>
    <row r="1933" spans="1:4" x14ac:dyDescent="0.25">
      <c r="A1933" s="1"/>
      <c r="B1933" s="1"/>
      <c r="C1933" s="1"/>
      <c r="D1933" s="1"/>
    </row>
    <row r="1934" spans="1:4" x14ac:dyDescent="0.25">
      <c r="A1934" s="1"/>
      <c r="B1934" s="1"/>
      <c r="C1934" s="1"/>
      <c r="D1934" s="1"/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x14ac:dyDescent="0.25">
      <c r="A1937" s="1"/>
      <c r="B1937" s="1"/>
      <c r="C1937" s="1"/>
      <c r="D1937" s="1"/>
    </row>
    <row r="1938" spans="1:4" x14ac:dyDescent="0.25">
      <c r="A1938" s="1"/>
      <c r="B1938" s="1"/>
      <c r="C1938" s="1"/>
      <c r="D1938" s="1"/>
    </row>
    <row r="1939" spans="1:4" x14ac:dyDescent="0.25">
      <c r="A1939" s="1"/>
      <c r="B1939" s="1"/>
      <c r="C1939" s="1"/>
      <c r="D1939" s="1"/>
    </row>
    <row r="1940" spans="1:4" x14ac:dyDescent="0.25">
      <c r="A1940" s="1"/>
      <c r="B1940" s="1"/>
      <c r="C1940" s="1"/>
      <c r="D1940" s="1"/>
    </row>
    <row r="1941" spans="1:4" x14ac:dyDescent="0.25">
      <c r="A1941" s="1"/>
      <c r="B1941" s="1"/>
      <c r="C1941" s="1"/>
      <c r="D1941" s="1"/>
    </row>
    <row r="1942" spans="1:4" x14ac:dyDescent="0.25">
      <c r="A1942" s="1"/>
      <c r="B1942" s="1"/>
      <c r="C1942" s="1"/>
      <c r="D1942" s="1"/>
    </row>
    <row r="1943" spans="1:4" x14ac:dyDescent="0.25">
      <c r="A1943" s="1"/>
      <c r="B1943" s="1"/>
      <c r="C1943" s="1"/>
      <c r="D1943" s="1"/>
    </row>
    <row r="1944" spans="1:4" x14ac:dyDescent="0.25">
      <c r="A1944" s="1"/>
      <c r="B1944" s="1"/>
      <c r="C1944" s="1"/>
      <c r="D1944" s="1"/>
    </row>
    <row r="1945" spans="1:4" x14ac:dyDescent="0.25">
      <c r="A1945" s="1"/>
      <c r="B1945" s="1"/>
      <c r="C1945" s="1"/>
      <c r="D1945" s="1"/>
    </row>
    <row r="1946" spans="1:4" x14ac:dyDescent="0.25">
      <c r="A1946" s="1"/>
      <c r="B1946" s="1"/>
      <c r="C1946" s="1"/>
      <c r="D1946" s="1"/>
    </row>
    <row r="1947" spans="1:4" x14ac:dyDescent="0.25">
      <c r="A1947" s="1"/>
      <c r="B1947" s="1"/>
      <c r="C1947" s="1"/>
      <c r="D1947" s="1"/>
    </row>
    <row r="1948" spans="1:4" x14ac:dyDescent="0.25">
      <c r="A1948" s="1"/>
      <c r="B1948" s="1"/>
      <c r="C1948" s="1"/>
      <c r="D1948" s="1"/>
    </row>
    <row r="1949" spans="1:4" x14ac:dyDescent="0.25">
      <c r="A1949" s="1"/>
      <c r="B1949" s="1"/>
      <c r="C1949" s="1"/>
      <c r="D1949" s="1"/>
    </row>
    <row r="1950" spans="1:4" x14ac:dyDescent="0.25">
      <c r="A1950" s="1"/>
      <c r="B1950" s="1"/>
      <c r="C1950" s="1"/>
      <c r="D1950" s="1"/>
    </row>
    <row r="1951" spans="1:4" x14ac:dyDescent="0.25">
      <c r="A1951" s="1"/>
      <c r="B1951" s="1"/>
      <c r="C1951" s="1"/>
      <c r="D1951" s="1"/>
    </row>
    <row r="1952" spans="1:4" x14ac:dyDescent="0.25">
      <c r="A1952" s="1"/>
      <c r="B1952" s="1"/>
      <c r="C1952" s="1"/>
      <c r="D1952" s="1"/>
    </row>
    <row r="1953" spans="1:4" x14ac:dyDescent="0.25">
      <c r="A1953" s="1"/>
      <c r="B1953" s="1"/>
      <c r="C1953" s="1"/>
      <c r="D1953" s="1"/>
    </row>
    <row r="1954" spans="1:4" x14ac:dyDescent="0.25">
      <c r="A1954" s="1"/>
      <c r="B1954" s="1"/>
      <c r="C1954" s="1"/>
      <c r="D1954" s="1"/>
    </row>
    <row r="1955" spans="1:4" x14ac:dyDescent="0.25">
      <c r="A1955" s="1"/>
      <c r="B1955" s="1"/>
      <c r="C1955" s="1"/>
      <c r="D1955" s="1"/>
    </row>
    <row r="1956" spans="1:4" x14ac:dyDescent="0.25">
      <c r="A1956" s="1"/>
      <c r="B1956" s="1"/>
      <c r="C1956" s="1"/>
      <c r="D1956" s="1"/>
    </row>
    <row r="1957" spans="1:4" x14ac:dyDescent="0.25">
      <c r="A1957" s="1"/>
      <c r="B1957" s="1"/>
      <c r="C1957" s="1"/>
      <c r="D1957" s="1"/>
    </row>
    <row r="1958" spans="1:4" x14ac:dyDescent="0.25">
      <c r="A1958" s="1"/>
      <c r="B1958" s="1"/>
      <c r="C1958" s="1"/>
      <c r="D1958" s="1"/>
    </row>
    <row r="1959" spans="1:4" x14ac:dyDescent="0.25">
      <c r="A1959" s="1"/>
      <c r="B1959" s="1"/>
      <c r="C1959" s="1"/>
      <c r="D1959" s="1"/>
    </row>
    <row r="1960" spans="1:4" x14ac:dyDescent="0.25">
      <c r="A1960" s="1"/>
      <c r="B1960" s="1"/>
      <c r="C1960" s="1"/>
      <c r="D1960" s="1"/>
    </row>
    <row r="1961" spans="1:4" x14ac:dyDescent="0.25">
      <c r="A1961" s="1"/>
      <c r="B1961" s="1"/>
      <c r="C1961" s="1"/>
      <c r="D1961" s="1"/>
    </row>
    <row r="1962" spans="1:4" x14ac:dyDescent="0.25">
      <c r="A1962" s="1"/>
      <c r="B1962" s="1"/>
      <c r="C1962" s="1"/>
      <c r="D1962" s="1"/>
    </row>
    <row r="1963" spans="1:4" x14ac:dyDescent="0.25">
      <c r="A1963" s="1"/>
      <c r="B1963" s="1"/>
      <c r="C1963" s="1"/>
      <c r="D1963" s="1"/>
    </row>
    <row r="1964" spans="1:4" x14ac:dyDescent="0.25">
      <c r="A1964" s="1"/>
      <c r="B1964" s="1"/>
      <c r="C1964" s="1"/>
      <c r="D1964" s="1"/>
    </row>
    <row r="1965" spans="1:4" x14ac:dyDescent="0.25">
      <c r="A1965" s="1"/>
      <c r="B1965" s="1"/>
      <c r="C1965" s="1"/>
      <c r="D1965" s="1"/>
    </row>
    <row r="1966" spans="1:4" x14ac:dyDescent="0.25">
      <c r="A1966" s="1"/>
      <c r="B1966" s="1"/>
      <c r="C1966" s="1"/>
      <c r="D1966" s="1"/>
    </row>
    <row r="1967" spans="1:4" x14ac:dyDescent="0.25">
      <c r="A1967" s="1"/>
      <c r="B1967" s="1"/>
      <c r="C1967" s="1"/>
      <c r="D1967" s="1"/>
    </row>
    <row r="1968" spans="1:4" x14ac:dyDescent="0.25">
      <c r="A1968" s="1"/>
      <c r="B1968" s="1"/>
      <c r="C1968" s="1"/>
      <c r="D1968" s="1"/>
    </row>
    <row r="1969" spans="1:4" x14ac:dyDescent="0.25">
      <c r="A1969" s="1"/>
      <c r="B1969" s="1"/>
      <c r="C1969" s="1"/>
      <c r="D1969" s="1"/>
    </row>
    <row r="1970" spans="1:4" x14ac:dyDescent="0.25">
      <c r="A1970" s="1"/>
      <c r="B1970" s="1"/>
      <c r="C1970" s="1"/>
      <c r="D1970" s="1"/>
    </row>
    <row r="1971" spans="1:4" x14ac:dyDescent="0.25">
      <c r="A1971" s="1"/>
      <c r="B1971" s="1"/>
      <c r="C1971" s="1"/>
      <c r="D1971" s="1"/>
    </row>
    <row r="1972" spans="1:4" x14ac:dyDescent="0.25">
      <c r="A1972" s="1"/>
      <c r="B1972" s="1"/>
      <c r="C1972" s="1"/>
      <c r="D1972" s="1"/>
    </row>
    <row r="1973" spans="1:4" x14ac:dyDescent="0.25">
      <c r="A1973" s="1"/>
      <c r="B1973" s="1"/>
      <c r="C1973" s="1"/>
      <c r="D1973" s="1"/>
    </row>
    <row r="1974" spans="1:4" x14ac:dyDescent="0.25">
      <c r="A1974" s="1"/>
      <c r="B1974" s="1"/>
      <c r="C1974" s="1"/>
      <c r="D1974" s="1"/>
    </row>
    <row r="1975" spans="1:4" x14ac:dyDescent="0.25">
      <c r="A1975" s="1"/>
      <c r="B1975" s="1"/>
      <c r="C1975" s="1"/>
      <c r="D1975" s="1"/>
    </row>
    <row r="1976" spans="1:4" x14ac:dyDescent="0.25">
      <c r="A1976" s="1"/>
      <c r="B1976" s="1"/>
      <c r="C1976" s="1"/>
      <c r="D1976" s="1"/>
    </row>
    <row r="1977" spans="1:4" x14ac:dyDescent="0.25">
      <c r="A1977" s="1"/>
      <c r="B1977" s="1"/>
      <c r="C1977" s="1"/>
      <c r="D1977" s="1"/>
    </row>
    <row r="1978" spans="1:4" x14ac:dyDescent="0.25">
      <c r="A1978" s="1"/>
      <c r="B1978" s="1"/>
      <c r="C1978" s="1"/>
      <c r="D1978" s="1"/>
    </row>
    <row r="1979" spans="1:4" x14ac:dyDescent="0.25">
      <c r="A1979" s="1"/>
      <c r="B1979" s="1"/>
      <c r="C1979" s="1"/>
      <c r="D1979" s="1"/>
    </row>
    <row r="1980" spans="1:4" x14ac:dyDescent="0.25">
      <c r="A1980" s="1"/>
      <c r="B1980" s="1"/>
      <c r="C1980" s="1"/>
      <c r="D1980" s="1"/>
    </row>
    <row r="1981" spans="1:4" x14ac:dyDescent="0.25">
      <c r="A1981" s="1"/>
      <c r="B1981" s="1"/>
      <c r="C1981" s="1"/>
      <c r="D1981" s="1"/>
    </row>
    <row r="1982" spans="1:4" x14ac:dyDescent="0.25">
      <c r="A1982" s="1"/>
      <c r="B1982" s="1"/>
      <c r="C1982" s="1"/>
      <c r="D1982" s="1"/>
    </row>
    <row r="1983" spans="1:4" x14ac:dyDescent="0.25">
      <c r="A1983" s="1"/>
      <c r="B1983" s="1"/>
      <c r="C1983" s="1"/>
      <c r="D1983" s="1"/>
    </row>
    <row r="1984" spans="1:4" x14ac:dyDescent="0.25">
      <c r="A1984" s="1"/>
      <c r="B1984" s="1"/>
      <c r="C1984" s="1"/>
      <c r="D1984" s="1"/>
    </row>
    <row r="1985" spans="1:4" x14ac:dyDescent="0.25">
      <c r="A1985" s="1"/>
      <c r="B1985" s="1"/>
      <c r="C1985" s="1"/>
      <c r="D1985" s="1"/>
    </row>
    <row r="1986" spans="1:4" x14ac:dyDescent="0.25">
      <c r="A1986" s="1"/>
      <c r="B1986" s="1"/>
      <c r="C1986" s="1"/>
      <c r="D1986" s="1"/>
    </row>
    <row r="1987" spans="1:4" x14ac:dyDescent="0.25">
      <c r="A1987" s="1"/>
      <c r="B1987" s="1"/>
      <c r="C1987" s="1"/>
      <c r="D1987" s="1"/>
    </row>
    <row r="1988" spans="1:4" x14ac:dyDescent="0.25">
      <c r="A1988" s="1"/>
      <c r="B1988" s="1"/>
      <c r="C1988" s="1"/>
      <c r="D1988" s="1"/>
    </row>
    <row r="1989" spans="1:4" x14ac:dyDescent="0.25">
      <c r="A1989" s="1"/>
      <c r="B1989" s="1"/>
      <c r="C1989" s="1"/>
      <c r="D1989" s="1"/>
    </row>
    <row r="1990" spans="1:4" x14ac:dyDescent="0.25">
      <c r="A1990" s="1"/>
      <c r="B1990" s="1"/>
      <c r="C1990" s="1"/>
      <c r="D1990" s="1"/>
    </row>
    <row r="1991" spans="1:4" x14ac:dyDescent="0.25">
      <c r="A1991" s="1"/>
      <c r="B1991" s="1"/>
      <c r="C1991" s="1"/>
      <c r="D1991" s="1"/>
    </row>
    <row r="1992" spans="1:4" x14ac:dyDescent="0.25">
      <c r="A1992" s="1"/>
      <c r="B1992" s="1"/>
      <c r="C1992" s="1"/>
      <c r="D1992" s="1"/>
    </row>
    <row r="1993" spans="1:4" x14ac:dyDescent="0.25">
      <c r="A1993" s="1"/>
      <c r="B1993" s="1"/>
      <c r="C1993" s="1"/>
      <c r="D1993" s="1"/>
    </row>
    <row r="1994" spans="1:4" x14ac:dyDescent="0.25">
      <c r="A1994" s="1"/>
      <c r="B1994" s="1"/>
      <c r="C1994" s="1"/>
      <c r="D1994" s="1"/>
    </row>
    <row r="1995" spans="1:4" x14ac:dyDescent="0.25">
      <c r="A1995" s="1"/>
      <c r="B1995" s="1"/>
      <c r="C1995" s="1"/>
      <c r="D1995" s="1"/>
    </row>
    <row r="1996" spans="1:4" x14ac:dyDescent="0.25">
      <c r="A1996" s="1"/>
      <c r="B1996" s="1"/>
      <c r="C1996" s="1"/>
      <c r="D1996" s="1"/>
    </row>
    <row r="1997" spans="1:4" x14ac:dyDescent="0.25">
      <c r="A1997" s="1"/>
      <c r="B1997" s="1"/>
      <c r="C1997" s="1"/>
      <c r="D1997" s="1"/>
    </row>
    <row r="1998" spans="1:4" x14ac:dyDescent="0.25">
      <c r="A1998" s="1"/>
      <c r="B1998" s="1"/>
      <c r="C1998" s="1"/>
      <c r="D1998" s="1"/>
    </row>
    <row r="1999" spans="1:4" x14ac:dyDescent="0.25">
      <c r="A1999" s="1"/>
      <c r="B1999" s="1"/>
      <c r="C1999" s="1"/>
      <c r="D1999" s="1"/>
    </row>
    <row r="2000" spans="1:4" x14ac:dyDescent="0.25">
      <c r="A2000" s="1"/>
      <c r="B2000" s="1"/>
      <c r="C2000" s="1"/>
      <c r="D2000" s="1"/>
    </row>
    <row r="2001" spans="1:4" x14ac:dyDescent="0.25">
      <c r="A2001" s="1"/>
      <c r="B2001" s="1"/>
      <c r="C2001" s="1"/>
      <c r="D2001" s="1"/>
    </row>
    <row r="2002" spans="1:4" x14ac:dyDescent="0.25">
      <c r="A2002" s="1"/>
      <c r="B2002" s="1"/>
      <c r="C2002" s="1"/>
      <c r="D2002" s="1"/>
    </row>
    <row r="2003" spans="1:4" x14ac:dyDescent="0.25">
      <c r="A2003" s="1"/>
      <c r="B2003" s="1"/>
      <c r="C2003" s="1"/>
      <c r="D2003" s="1"/>
    </row>
    <row r="2004" spans="1:4" x14ac:dyDescent="0.25">
      <c r="A2004" s="1"/>
      <c r="B2004" s="1"/>
      <c r="C2004" s="1"/>
      <c r="D2004" s="1"/>
    </row>
    <row r="2005" spans="1:4" x14ac:dyDescent="0.25">
      <c r="A2005" s="1"/>
      <c r="B2005" s="1"/>
      <c r="C2005" s="1"/>
      <c r="D2005" s="1"/>
    </row>
    <row r="2006" spans="1:4" x14ac:dyDescent="0.25">
      <c r="A2006" s="1"/>
      <c r="B2006" s="1"/>
      <c r="C2006" s="1"/>
      <c r="D2006" s="1"/>
    </row>
    <row r="2007" spans="1:4" x14ac:dyDescent="0.25">
      <c r="A2007" s="1"/>
      <c r="B2007" s="1"/>
      <c r="C2007" s="1"/>
      <c r="D2007" s="1"/>
    </row>
    <row r="2008" spans="1:4" x14ac:dyDescent="0.25">
      <c r="A2008" s="1"/>
      <c r="B2008" s="1"/>
      <c r="C2008" s="1"/>
      <c r="D2008" s="1"/>
    </row>
    <row r="2009" spans="1:4" x14ac:dyDescent="0.25">
      <c r="A2009" s="1"/>
      <c r="B2009" s="1"/>
      <c r="C2009" s="1"/>
      <c r="D2009" s="1"/>
    </row>
    <row r="2010" spans="1:4" x14ac:dyDescent="0.25">
      <c r="A2010" s="1"/>
      <c r="B2010" s="1"/>
      <c r="C2010" s="1"/>
      <c r="D2010" s="1"/>
    </row>
    <row r="2011" spans="1:4" x14ac:dyDescent="0.25">
      <c r="A2011" s="1"/>
      <c r="B2011" s="1"/>
      <c r="C2011" s="1"/>
      <c r="D2011" s="1"/>
    </row>
    <row r="2012" spans="1:4" x14ac:dyDescent="0.25">
      <c r="A2012" s="1"/>
      <c r="B2012" s="1"/>
      <c r="C2012" s="1"/>
      <c r="D2012" s="1"/>
    </row>
    <row r="2013" spans="1:4" x14ac:dyDescent="0.25">
      <c r="A2013" s="1"/>
      <c r="B2013" s="1"/>
      <c r="C2013" s="1"/>
      <c r="D2013" s="1"/>
    </row>
    <row r="2014" spans="1:4" x14ac:dyDescent="0.25">
      <c r="A2014" s="1"/>
      <c r="B2014" s="1"/>
      <c r="C2014" s="1"/>
      <c r="D2014" s="1"/>
    </row>
    <row r="2015" spans="1:4" x14ac:dyDescent="0.25">
      <c r="A2015" s="1"/>
      <c r="B2015" s="1"/>
      <c r="C2015" s="1"/>
      <c r="D2015" s="1"/>
    </row>
    <row r="2016" spans="1:4" x14ac:dyDescent="0.25">
      <c r="A2016" s="1"/>
      <c r="B2016" s="1"/>
      <c r="C2016" s="1"/>
      <c r="D2016" s="1"/>
    </row>
    <row r="2017" spans="1:4" x14ac:dyDescent="0.25">
      <c r="A2017" s="1"/>
      <c r="B2017" s="1"/>
      <c r="C2017" s="1"/>
      <c r="D2017" s="1"/>
    </row>
    <row r="2018" spans="1:4" x14ac:dyDescent="0.25">
      <c r="A2018" s="1"/>
      <c r="B2018" s="1"/>
      <c r="C2018" s="1"/>
      <c r="D2018" s="1"/>
    </row>
    <row r="2019" spans="1:4" x14ac:dyDescent="0.25">
      <c r="A2019" s="1"/>
      <c r="B2019" s="1"/>
      <c r="C2019" s="1"/>
      <c r="D2019" s="1"/>
    </row>
    <row r="2020" spans="1:4" x14ac:dyDescent="0.25">
      <c r="A2020" s="1"/>
      <c r="B2020" s="1"/>
      <c r="C2020" s="1"/>
      <c r="D2020" s="1"/>
    </row>
    <row r="2021" spans="1:4" x14ac:dyDescent="0.25">
      <c r="A2021" s="1"/>
      <c r="B2021" s="1"/>
      <c r="C2021" s="1"/>
      <c r="D2021" s="1"/>
    </row>
    <row r="2022" spans="1:4" x14ac:dyDescent="0.25">
      <c r="A2022" s="1"/>
      <c r="B2022" s="1"/>
      <c r="C2022" s="1"/>
      <c r="D2022" s="1"/>
    </row>
    <row r="2023" spans="1:4" x14ac:dyDescent="0.25">
      <c r="A2023" s="1"/>
      <c r="B2023" s="1"/>
      <c r="C2023" s="1"/>
      <c r="D2023" s="1"/>
    </row>
    <row r="2024" spans="1:4" x14ac:dyDescent="0.25">
      <c r="A2024" s="1"/>
      <c r="B2024" s="1"/>
      <c r="C2024" s="1"/>
      <c r="D2024" s="1"/>
    </row>
    <row r="2025" spans="1:4" x14ac:dyDescent="0.25">
      <c r="A2025" s="1"/>
      <c r="B2025" s="1"/>
      <c r="C2025" s="1"/>
      <c r="D2025" s="1"/>
    </row>
    <row r="2026" spans="1:4" x14ac:dyDescent="0.25">
      <c r="A2026" s="1"/>
      <c r="B2026" s="1"/>
      <c r="C2026" s="1"/>
      <c r="D2026" s="1"/>
    </row>
    <row r="2027" spans="1:4" x14ac:dyDescent="0.25">
      <c r="A2027" s="1"/>
      <c r="B2027" s="1"/>
      <c r="C2027" s="1"/>
      <c r="D2027" s="1"/>
    </row>
    <row r="2028" spans="1:4" x14ac:dyDescent="0.25">
      <c r="A2028" s="1"/>
      <c r="B2028" s="1"/>
      <c r="C2028" s="1"/>
      <c r="D2028" s="1"/>
    </row>
    <row r="2029" spans="1:4" x14ac:dyDescent="0.25">
      <c r="A2029" s="1"/>
      <c r="B2029" s="1"/>
      <c r="C2029" s="1"/>
      <c r="D2029" s="1"/>
    </row>
    <row r="2030" spans="1:4" x14ac:dyDescent="0.25">
      <c r="A2030" s="1"/>
      <c r="B2030" s="1"/>
      <c r="C2030" s="1"/>
      <c r="D2030" s="1"/>
    </row>
    <row r="2031" spans="1:4" x14ac:dyDescent="0.25">
      <c r="A2031" s="1"/>
      <c r="B2031" s="1"/>
      <c r="C2031" s="1"/>
      <c r="D2031" s="1"/>
    </row>
    <row r="2032" spans="1:4" x14ac:dyDescent="0.25">
      <c r="A2032" s="1"/>
      <c r="B2032" s="1"/>
      <c r="C2032" s="1"/>
      <c r="D2032" s="1"/>
    </row>
    <row r="2033" spans="1:4" x14ac:dyDescent="0.25">
      <c r="A2033" s="1"/>
      <c r="B2033" s="1"/>
      <c r="C2033" s="1"/>
      <c r="D2033" s="1"/>
    </row>
    <row r="2034" spans="1:4" x14ac:dyDescent="0.25">
      <c r="A2034" s="1"/>
      <c r="B2034" s="1"/>
      <c r="C2034" s="1"/>
      <c r="D2034" s="1"/>
    </row>
    <row r="2035" spans="1:4" x14ac:dyDescent="0.25">
      <c r="A2035" s="1"/>
      <c r="B2035" s="1"/>
      <c r="C2035" s="1"/>
      <c r="D2035" s="1"/>
    </row>
    <row r="2036" spans="1:4" x14ac:dyDescent="0.25">
      <c r="A2036" s="1"/>
      <c r="B2036" s="1"/>
      <c r="C2036" s="1"/>
      <c r="D2036" s="1"/>
    </row>
    <row r="2037" spans="1:4" x14ac:dyDescent="0.25">
      <c r="A2037" s="1"/>
      <c r="B2037" s="1"/>
      <c r="C2037" s="1"/>
      <c r="D2037" s="1"/>
    </row>
    <row r="2038" spans="1:4" x14ac:dyDescent="0.25">
      <c r="A2038" s="1"/>
      <c r="B2038" s="1"/>
      <c r="C2038" s="1"/>
      <c r="D2038" s="1"/>
    </row>
    <row r="2039" spans="1:4" x14ac:dyDescent="0.25">
      <c r="A2039" s="1"/>
      <c r="B2039" s="1"/>
      <c r="C2039" s="1"/>
      <c r="D2039" s="1"/>
    </row>
    <row r="2040" spans="1:4" x14ac:dyDescent="0.25">
      <c r="A2040" s="1"/>
      <c r="B2040" s="1"/>
      <c r="C2040" s="1"/>
      <c r="D2040" s="1"/>
    </row>
    <row r="2041" spans="1:4" x14ac:dyDescent="0.25">
      <c r="A2041" s="1"/>
      <c r="B2041" s="1"/>
      <c r="C2041" s="1"/>
      <c r="D2041" s="1"/>
    </row>
    <row r="2042" spans="1:4" x14ac:dyDescent="0.25">
      <c r="A2042" s="1"/>
      <c r="B2042" s="1"/>
      <c r="C2042" s="1"/>
      <c r="D2042" s="1"/>
    </row>
    <row r="2043" spans="1:4" x14ac:dyDescent="0.25">
      <c r="A2043" s="1"/>
      <c r="B2043" s="1"/>
      <c r="C2043" s="1"/>
      <c r="D2043" s="1"/>
    </row>
    <row r="2044" spans="1:4" x14ac:dyDescent="0.25">
      <c r="A2044" s="1"/>
      <c r="B2044" s="1"/>
      <c r="C2044" s="1"/>
      <c r="D2044" s="1"/>
    </row>
    <row r="2045" spans="1:4" x14ac:dyDescent="0.25">
      <c r="A2045" s="1"/>
      <c r="B2045" s="1"/>
      <c r="C2045" s="1"/>
      <c r="D2045" s="1"/>
    </row>
    <row r="2046" spans="1:4" x14ac:dyDescent="0.25">
      <c r="A2046" s="1"/>
      <c r="B2046" s="1"/>
      <c r="C2046" s="1"/>
      <c r="D2046" s="1"/>
    </row>
    <row r="2047" spans="1:4" x14ac:dyDescent="0.25">
      <c r="A2047" s="1"/>
      <c r="B2047" s="1"/>
      <c r="C2047" s="1"/>
      <c r="D2047" s="1"/>
    </row>
    <row r="2048" spans="1:4" x14ac:dyDescent="0.25">
      <c r="A2048" s="1"/>
      <c r="B2048" s="1"/>
      <c r="C2048" s="1"/>
      <c r="D2048" s="1"/>
    </row>
    <row r="2049" spans="1:4" x14ac:dyDescent="0.25">
      <c r="A2049" s="1"/>
      <c r="B2049" s="1"/>
      <c r="C2049" s="1"/>
      <c r="D2049" s="1"/>
    </row>
    <row r="2050" spans="1:4" x14ac:dyDescent="0.25">
      <c r="A2050" s="1"/>
      <c r="B2050" s="1"/>
      <c r="C2050" s="1"/>
      <c r="D2050" s="1"/>
    </row>
    <row r="2051" spans="1:4" x14ac:dyDescent="0.25">
      <c r="A2051" s="1"/>
      <c r="B2051" s="1"/>
      <c r="C2051" s="1"/>
      <c r="D2051" s="1"/>
    </row>
    <row r="2052" spans="1:4" x14ac:dyDescent="0.25">
      <c r="A2052" s="1"/>
      <c r="B2052" s="1"/>
      <c r="C2052" s="1"/>
      <c r="D2052" s="1"/>
    </row>
    <row r="2053" spans="1:4" x14ac:dyDescent="0.25">
      <c r="A2053" s="1"/>
      <c r="B2053" s="1"/>
      <c r="C2053" s="1"/>
      <c r="D2053" s="1"/>
    </row>
    <row r="2054" spans="1:4" x14ac:dyDescent="0.25">
      <c r="A2054" s="1"/>
      <c r="B2054" s="1"/>
      <c r="C2054" s="1"/>
      <c r="D2054" s="1"/>
    </row>
    <row r="2055" spans="1:4" x14ac:dyDescent="0.25">
      <c r="A2055" s="1"/>
      <c r="B2055" s="1"/>
      <c r="C2055" s="1"/>
      <c r="D2055" s="1"/>
    </row>
    <row r="2056" spans="1:4" x14ac:dyDescent="0.25">
      <c r="A2056" s="1"/>
      <c r="B2056" s="1"/>
      <c r="C2056" s="1"/>
      <c r="D2056" s="1"/>
    </row>
    <row r="2057" spans="1:4" x14ac:dyDescent="0.25">
      <c r="A2057" s="1"/>
      <c r="B2057" s="1"/>
      <c r="C2057" s="1"/>
      <c r="D2057" s="1"/>
    </row>
    <row r="2058" spans="1:4" x14ac:dyDescent="0.25">
      <c r="A2058" s="1"/>
      <c r="B2058" s="1"/>
      <c r="C2058" s="1"/>
      <c r="D2058" s="1"/>
    </row>
    <row r="2059" spans="1:4" x14ac:dyDescent="0.25">
      <c r="A2059" s="1"/>
      <c r="B2059" s="1"/>
      <c r="C2059" s="1"/>
      <c r="D2059" s="1"/>
    </row>
    <row r="2060" spans="1:4" x14ac:dyDescent="0.25">
      <c r="A2060" s="1"/>
      <c r="B2060" s="1"/>
      <c r="C2060" s="1"/>
      <c r="D2060" s="1"/>
    </row>
    <row r="2061" spans="1:4" x14ac:dyDescent="0.25">
      <c r="A2061" s="1"/>
      <c r="B2061" s="1"/>
      <c r="C2061" s="1"/>
      <c r="D2061" s="1"/>
    </row>
    <row r="2062" spans="1:4" x14ac:dyDescent="0.25">
      <c r="A2062" s="1"/>
      <c r="B2062" s="1"/>
      <c r="C2062" s="1"/>
      <c r="D2062" s="1"/>
    </row>
    <row r="2063" spans="1:4" x14ac:dyDescent="0.25">
      <c r="A2063" s="1"/>
      <c r="B2063" s="1"/>
      <c r="C2063" s="1"/>
      <c r="D2063" s="1"/>
    </row>
    <row r="2064" spans="1:4" x14ac:dyDescent="0.25">
      <c r="A2064" s="1"/>
      <c r="B2064" s="1"/>
      <c r="C2064" s="1"/>
      <c r="D2064" s="1"/>
    </row>
    <row r="2065" spans="1:4" x14ac:dyDescent="0.25">
      <c r="A2065" s="1"/>
      <c r="B2065" s="1"/>
      <c r="C2065" s="1"/>
      <c r="D2065" s="1"/>
    </row>
    <row r="2066" spans="1:4" x14ac:dyDescent="0.25">
      <c r="A2066" s="1"/>
      <c r="B2066" s="1"/>
      <c r="C2066" s="1"/>
      <c r="D2066" s="1"/>
    </row>
    <row r="2067" spans="1:4" x14ac:dyDescent="0.25">
      <c r="A2067" s="1"/>
      <c r="B2067" s="1"/>
      <c r="C2067" s="1"/>
      <c r="D2067" s="1"/>
    </row>
    <row r="2068" spans="1:4" x14ac:dyDescent="0.25">
      <c r="A2068" s="1"/>
      <c r="B2068" s="1"/>
      <c r="C2068" s="1"/>
      <c r="D2068" s="1"/>
    </row>
    <row r="2069" spans="1:4" x14ac:dyDescent="0.25">
      <c r="A2069" s="1"/>
      <c r="B2069" s="1"/>
      <c r="C2069" s="1"/>
      <c r="D2069" s="1"/>
    </row>
    <row r="2070" spans="1:4" x14ac:dyDescent="0.25">
      <c r="A2070" s="1"/>
      <c r="B2070" s="1"/>
      <c r="C2070" s="1"/>
      <c r="D2070" s="1"/>
    </row>
    <row r="2071" spans="1:4" x14ac:dyDescent="0.25">
      <c r="A2071" s="1"/>
      <c r="B2071" s="1"/>
      <c r="C2071" s="1"/>
      <c r="D2071" s="1"/>
    </row>
    <row r="2072" spans="1:4" x14ac:dyDescent="0.25">
      <c r="A2072" s="1"/>
      <c r="B2072" s="1"/>
      <c r="C2072" s="1"/>
      <c r="D2072" s="1"/>
    </row>
    <row r="2073" spans="1:4" x14ac:dyDescent="0.25">
      <c r="A2073" s="1"/>
      <c r="B2073" s="1"/>
      <c r="C2073" s="1"/>
      <c r="D2073" s="1"/>
    </row>
    <row r="2074" spans="1:4" x14ac:dyDescent="0.25">
      <c r="A2074" s="1"/>
      <c r="B2074" s="1"/>
      <c r="C2074" s="1"/>
      <c r="D2074" s="1"/>
    </row>
    <row r="2075" spans="1:4" x14ac:dyDescent="0.25">
      <c r="A2075" s="1"/>
      <c r="B2075" s="1"/>
      <c r="C2075" s="1"/>
      <c r="D2075" s="1"/>
    </row>
    <row r="2076" spans="1:4" x14ac:dyDescent="0.25">
      <c r="A2076" s="1"/>
      <c r="B2076" s="1"/>
      <c r="C2076" s="1"/>
      <c r="D2076" s="1"/>
    </row>
    <row r="2077" spans="1:4" x14ac:dyDescent="0.25">
      <c r="A2077" s="1"/>
      <c r="B2077" s="1"/>
      <c r="C2077" s="1"/>
      <c r="D2077" s="1"/>
    </row>
    <row r="2078" spans="1:4" x14ac:dyDescent="0.25">
      <c r="A2078" s="1"/>
      <c r="B2078" s="1"/>
      <c r="C2078" s="1"/>
      <c r="D2078" s="1"/>
    </row>
    <row r="2079" spans="1:4" x14ac:dyDescent="0.25">
      <c r="A2079" s="1"/>
      <c r="B2079" s="1"/>
      <c r="C2079" s="1"/>
      <c r="D2079" s="1"/>
    </row>
    <row r="2080" spans="1:4" x14ac:dyDescent="0.25">
      <c r="A2080" s="1"/>
      <c r="B2080" s="1"/>
      <c r="C2080" s="1"/>
      <c r="D2080" s="1"/>
    </row>
    <row r="2081" spans="1:4" x14ac:dyDescent="0.25">
      <c r="A2081" s="1"/>
      <c r="B2081" s="1"/>
      <c r="C2081" s="1"/>
      <c r="D2081" s="1"/>
    </row>
    <row r="2082" spans="1:4" x14ac:dyDescent="0.25">
      <c r="A2082" s="1"/>
      <c r="B2082" s="1"/>
      <c r="C2082" s="1"/>
      <c r="D2082" s="1"/>
    </row>
    <row r="2083" spans="1:4" x14ac:dyDescent="0.25">
      <c r="A2083" s="1"/>
      <c r="B2083" s="1"/>
      <c r="C2083" s="1"/>
      <c r="D2083" s="1"/>
    </row>
    <row r="2084" spans="1:4" x14ac:dyDescent="0.25">
      <c r="A2084" s="1"/>
      <c r="B2084" s="1"/>
      <c r="C2084" s="1"/>
      <c r="D2084" s="1"/>
    </row>
    <row r="2085" spans="1:4" x14ac:dyDescent="0.25">
      <c r="A2085" s="1"/>
      <c r="B2085" s="1"/>
      <c r="C2085" s="1"/>
      <c r="D2085" s="1"/>
    </row>
    <row r="2086" spans="1:4" x14ac:dyDescent="0.25">
      <c r="A2086" s="1"/>
      <c r="B2086" s="1"/>
      <c r="C2086" s="1"/>
      <c r="D2086" s="1"/>
    </row>
    <row r="2087" spans="1:4" x14ac:dyDescent="0.25">
      <c r="A2087" s="1"/>
      <c r="B2087" s="1"/>
      <c r="C2087" s="1"/>
      <c r="D2087" s="1"/>
    </row>
    <row r="2088" spans="1:4" x14ac:dyDescent="0.25">
      <c r="A2088" s="1"/>
      <c r="B2088" s="1"/>
      <c r="C2088" s="1"/>
      <c r="D2088" s="1"/>
    </row>
    <row r="2089" spans="1:4" x14ac:dyDescent="0.25">
      <c r="A2089" s="1"/>
      <c r="B2089" s="1"/>
      <c r="C2089" s="1"/>
      <c r="D2089" s="1"/>
    </row>
    <row r="2090" spans="1:4" x14ac:dyDescent="0.25">
      <c r="A2090" s="1"/>
      <c r="B2090" s="1"/>
      <c r="C2090" s="1"/>
      <c r="D2090" s="1"/>
    </row>
    <row r="2091" spans="1:4" x14ac:dyDescent="0.25">
      <c r="A2091" s="1"/>
      <c r="B2091" s="1"/>
      <c r="C2091" s="1"/>
      <c r="D2091" s="1"/>
    </row>
    <row r="2092" spans="1:4" x14ac:dyDescent="0.25">
      <c r="A2092" s="1"/>
      <c r="B2092" s="1"/>
      <c r="C2092" s="1"/>
      <c r="D2092" s="1"/>
    </row>
    <row r="2093" spans="1:4" x14ac:dyDescent="0.25">
      <c r="A2093" s="1"/>
      <c r="B2093" s="1"/>
      <c r="C2093" s="1"/>
      <c r="D2093" s="1"/>
    </row>
    <row r="2094" spans="1:4" x14ac:dyDescent="0.25">
      <c r="A2094" s="1"/>
      <c r="B2094" s="1"/>
      <c r="C2094" s="1"/>
      <c r="D2094" s="1"/>
    </row>
    <row r="2095" spans="1:4" x14ac:dyDescent="0.25">
      <c r="A2095" s="1"/>
      <c r="B2095" s="1"/>
      <c r="C2095" s="1"/>
      <c r="D2095" s="1"/>
    </row>
    <row r="2096" spans="1:4" x14ac:dyDescent="0.25">
      <c r="A2096" s="1"/>
      <c r="B2096" s="1"/>
      <c r="C2096" s="1"/>
      <c r="D2096" s="1"/>
    </row>
    <row r="2097" spans="1:4" x14ac:dyDescent="0.25">
      <c r="A2097" s="1"/>
      <c r="B2097" s="1"/>
      <c r="C2097" s="1"/>
      <c r="D2097" s="1"/>
    </row>
    <row r="2098" spans="1:4" x14ac:dyDescent="0.25">
      <c r="A2098" s="1"/>
      <c r="B2098" s="1"/>
      <c r="C2098" s="1"/>
      <c r="D2098" s="1"/>
    </row>
    <row r="2099" spans="1:4" x14ac:dyDescent="0.25">
      <c r="A2099" s="1"/>
      <c r="B2099" s="1"/>
      <c r="C2099" s="1"/>
      <c r="D2099" s="1"/>
    </row>
    <row r="2100" spans="1:4" x14ac:dyDescent="0.25">
      <c r="A2100" s="1"/>
      <c r="B2100" s="1"/>
      <c r="C2100" s="1"/>
      <c r="D2100" s="1"/>
    </row>
    <row r="2101" spans="1:4" x14ac:dyDescent="0.25">
      <c r="A2101" s="1"/>
      <c r="B2101" s="1"/>
      <c r="C2101" s="1"/>
      <c r="D2101" s="1"/>
    </row>
    <row r="2102" spans="1:4" x14ac:dyDescent="0.25">
      <c r="A2102" s="1"/>
      <c r="B2102" s="1"/>
      <c r="C2102" s="1"/>
      <c r="D2102" s="1"/>
    </row>
    <row r="2103" spans="1:4" x14ac:dyDescent="0.25">
      <c r="A2103" s="1"/>
      <c r="B2103" s="1"/>
      <c r="C2103" s="1"/>
      <c r="D2103" s="1"/>
    </row>
    <row r="2104" spans="1:4" x14ac:dyDescent="0.25">
      <c r="A2104" s="1"/>
      <c r="B2104" s="1"/>
      <c r="C2104" s="1"/>
      <c r="D2104" s="1"/>
    </row>
    <row r="2105" spans="1:4" x14ac:dyDescent="0.25">
      <c r="A2105" s="1"/>
      <c r="B2105" s="1"/>
      <c r="C2105" s="1"/>
      <c r="D2105" s="1"/>
    </row>
    <row r="2106" spans="1:4" x14ac:dyDescent="0.25">
      <c r="A2106" s="1"/>
      <c r="B2106" s="1"/>
      <c r="C2106" s="1"/>
      <c r="D2106" s="1"/>
    </row>
    <row r="2107" spans="1:4" x14ac:dyDescent="0.25">
      <c r="A2107" s="1"/>
      <c r="B2107" s="1"/>
      <c r="C2107" s="1"/>
      <c r="D2107" s="1"/>
    </row>
    <row r="2108" spans="1:4" x14ac:dyDescent="0.25">
      <c r="A2108" s="1"/>
      <c r="B2108" s="1"/>
      <c r="C2108" s="1"/>
      <c r="D2108" s="1"/>
    </row>
    <row r="2109" spans="1:4" x14ac:dyDescent="0.25">
      <c r="A2109" s="1"/>
      <c r="B2109" s="1"/>
      <c r="C2109" s="1"/>
      <c r="D2109" s="1"/>
    </row>
    <row r="2110" spans="1:4" x14ac:dyDescent="0.25">
      <c r="A2110" s="1"/>
      <c r="B2110" s="1"/>
      <c r="C2110" s="1"/>
      <c r="D2110" s="1"/>
    </row>
    <row r="2111" spans="1:4" x14ac:dyDescent="0.25">
      <c r="A2111" s="1"/>
      <c r="B2111" s="1"/>
      <c r="C2111" s="1"/>
      <c r="D2111" s="1"/>
    </row>
    <row r="2112" spans="1:4" x14ac:dyDescent="0.25">
      <c r="A2112" s="1"/>
      <c r="B2112" s="1"/>
      <c r="C2112" s="1"/>
      <c r="D2112" s="1"/>
    </row>
    <row r="2113" spans="1:4" x14ac:dyDescent="0.25">
      <c r="A2113" s="1"/>
      <c r="B2113" s="1"/>
      <c r="C2113" s="1"/>
      <c r="D2113" s="1"/>
    </row>
    <row r="2114" spans="1:4" x14ac:dyDescent="0.25">
      <c r="A2114" s="1"/>
      <c r="B2114" s="1"/>
      <c r="C2114" s="1"/>
      <c r="D2114" s="1"/>
    </row>
    <row r="2115" spans="1:4" x14ac:dyDescent="0.25">
      <c r="A2115" s="1"/>
      <c r="B2115" s="1"/>
      <c r="C2115" s="1"/>
      <c r="D2115" s="1"/>
    </row>
    <row r="2116" spans="1:4" x14ac:dyDescent="0.25">
      <c r="A2116" s="1"/>
      <c r="B2116" s="1"/>
      <c r="C2116" s="1"/>
      <c r="D2116" s="1"/>
    </row>
    <row r="2117" spans="1:4" x14ac:dyDescent="0.25">
      <c r="A2117" s="1"/>
      <c r="B2117" s="1"/>
      <c r="C2117" s="1"/>
      <c r="D2117" s="1"/>
    </row>
    <row r="2118" spans="1:4" x14ac:dyDescent="0.25">
      <c r="A2118" s="1"/>
      <c r="B2118" s="1"/>
      <c r="C2118" s="1"/>
      <c r="D2118" s="1"/>
    </row>
    <row r="2119" spans="1:4" x14ac:dyDescent="0.25">
      <c r="A2119" s="1"/>
      <c r="B2119" s="1"/>
      <c r="C2119" s="1"/>
      <c r="D2119" s="1"/>
    </row>
    <row r="2120" spans="1:4" x14ac:dyDescent="0.25">
      <c r="A2120" s="1"/>
      <c r="B2120" s="1"/>
      <c r="C2120" s="1"/>
      <c r="D2120" s="1"/>
    </row>
    <row r="2121" spans="1:4" x14ac:dyDescent="0.25">
      <c r="A2121" s="1"/>
      <c r="B2121" s="1"/>
      <c r="C2121" s="1"/>
      <c r="D2121" s="1"/>
    </row>
    <row r="2122" spans="1:4" x14ac:dyDescent="0.25">
      <c r="A2122" s="1"/>
      <c r="B2122" s="1"/>
      <c r="C2122" s="1"/>
      <c r="D2122" s="1"/>
    </row>
    <row r="2123" spans="1:4" x14ac:dyDescent="0.25">
      <c r="A2123" s="1"/>
      <c r="B2123" s="1"/>
      <c r="C2123" s="1"/>
      <c r="D2123" s="1"/>
    </row>
    <row r="2124" spans="1:4" x14ac:dyDescent="0.25">
      <c r="A2124" s="1"/>
      <c r="B2124" s="1"/>
      <c r="C2124" s="1"/>
      <c r="D2124" s="1"/>
    </row>
    <row r="2125" spans="1:4" x14ac:dyDescent="0.25">
      <c r="A2125" s="1"/>
      <c r="B2125" s="1"/>
      <c r="C2125" s="1"/>
      <c r="D2125" s="1"/>
    </row>
    <row r="2126" spans="1:4" x14ac:dyDescent="0.25">
      <c r="A2126" s="1"/>
      <c r="B2126" s="1"/>
      <c r="C2126" s="1"/>
      <c r="D2126" s="1"/>
    </row>
    <row r="2127" spans="1:4" x14ac:dyDescent="0.25">
      <c r="A2127" s="1"/>
      <c r="B2127" s="1"/>
      <c r="C2127" s="1"/>
      <c r="D2127" s="1"/>
    </row>
    <row r="2128" spans="1:4" x14ac:dyDescent="0.25">
      <c r="A2128" s="1"/>
      <c r="B2128" s="1"/>
      <c r="C2128" s="1"/>
      <c r="D2128" s="1"/>
    </row>
    <row r="2129" spans="1:4" x14ac:dyDescent="0.25">
      <c r="A2129" s="1"/>
      <c r="B2129" s="1"/>
      <c r="C2129" s="1"/>
      <c r="D2129" s="1"/>
    </row>
    <row r="2130" spans="1:4" x14ac:dyDescent="0.25">
      <c r="A2130" s="1"/>
      <c r="B2130" s="1"/>
      <c r="C2130" s="1"/>
      <c r="D2130" s="1"/>
    </row>
    <row r="2131" spans="1:4" x14ac:dyDescent="0.25">
      <c r="A2131" s="1"/>
      <c r="B2131" s="1"/>
      <c r="C2131" s="1"/>
      <c r="D2131" s="1"/>
    </row>
    <row r="2132" spans="1:4" x14ac:dyDescent="0.25">
      <c r="A2132" s="1"/>
      <c r="B2132" s="1"/>
      <c r="C2132" s="1"/>
      <c r="D2132" s="1"/>
    </row>
    <row r="2133" spans="1:4" x14ac:dyDescent="0.25">
      <c r="A2133" s="1"/>
      <c r="B2133" s="1"/>
      <c r="C2133" s="1"/>
      <c r="D2133" s="1"/>
    </row>
    <row r="2134" spans="1:4" x14ac:dyDescent="0.25">
      <c r="A2134" s="1"/>
      <c r="B2134" s="1"/>
      <c r="C2134" s="1"/>
      <c r="D2134" s="1"/>
    </row>
    <row r="2135" spans="1:4" x14ac:dyDescent="0.25">
      <c r="A2135" s="1"/>
      <c r="B2135" s="1"/>
      <c r="C2135" s="1"/>
      <c r="D2135" s="1"/>
    </row>
    <row r="2136" spans="1:4" x14ac:dyDescent="0.25">
      <c r="A2136" s="1"/>
      <c r="B2136" s="1"/>
      <c r="C2136" s="1"/>
      <c r="D2136" s="1"/>
    </row>
    <row r="2137" spans="1:4" x14ac:dyDescent="0.25">
      <c r="A2137" s="1"/>
      <c r="B2137" s="1"/>
      <c r="C2137" s="1"/>
      <c r="D2137" s="1"/>
    </row>
    <row r="2138" spans="1:4" x14ac:dyDescent="0.25">
      <c r="A2138" s="1"/>
      <c r="B2138" s="1"/>
      <c r="C2138" s="1"/>
      <c r="D2138" s="1"/>
    </row>
    <row r="2139" spans="1:4" x14ac:dyDescent="0.25">
      <c r="A2139" s="1"/>
      <c r="B2139" s="1"/>
      <c r="C2139" s="1"/>
      <c r="D2139" s="1"/>
    </row>
    <row r="2140" spans="1:4" x14ac:dyDescent="0.25">
      <c r="A2140" s="1"/>
      <c r="B2140" s="1"/>
      <c r="C2140" s="1"/>
      <c r="D2140" s="1"/>
    </row>
    <row r="2141" spans="1:4" x14ac:dyDescent="0.25">
      <c r="A2141" s="1"/>
      <c r="B2141" s="1"/>
      <c r="C2141" s="1"/>
      <c r="D2141" s="1"/>
    </row>
    <row r="2142" spans="1:4" x14ac:dyDescent="0.25">
      <c r="A2142" s="1"/>
      <c r="B2142" s="1"/>
      <c r="C2142" s="1"/>
      <c r="D2142" s="1"/>
    </row>
    <row r="2143" spans="1:4" x14ac:dyDescent="0.25">
      <c r="A2143" s="1"/>
      <c r="B2143" s="1"/>
      <c r="C2143" s="1"/>
      <c r="D2143" s="1"/>
    </row>
    <row r="2144" spans="1:4" x14ac:dyDescent="0.25">
      <c r="A2144" s="1"/>
      <c r="B2144" s="1"/>
      <c r="C2144" s="1"/>
      <c r="D2144" s="1"/>
    </row>
    <row r="2145" spans="1:4" x14ac:dyDescent="0.25">
      <c r="A2145" s="1"/>
      <c r="B2145" s="1"/>
      <c r="C2145" s="1"/>
      <c r="D2145" s="1"/>
    </row>
    <row r="2146" spans="1:4" x14ac:dyDescent="0.25">
      <c r="A2146" s="1"/>
      <c r="B2146" s="1"/>
      <c r="C2146" s="1"/>
      <c r="D2146" s="1"/>
    </row>
    <row r="2147" spans="1:4" x14ac:dyDescent="0.25">
      <c r="A2147" s="1"/>
      <c r="B2147" s="1"/>
      <c r="C2147" s="1"/>
      <c r="D2147" s="1"/>
    </row>
    <row r="2148" spans="1:4" x14ac:dyDescent="0.25">
      <c r="A2148" s="1"/>
      <c r="B2148" s="1"/>
      <c r="C2148" s="1"/>
      <c r="D2148" s="1"/>
    </row>
    <row r="2149" spans="1:4" x14ac:dyDescent="0.25">
      <c r="A2149" s="1"/>
      <c r="B2149" s="1"/>
      <c r="C2149" s="1"/>
      <c r="D2149" s="1"/>
    </row>
    <row r="2150" spans="1:4" x14ac:dyDescent="0.25">
      <c r="A2150" s="1"/>
      <c r="B2150" s="1"/>
      <c r="C2150" s="1"/>
      <c r="D2150" s="1"/>
    </row>
    <row r="2151" spans="1:4" x14ac:dyDescent="0.25">
      <c r="A2151" s="1"/>
      <c r="B2151" s="1"/>
      <c r="C2151" s="1"/>
      <c r="D2151" s="1"/>
    </row>
    <row r="2152" spans="1:4" x14ac:dyDescent="0.25">
      <c r="A2152" s="1"/>
      <c r="B2152" s="1"/>
      <c r="C2152" s="1"/>
      <c r="D2152" s="1"/>
    </row>
    <row r="2153" spans="1:4" x14ac:dyDescent="0.25">
      <c r="A2153" s="1"/>
      <c r="B2153" s="1"/>
      <c r="C2153" s="1"/>
      <c r="D2153" s="1"/>
    </row>
    <row r="2154" spans="1:4" x14ac:dyDescent="0.25">
      <c r="A2154" s="1"/>
      <c r="B2154" s="1"/>
      <c r="C2154" s="1"/>
      <c r="D2154" s="1"/>
    </row>
    <row r="2155" spans="1:4" x14ac:dyDescent="0.25">
      <c r="A2155" s="1"/>
      <c r="B2155" s="1"/>
      <c r="C2155" s="1"/>
      <c r="D2155" s="1"/>
    </row>
    <row r="2156" spans="1:4" x14ac:dyDescent="0.25">
      <c r="A2156" s="1"/>
      <c r="B2156" s="1"/>
      <c r="C2156" s="1"/>
      <c r="D2156" s="1"/>
    </row>
    <row r="2157" spans="1:4" x14ac:dyDescent="0.25">
      <c r="A2157" s="1"/>
      <c r="B2157" s="1"/>
      <c r="C2157" s="1"/>
      <c r="D2157" s="1"/>
    </row>
    <row r="2158" spans="1:4" x14ac:dyDescent="0.25">
      <c r="A2158" s="1"/>
      <c r="B2158" s="1"/>
      <c r="C2158" s="1"/>
      <c r="D2158" s="1"/>
    </row>
    <row r="2159" spans="1:4" x14ac:dyDescent="0.25">
      <c r="A2159" s="1"/>
      <c r="B2159" s="1"/>
      <c r="C2159" s="1"/>
      <c r="D2159" s="1"/>
    </row>
    <row r="2160" spans="1:4" x14ac:dyDescent="0.25">
      <c r="A2160" s="1"/>
      <c r="B2160" s="1"/>
      <c r="C2160" s="1"/>
      <c r="D2160" s="1"/>
    </row>
    <row r="2161" spans="1:4" x14ac:dyDescent="0.25">
      <c r="A2161" s="1"/>
      <c r="B2161" s="1"/>
      <c r="C2161" s="1"/>
      <c r="D2161" s="1"/>
    </row>
    <row r="2162" spans="1:4" x14ac:dyDescent="0.25">
      <c r="A2162" s="1"/>
      <c r="B2162" s="1"/>
      <c r="C2162" s="1"/>
      <c r="D2162" s="1"/>
    </row>
    <row r="2163" spans="1:4" x14ac:dyDescent="0.25">
      <c r="A2163" s="1"/>
      <c r="B2163" s="1"/>
      <c r="C2163" s="1"/>
      <c r="D2163" s="1"/>
    </row>
    <row r="2164" spans="1:4" x14ac:dyDescent="0.25">
      <c r="A2164" s="1"/>
      <c r="B2164" s="1"/>
      <c r="C2164" s="1"/>
      <c r="D2164" s="1"/>
    </row>
    <row r="2165" spans="1:4" x14ac:dyDescent="0.25">
      <c r="A2165" s="1"/>
      <c r="B2165" s="1"/>
      <c r="C2165" s="1"/>
      <c r="D2165" s="1"/>
    </row>
    <row r="2166" spans="1:4" x14ac:dyDescent="0.25">
      <c r="A2166" s="1"/>
      <c r="B2166" s="1"/>
      <c r="C2166" s="1"/>
      <c r="D2166" s="1"/>
    </row>
    <row r="2167" spans="1:4" x14ac:dyDescent="0.25">
      <c r="A2167" s="1"/>
      <c r="B2167" s="1"/>
      <c r="C2167" s="1"/>
      <c r="D2167" s="1"/>
    </row>
    <row r="2168" spans="1:4" x14ac:dyDescent="0.25">
      <c r="A2168" s="1"/>
      <c r="B2168" s="1"/>
      <c r="C2168" s="1"/>
      <c r="D2168" s="1"/>
    </row>
    <row r="2169" spans="1:4" x14ac:dyDescent="0.25">
      <c r="A2169" s="1"/>
      <c r="B2169" s="1"/>
      <c r="C2169" s="1"/>
      <c r="D2169" s="1"/>
    </row>
    <row r="2170" spans="1:4" x14ac:dyDescent="0.25">
      <c r="A2170" s="1"/>
      <c r="B2170" s="1"/>
      <c r="C2170" s="1"/>
      <c r="D2170" s="1"/>
    </row>
    <row r="2171" spans="1:4" x14ac:dyDescent="0.25">
      <c r="A2171" s="1"/>
      <c r="B2171" s="1"/>
      <c r="C2171" s="1"/>
      <c r="D2171" s="1"/>
    </row>
    <row r="2172" spans="1:4" x14ac:dyDescent="0.25">
      <c r="A2172" s="1"/>
      <c r="B2172" s="1"/>
      <c r="C2172" s="1"/>
      <c r="D2172" s="1"/>
    </row>
    <row r="2173" spans="1:4" x14ac:dyDescent="0.25">
      <c r="A2173" s="1"/>
      <c r="B2173" s="1"/>
      <c r="C2173" s="1"/>
      <c r="D2173" s="1"/>
    </row>
    <row r="2174" spans="1:4" x14ac:dyDescent="0.25">
      <c r="A2174" s="1"/>
      <c r="B2174" s="1"/>
      <c r="C2174" s="1"/>
      <c r="D2174" s="1"/>
    </row>
    <row r="2175" spans="1:4" x14ac:dyDescent="0.25">
      <c r="A2175" s="1"/>
      <c r="B2175" s="1"/>
      <c r="C2175" s="1"/>
      <c r="D2175" s="1"/>
    </row>
    <row r="2176" spans="1:4" x14ac:dyDescent="0.25">
      <c r="A2176" s="1"/>
      <c r="B2176" s="1"/>
      <c r="C2176" s="1"/>
      <c r="D2176" s="1"/>
    </row>
    <row r="2177" spans="1:4" x14ac:dyDescent="0.25">
      <c r="A2177" s="1"/>
      <c r="B2177" s="1"/>
      <c r="C2177" s="1"/>
      <c r="D2177" s="1"/>
    </row>
    <row r="2178" spans="1:4" x14ac:dyDescent="0.25">
      <c r="A2178" s="1"/>
      <c r="B2178" s="1"/>
      <c r="C2178" s="1"/>
      <c r="D2178" s="1"/>
    </row>
    <row r="2179" spans="1:4" x14ac:dyDescent="0.25">
      <c r="A2179" s="1"/>
      <c r="B2179" s="1"/>
      <c r="C2179" s="1"/>
      <c r="D2179" s="1"/>
    </row>
    <row r="2180" spans="1:4" x14ac:dyDescent="0.25">
      <c r="A2180" s="1"/>
      <c r="B2180" s="1"/>
      <c r="C2180" s="1"/>
      <c r="D2180" s="1"/>
    </row>
    <row r="2181" spans="1:4" x14ac:dyDescent="0.25">
      <c r="A2181" s="1"/>
      <c r="B2181" s="1"/>
      <c r="C2181" s="1"/>
      <c r="D2181" s="1"/>
    </row>
    <row r="2182" spans="1:4" x14ac:dyDescent="0.25">
      <c r="A2182" s="1"/>
      <c r="B2182" s="1"/>
      <c r="C2182" s="1"/>
      <c r="D2182" s="1"/>
    </row>
    <row r="2183" spans="1:4" x14ac:dyDescent="0.25">
      <c r="A2183" s="1"/>
      <c r="B2183" s="1"/>
      <c r="C2183" s="1"/>
      <c r="D2183" s="1"/>
    </row>
    <row r="2184" spans="1:4" x14ac:dyDescent="0.25">
      <c r="A2184" s="1"/>
      <c r="B2184" s="1"/>
      <c r="C2184" s="1"/>
      <c r="D2184" s="1"/>
    </row>
    <row r="2185" spans="1:4" x14ac:dyDescent="0.25">
      <c r="A2185" s="1"/>
      <c r="B2185" s="1"/>
      <c r="C2185" s="1"/>
      <c r="D2185" s="1"/>
    </row>
    <row r="2186" spans="1:4" x14ac:dyDescent="0.25">
      <c r="A2186" s="1"/>
      <c r="B2186" s="1"/>
      <c r="C2186" s="1"/>
      <c r="D2186" s="1"/>
    </row>
    <row r="2187" spans="1:4" x14ac:dyDescent="0.25">
      <c r="A2187" s="1"/>
      <c r="B2187" s="1"/>
      <c r="C2187" s="1"/>
      <c r="D2187" s="1"/>
    </row>
    <row r="2188" spans="1:4" x14ac:dyDescent="0.25">
      <c r="A2188" s="1"/>
      <c r="B2188" s="1"/>
      <c r="C2188" s="1"/>
      <c r="D2188" s="1"/>
    </row>
    <row r="2189" spans="1:4" x14ac:dyDescent="0.25">
      <c r="A2189" s="1"/>
      <c r="B2189" s="1"/>
      <c r="C2189" s="1"/>
      <c r="D2189" s="1"/>
    </row>
    <row r="2190" spans="1:4" x14ac:dyDescent="0.25">
      <c r="A2190" s="1"/>
      <c r="B2190" s="1"/>
      <c r="C2190" s="1"/>
      <c r="D2190" s="1"/>
    </row>
    <row r="2191" spans="1:4" x14ac:dyDescent="0.25">
      <c r="A2191" s="1"/>
      <c r="B2191" s="1"/>
      <c r="C2191" s="1"/>
      <c r="D2191" s="1"/>
    </row>
    <row r="2192" spans="1:4" x14ac:dyDescent="0.25">
      <c r="A2192" s="1"/>
      <c r="B2192" s="1"/>
      <c r="C2192" s="1"/>
      <c r="D2192" s="1"/>
    </row>
    <row r="2193" spans="1:4" x14ac:dyDescent="0.25">
      <c r="A2193" s="1"/>
      <c r="B2193" s="1"/>
      <c r="C2193" s="1"/>
      <c r="D2193" s="1"/>
    </row>
    <row r="2194" spans="1:4" x14ac:dyDescent="0.25">
      <c r="A2194" s="1"/>
      <c r="B2194" s="1"/>
      <c r="C2194" s="1"/>
      <c r="D2194" s="1"/>
    </row>
    <row r="2195" spans="1:4" x14ac:dyDescent="0.25">
      <c r="A2195" s="1"/>
      <c r="B2195" s="1"/>
      <c r="C2195" s="1"/>
      <c r="D2195" s="1"/>
    </row>
    <row r="2196" spans="1:4" x14ac:dyDescent="0.25">
      <c r="A2196" s="1"/>
      <c r="B2196" s="1"/>
      <c r="C2196" s="1"/>
      <c r="D2196" s="1"/>
    </row>
    <row r="2197" spans="1:4" x14ac:dyDescent="0.25">
      <c r="A2197" s="1"/>
      <c r="B2197" s="1"/>
      <c r="C2197" s="1"/>
      <c r="D2197" s="1"/>
    </row>
    <row r="2198" spans="1:4" x14ac:dyDescent="0.25">
      <c r="A2198" s="1"/>
      <c r="B2198" s="1"/>
      <c r="C2198" s="1"/>
      <c r="D2198" s="1"/>
    </row>
    <row r="2199" spans="1:4" x14ac:dyDescent="0.25">
      <c r="A2199" s="1"/>
      <c r="B2199" s="1"/>
      <c r="C2199" s="1"/>
      <c r="D2199" s="1"/>
    </row>
    <row r="2200" spans="1:4" x14ac:dyDescent="0.25">
      <c r="A2200" s="1"/>
      <c r="B2200" s="1"/>
      <c r="C2200" s="1"/>
      <c r="D2200" s="1"/>
    </row>
    <row r="2201" spans="1:4" x14ac:dyDescent="0.25">
      <c r="A2201" s="1"/>
      <c r="B2201" s="1"/>
      <c r="C2201" s="1"/>
      <c r="D2201" s="1"/>
    </row>
    <row r="2202" spans="1:4" x14ac:dyDescent="0.25">
      <c r="A2202" s="1"/>
      <c r="B2202" s="1"/>
      <c r="C2202" s="1"/>
      <c r="D2202" s="1"/>
    </row>
    <row r="2203" spans="1:4" x14ac:dyDescent="0.25">
      <c r="A2203" s="1"/>
      <c r="B2203" s="1"/>
      <c r="C2203" s="1"/>
      <c r="D2203" s="1"/>
    </row>
    <row r="2204" spans="1:4" x14ac:dyDescent="0.25">
      <c r="A2204" s="1"/>
      <c r="B2204" s="1"/>
      <c r="C2204" s="1"/>
      <c r="D2204" s="1"/>
    </row>
    <row r="2205" spans="1:4" x14ac:dyDescent="0.25">
      <c r="A2205" s="1"/>
      <c r="B2205" s="1"/>
      <c r="C2205" s="1"/>
      <c r="D2205" s="1"/>
    </row>
    <row r="2206" spans="1:4" x14ac:dyDescent="0.25">
      <c r="A2206" s="1"/>
      <c r="B2206" s="1"/>
      <c r="C2206" s="1"/>
      <c r="D2206" s="1"/>
    </row>
    <row r="2207" spans="1:4" x14ac:dyDescent="0.25">
      <c r="A2207" s="1"/>
      <c r="B2207" s="1"/>
      <c r="C2207" s="1"/>
      <c r="D2207" s="1"/>
    </row>
    <row r="2208" spans="1:4" x14ac:dyDescent="0.25">
      <c r="A2208" s="1"/>
      <c r="B2208" s="1"/>
      <c r="C2208" s="1"/>
      <c r="D2208" s="1"/>
    </row>
    <row r="2209" spans="1:4" x14ac:dyDescent="0.25">
      <c r="A2209" s="1"/>
      <c r="B2209" s="1"/>
      <c r="C2209" s="1"/>
      <c r="D2209" s="1"/>
    </row>
    <row r="2210" spans="1:4" x14ac:dyDescent="0.25">
      <c r="A2210" s="1"/>
      <c r="B2210" s="1"/>
      <c r="C2210" s="1"/>
      <c r="D2210" s="1"/>
    </row>
    <row r="2211" spans="1:4" x14ac:dyDescent="0.25">
      <c r="A2211" s="1"/>
      <c r="B2211" s="1"/>
      <c r="C2211" s="1"/>
      <c r="D2211" s="1"/>
    </row>
    <row r="2212" spans="1:4" x14ac:dyDescent="0.25">
      <c r="A2212" s="1"/>
      <c r="B2212" s="1"/>
      <c r="C2212" s="1"/>
      <c r="D2212" s="1"/>
    </row>
    <row r="2213" spans="1:4" x14ac:dyDescent="0.25">
      <c r="A2213" s="1"/>
      <c r="B2213" s="1"/>
      <c r="C2213" s="1"/>
      <c r="D2213" s="1"/>
    </row>
    <row r="2214" spans="1:4" x14ac:dyDescent="0.25">
      <c r="A2214" s="1"/>
      <c r="B2214" s="1"/>
      <c r="C2214" s="1"/>
      <c r="D2214" s="1"/>
    </row>
    <row r="2215" spans="1:4" x14ac:dyDescent="0.25">
      <c r="A2215" s="1"/>
      <c r="B2215" s="1"/>
      <c r="C2215" s="1"/>
      <c r="D2215" s="1"/>
    </row>
    <row r="2216" spans="1:4" x14ac:dyDescent="0.25">
      <c r="A2216" s="1"/>
      <c r="B2216" s="1"/>
      <c r="C2216" s="1"/>
      <c r="D2216" s="1"/>
    </row>
    <row r="2217" spans="1:4" x14ac:dyDescent="0.25">
      <c r="A2217" s="1"/>
      <c r="B2217" s="1"/>
      <c r="C2217" s="1"/>
      <c r="D2217" s="1"/>
    </row>
    <row r="2218" spans="1:4" x14ac:dyDescent="0.25">
      <c r="A2218" s="1"/>
      <c r="B2218" s="1"/>
      <c r="C2218" s="1"/>
      <c r="D2218" s="1"/>
    </row>
    <row r="2219" spans="1:4" x14ac:dyDescent="0.25">
      <c r="A2219" s="1"/>
      <c r="B2219" s="1"/>
      <c r="C2219" s="1"/>
      <c r="D2219" s="1"/>
    </row>
    <row r="2220" spans="1:4" x14ac:dyDescent="0.25">
      <c r="A2220" s="1"/>
      <c r="B2220" s="1"/>
      <c r="C2220" s="1"/>
      <c r="D2220" s="1"/>
    </row>
    <row r="2221" spans="1:4" x14ac:dyDescent="0.25">
      <c r="A2221" s="1"/>
      <c r="B2221" s="1"/>
      <c r="C2221" s="1"/>
      <c r="D2221" s="1"/>
    </row>
    <row r="2222" spans="1:4" x14ac:dyDescent="0.25">
      <c r="A2222" s="1"/>
      <c r="B2222" s="1"/>
      <c r="C2222" s="1"/>
      <c r="D2222" s="1"/>
    </row>
    <row r="2223" spans="1:4" x14ac:dyDescent="0.25">
      <c r="A2223" s="1"/>
      <c r="B2223" s="1"/>
      <c r="C2223" s="1"/>
      <c r="D2223" s="1"/>
    </row>
    <row r="2224" spans="1:4" x14ac:dyDescent="0.25">
      <c r="A2224" s="1"/>
      <c r="B2224" s="1"/>
      <c r="C2224" s="1"/>
      <c r="D2224" s="1"/>
    </row>
    <row r="2225" spans="1:4" x14ac:dyDescent="0.25">
      <c r="A2225" s="1"/>
      <c r="B2225" s="1"/>
      <c r="C2225" s="1"/>
      <c r="D2225" s="1"/>
    </row>
    <row r="2226" spans="1:4" x14ac:dyDescent="0.25">
      <c r="A2226" s="1"/>
      <c r="B2226" s="1"/>
      <c r="C2226" s="1"/>
      <c r="D2226" s="1"/>
    </row>
    <row r="2227" spans="1:4" x14ac:dyDescent="0.25">
      <c r="A2227" s="1"/>
      <c r="B2227" s="1"/>
      <c r="C2227" s="1"/>
      <c r="D2227" s="1"/>
    </row>
    <row r="2228" spans="1:4" x14ac:dyDescent="0.25">
      <c r="A2228" s="1"/>
      <c r="B2228" s="1"/>
      <c r="C2228" s="1"/>
      <c r="D2228" s="1"/>
    </row>
    <row r="2229" spans="1:4" x14ac:dyDescent="0.25">
      <c r="A2229" s="1"/>
      <c r="B2229" s="1"/>
      <c r="C2229" s="1"/>
      <c r="D2229" s="1"/>
    </row>
    <row r="2230" spans="1:4" x14ac:dyDescent="0.25">
      <c r="A2230" s="1"/>
      <c r="B2230" s="1"/>
      <c r="C2230" s="1"/>
      <c r="D2230" s="1"/>
    </row>
    <row r="2231" spans="1:4" x14ac:dyDescent="0.25">
      <c r="A2231" s="1"/>
      <c r="B2231" s="1"/>
      <c r="C2231" s="1"/>
      <c r="D2231" s="1"/>
    </row>
    <row r="2232" spans="1:4" x14ac:dyDescent="0.25">
      <c r="A2232" s="1"/>
      <c r="B2232" s="1"/>
      <c r="C2232" s="1"/>
      <c r="D2232" s="1"/>
    </row>
    <row r="2233" spans="1:4" x14ac:dyDescent="0.25">
      <c r="A2233" s="1"/>
      <c r="B2233" s="1"/>
      <c r="C2233" s="1"/>
      <c r="D2233" s="1"/>
    </row>
    <row r="2234" spans="1:4" x14ac:dyDescent="0.25">
      <c r="A2234" s="1"/>
      <c r="B2234" s="1"/>
      <c r="C2234" s="1"/>
      <c r="D2234" s="1"/>
    </row>
    <row r="2235" spans="1:4" x14ac:dyDescent="0.25">
      <c r="A2235" s="1"/>
      <c r="B2235" s="1"/>
      <c r="C2235" s="1"/>
      <c r="D2235" s="1"/>
    </row>
    <row r="2236" spans="1:4" x14ac:dyDescent="0.25">
      <c r="A2236" s="1"/>
      <c r="B2236" s="1"/>
      <c r="C2236" s="1"/>
      <c r="D2236" s="1"/>
    </row>
    <row r="2237" spans="1:4" x14ac:dyDescent="0.25">
      <c r="A2237" s="1"/>
      <c r="B2237" s="1"/>
      <c r="C2237" s="1"/>
      <c r="D2237" s="1"/>
    </row>
    <row r="2238" spans="1:4" x14ac:dyDescent="0.25">
      <c r="A2238" s="1"/>
      <c r="B2238" s="1"/>
      <c r="C2238" s="1"/>
      <c r="D2238" s="1"/>
    </row>
    <row r="2239" spans="1:4" x14ac:dyDescent="0.25">
      <c r="A2239" s="1"/>
      <c r="B2239" s="1"/>
      <c r="C2239" s="1"/>
      <c r="D2239" s="1"/>
    </row>
    <row r="2240" spans="1:4" x14ac:dyDescent="0.25">
      <c r="A2240" s="1"/>
      <c r="B2240" s="1"/>
      <c r="C2240" s="1"/>
      <c r="D2240" s="1"/>
    </row>
    <row r="2241" spans="1:4" x14ac:dyDescent="0.25">
      <c r="A2241" s="1"/>
      <c r="B2241" s="1"/>
      <c r="C2241" s="1"/>
      <c r="D2241" s="1"/>
    </row>
    <row r="2242" spans="1:4" x14ac:dyDescent="0.25">
      <c r="A2242" s="1"/>
      <c r="B2242" s="1"/>
      <c r="C2242" s="1"/>
      <c r="D2242" s="1"/>
    </row>
    <row r="2243" spans="1:4" x14ac:dyDescent="0.25">
      <c r="A2243" s="1"/>
      <c r="B2243" s="1"/>
      <c r="C2243" s="1"/>
      <c r="D2243" s="1"/>
    </row>
    <row r="2244" spans="1:4" x14ac:dyDescent="0.25">
      <c r="A2244" s="1"/>
      <c r="B2244" s="1"/>
      <c r="C2244" s="1"/>
      <c r="D2244" s="1"/>
    </row>
    <row r="2245" spans="1:4" x14ac:dyDescent="0.25">
      <c r="A2245" s="1"/>
      <c r="B2245" s="1"/>
      <c r="C2245" s="1"/>
      <c r="D2245" s="1"/>
    </row>
    <row r="2246" spans="1:4" x14ac:dyDescent="0.25">
      <c r="A2246" s="1"/>
      <c r="B2246" s="1"/>
      <c r="C2246" s="1"/>
      <c r="D2246" s="1"/>
    </row>
    <row r="2247" spans="1:4" x14ac:dyDescent="0.25">
      <c r="A2247" s="1"/>
      <c r="B2247" s="1"/>
      <c r="C2247" s="1"/>
      <c r="D2247" s="1"/>
    </row>
    <row r="2248" spans="1:4" x14ac:dyDescent="0.25">
      <c r="A2248" s="1"/>
      <c r="B2248" s="1"/>
      <c r="C2248" s="1"/>
      <c r="D2248" s="1"/>
    </row>
    <row r="2249" spans="1:4" x14ac:dyDescent="0.25">
      <c r="A2249" s="1"/>
      <c r="B2249" s="1"/>
      <c r="C2249" s="1"/>
      <c r="D2249" s="1"/>
    </row>
    <row r="2250" spans="1:4" x14ac:dyDescent="0.25">
      <c r="A2250" s="1"/>
      <c r="B2250" s="1"/>
      <c r="C2250" s="1"/>
      <c r="D2250" s="1"/>
    </row>
    <row r="2251" spans="1:4" x14ac:dyDescent="0.25">
      <c r="A2251" s="1"/>
      <c r="B2251" s="1"/>
      <c r="C2251" s="1"/>
      <c r="D2251" s="1"/>
    </row>
    <row r="2252" spans="1:4" x14ac:dyDescent="0.25">
      <c r="A2252" s="1"/>
      <c r="B2252" s="1"/>
      <c r="C2252" s="1"/>
      <c r="D2252" s="1"/>
    </row>
    <row r="2253" spans="1:4" x14ac:dyDescent="0.25">
      <c r="A2253" s="1"/>
      <c r="B2253" s="1"/>
      <c r="C2253" s="1"/>
      <c r="D2253" s="1"/>
    </row>
    <row r="2254" spans="1:4" x14ac:dyDescent="0.25">
      <c r="A2254" s="1"/>
      <c r="B2254" s="1"/>
      <c r="C2254" s="1"/>
      <c r="D2254" s="1"/>
    </row>
    <row r="2255" spans="1:4" x14ac:dyDescent="0.25">
      <c r="A2255" s="1"/>
      <c r="B2255" s="1"/>
      <c r="C2255" s="1"/>
      <c r="D2255" s="1"/>
    </row>
    <row r="2256" spans="1:4" x14ac:dyDescent="0.25">
      <c r="A2256" s="1"/>
      <c r="B2256" s="1"/>
      <c r="C2256" s="1"/>
      <c r="D2256" s="1"/>
    </row>
    <row r="2257" spans="1:4" x14ac:dyDescent="0.25">
      <c r="A2257" s="1"/>
      <c r="B2257" s="1"/>
      <c r="C2257" s="1"/>
      <c r="D2257" s="1"/>
    </row>
    <row r="2258" spans="1:4" x14ac:dyDescent="0.25">
      <c r="A2258" s="1"/>
      <c r="B2258" s="1"/>
      <c r="C2258" s="1"/>
      <c r="D2258" s="1"/>
    </row>
    <row r="2259" spans="1:4" x14ac:dyDescent="0.25">
      <c r="A2259" s="1"/>
      <c r="B2259" s="1"/>
      <c r="C2259" s="1"/>
      <c r="D2259" s="1"/>
    </row>
    <row r="2260" spans="1:4" x14ac:dyDescent="0.25">
      <c r="A2260" s="1"/>
      <c r="B2260" s="1"/>
      <c r="C2260" s="1"/>
      <c r="D2260" s="1"/>
    </row>
    <row r="2261" spans="1:4" x14ac:dyDescent="0.25">
      <c r="A2261" s="1"/>
      <c r="B2261" s="1"/>
      <c r="C2261" s="1"/>
      <c r="D2261" s="1"/>
    </row>
    <row r="2262" spans="1:4" x14ac:dyDescent="0.25">
      <c r="A2262" s="1"/>
      <c r="B2262" s="1"/>
      <c r="C2262" s="1"/>
      <c r="D2262" s="1"/>
    </row>
    <row r="2263" spans="1:4" x14ac:dyDescent="0.25">
      <c r="A2263" s="1"/>
      <c r="B2263" s="1"/>
      <c r="C2263" s="1"/>
      <c r="D2263" s="1"/>
    </row>
    <row r="2264" spans="1:4" x14ac:dyDescent="0.25">
      <c r="A2264" s="1"/>
      <c r="B2264" s="1"/>
      <c r="C2264" s="1"/>
      <c r="D2264" s="1"/>
    </row>
    <row r="2265" spans="1:4" x14ac:dyDescent="0.25">
      <c r="A2265" s="1"/>
      <c r="B2265" s="1"/>
      <c r="C2265" s="1"/>
      <c r="D2265" s="1"/>
    </row>
    <row r="2266" spans="1:4" x14ac:dyDescent="0.25">
      <c r="A2266" s="1"/>
      <c r="B2266" s="1"/>
      <c r="C2266" s="1"/>
      <c r="D2266" s="1"/>
    </row>
    <row r="2267" spans="1:4" x14ac:dyDescent="0.25">
      <c r="A2267" s="1"/>
      <c r="B2267" s="1"/>
      <c r="C2267" s="1"/>
      <c r="D2267" s="1"/>
    </row>
    <row r="2268" spans="1:4" x14ac:dyDescent="0.25">
      <c r="A2268" s="1"/>
      <c r="B2268" s="1"/>
      <c r="C2268" s="1"/>
      <c r="D2268" s="1"/>
    </row>
    <row r="2269" spans="1:4" x14ac:dyDescent="0.25">
      <c r="A2269" s="1"/>
      <c r="B2269" s="1"/>
      <c r="C2269" s="1"/>
      <c r="D2269" s="1"/>
    </row>
    <row r="2270" spans="1:4" x14ac:dyDescent="0.25">
      <c r="A2270" s="1"/>
      <c r="B2270" s="1"/>
      <c r="C2270" s="1"/>
      <c r="D2270" s="1"/>
    </row>
    <row r="2271" spans="1:4" x14ac:dyDescent="0.25">
      <c r="A2271" s="1"/>
      <c r="B2271" s="1"/>
      <c r="C2271" s="1"/>
      <c r="D2271" s="1"/>
    </row>
    <row r="2272" spans="1:4" x14ac:dyDescent="0.25">
      <c r="A2272" s="1"/>
      <c r="B2272" s="1"/>
      <c r="C2272" s="1"/>
      <c r="D2272" s="1"/>
    </row>
    <row r="2273" spans="1:4" x14ac:dyDescent="0.25">
      <c r="A2273" s="1"/>
      <c r="B2273" s="1"/>
      <c r="C2273" s="1"/>
      <c r="D2273" s="1"/>
    </row>
    <row r="2274" spans="1:4" x14ac:dyDescent="0.25">
      <c r="A2274" s="1"/>
      <c r="B2274" s="1"/>
      <c r="C2274" s="1"/>
      <c r="D2274" s="1"/>
    </row>
    <row r="2275" spans="1:4" x14ac:dyDescent="0.25">
      <c r="A2275" s="1"/>
      <c r="B2275" s="1"/>
      <c r="C2275" s="1"/>
      <c r="D2275" s="1"/>
    </row>
    <row r="2276" spans="1:4" x14ac:dyDescent="0.25">
      <c r="A2276" s="1"/>
      <c r="B2276" s="1"/>
      <c r="C2276" s="1"/>
      <c r="D2276" s="1"/>
    </row>
    <row r="2277" spans="1:4" x14ac:dyDescent="0.25">
      <c r="A2277" s="1"/>
      <c r="B2277" s="1"/>
      <c r="C2277" s="1"/>
      <c r="D2277" s="1"/>
    </row>
    <row r="2278" spans="1:4" x14ac:dyDescent="0.25">
      <c r="A2278" s="1"/>
      <c r="B2278" s="1"/>
      <c r="C2278" s="1"/>
      <c r="D2278" s="1"/>
    </row>
    <row r="2279" spans="1:4" x14ac:dyDescent="0.25">
      <c r="A2279" s="1"/>
      <c r="B2279" s="1"/>
      <c r="C2279" s="1"/>
      <c r="D2279" s="1"/>
    </row>
    <row r="2280" spans="1:4" x14ac:dyDescent="0.25">
      <c r="A2280" s="1"/>
      <c r="B2280" s="1"/>
      <c r="C2280" s="1"/>
      <c r="D2280" s="1"/>
    </row>
    <row r="2281" spans="1:4" x14ac:dyDescent="0.25">
      <c r="A2281" s="1"/>
      <c r="B2281" s="1"/>
      <c r="C2281" s="1"/>
      <c r="D2281" s="1"/>
    </row>
    <row r="2282" spans="1:4" x14ac:dyDescent="0.25">
      <c r="A2282" s="1"/>
      <c r="B2282" s="1"/>
      <c r="C2282" s="1"/>
      <c r="D2282" s="1"/>
    </row>
    <row r="2283" spans="1:4" x14ac:dyDescent="0.25">
      <c r="A2283" s="1"/>
      <c r="B2283" s="1"/>
      <c r="C2283" s="1"/>
      <c r="D2283" s="1"/>
    </row>
    <row r="2284" spans="1:4" x14ac:dyDescent="0.25">
      <c r="A2284" s="1"/>
      <c r="B2284" s="1"/>
      <c r="C2284" s="1"/>
      <c r="D2284" s="1"/>
    </row>
    <row r="2285" spans="1:4" x14ac:dyDescent="0.25">
      <c r="A2285" s="1"/>
      <c r="B2285" s="1"/>
      <c r="C2285" s="1"/>
      <c r="D2285" s="1"/>
    </row>
    <row r="2286" spans="1:4" x14ac:dyDescent="0.25">
      <c r="A2286" s="1"/>
      <c r="B2286" s="1"/>
      <c r="C2286" s="1"/>
      <c r="D2286" s="1"/>
    </row>
    <row r="2287" spans="1:4" x14ac:dyDescent="0.25">
      <c r="A2287" s="1"/>
      <c r="B2287" s="1"/>
      <c r="C2287" s="1"/>
      <c r="D2287" s="1"/>
    </row>
    <row r="2288" spans="1:4" x14ac:dyDescent="0.25">
      <c r="A2288" s="1"/>
      <c r="B2288" s="1"/>
      <c r="C2288" s="1"/>
      <c r="D2288" s="1"/>
    </row>
    <row r="2289" spans="1:4" x14ac:dyDescent="0.25">
      <c r="A2289" s="1"/>
      <c r="B2289" s="1"/>
      <c r="C2289" s="1"/>
      <c r="D2289" s="1"/>
    </row>
    <row r="2290" spans="1:4" x14ac:dyDescent="0.25">
      <c r="A2290" s="1"/>
      <c r="B2290" s="1"/>
      <c r="C2290" s="1"/>
      <c r="D2290" s="1"/>
    </row>
    <row r="2291" spans="1:4" x14ac:dyDescent="0.25">
      <c r="A2291" s="1"/>
      <c r="B2291" s="1"/>
      <c r="C2291" s="1"/>
      <c r="D2291" s="1"/>
    </row>
    <row r="2292" spans="1:4" x14ac:dyDescent="0.25">
      <c r="A2292" s="1"/>
      <c r="B2292" s="1"/>
      <c r="C2292" s="1"/>
      <c r="D2292" s="1"/>
    </row>
    <row r="2293" spans="1:4" x14ac:dyDescent="0.25">
      <c r="A2293" s="1"/>
      <c r="B2293" s="1"/>
      <c r="C2293" s="1"/>
      <c r="D2293" s="1"/>
    </row>
    <row r="2294" spans="1:4" x14ac:dyDescent="0.25">
      <c r="A2294" s="1"/>
      <c r="B2294" s="1"/>
      <c r="C2294" s="1"/>
      <c r="D2294" s="1"/>
    </row>
    <row r="2295" spans="1:4" x14ac:dyDescent="0.25">
      <c r="A2295" s="1"/>
      <c r="B2295" s="1"/>
      <c r="C2295" s="1"/>
      <c r="D2295" s="1"/>
    </row>
    <row r="2296" spans="1:4" x14ac:dyDescent="0.25">
      <c r="A2296" s="1"/>
      <c r="B2296" s="1"/>
      <c r="C2296" s="1"/>
      <c r="D2296" s="1"/>
    </row>
    <row r="2297" spans="1:4" x14ac:dyDescent="0.25">
      <c r="A2297" s="1"/>
      <c r="B2297" s="1"/>
      <c r="C2297" s="1"/>
      <c r="D2297" s="1"/>
    </row>
    <row r="2298" spans="1:4" x14ac:dyDescent="0.25">
      <c r="A2298" s="1"/>
      <c r="B2298" s="1"/>
      <c r="C2298" s="1"/>
      <c r="D2298" s="1"/>
    </row>
    <row r="2299" spans="1:4" x14ac:dyDescent="0.25">
      <c r="A2299" s="1"/>
      <c r="B2299" s="1"/>
      <c r="C2299" s="1"/>
      <c r="D2299" s="1"/>
    </row>
    <row r="2300" spans="1:4" x14ac:dyDescent="0.25">
      <c r="A2300" s="1"/>
      <c r="B2300" s="1"/>
      <c r="C2300" s="1"/>
      <c r="D2300" s="1"/>
    </row>
    <row r="2301" spans="1:4" x14ac:dyDescent="0.25">
      <c r="A2301" s="1"/>
      <c r="B2301" s="1"/>
      <c r="C2301" s="1"/>
      <c r="D2301" s="1"/>
    </row>
    <row r="2302" spans="1:4" x14ac:dyDescent="0.25">
      <c r="A2302" s="1"/>
      <c r="B2302" s="1"/>
      <c r="C2302" s="1"/>
      <c r="D2302" s="1"/>
    </row>
    <row r="2303" spans="1:4" x14ac:dyDescent="0.25">
      <c r="A2303" s="1"/>
      <c r="B2303" s="1"/>
      <c r="C2303" s="1"/>
      <c r="D2303" s="1"/>
    </row>
    <row r="2304" spans="1:4" x14ac:dyDescent="0.25">
      <c r="A2304" s="1"/>
      <c r="B2304" s="1"/>
      <c r="C2304" s="1"/>
      <c r="D2304" s="1"/>
    </row>
    <row r="2305" spans="1:4" x14ac:dyDescent="0.25">
      <c r="A2305" s="1"/>
      <c r="B2305" s="1"/>
      <c r="C2305" s="1"/>
      <c r="D2305" s="1"/>
    </row>
    <row r="2306" spans="1:4" x14ac:dyDescent="0.25">
      <c r="A2306" s="1"/>
      <c r="B2306" s="1"/>
      <c r="C2306" s="1"/>
      <c r="D2306" s="1"/>
    </row>
    <row r="2307" spans="1:4" x14ac:dyDescent="0.25">
      <c r="A2307" s="1"/>
      <c r="B2307" s="1"/>
      <c r="C2307" s="1"/>
      <c r="D2307" s="1"/>
    </row>
    <row r="2308" spans="1:4" x14ac:dyDescent="0.25">
      <c r="A2308" s="1"/>
      <c r="B2308" s="1"/>
      <c r="C2308" s="1"/>
      <c r="D2308" s="1"/>
    </row>
    <row r="2309" spans="1:4" x14ac:dyDescent="0.25">
      <c r="A2309" s="1"/>
      <c r="B2309" s="1"/>
      <c r="C2309" s="1"/>
      <c r="D2309" s="1"/>
    </row>
    <row r="2310" spans="1:4" x14ac:dyDescent="0.25">
      <c r="A2310" s="1"/>
      <c r="B2310" s="1"/>
      <c r="C2310" s="1"/>
      <c r="D2310" s="1"/>
    </row>
    <row r="2311" spans="1:4" x14ac:dyDescent="0.25">
      <c r="A2311" s="1"/>
      <c r="B2311" s="1"/>
      <c r="C2311" s="1"/>
      <c r="D2311" s="1"/>
    </row>
    <row r="2312" spans="1:4" x14ac:dyDescent="0.25">
      <c r="A2312" s="1"/>
      <c r="B2312" s="1"/>
      <c r="C2312" s="1"/>
      <c r="D2312" s="1"/>
    </row>
    <row r="2313" spans="1:4" x14ac:dyDescent="0.25">
      <c r="A2313" s="1"/>
      <c r="B2313" s="1"/>
      <c r="C2313" s="1"/>
      <c r="D2313" s="1"/>
    </row>
    <row r="2314" spans="1:4" x14ac:dyDescent="0.25">
      <c r="A2314" s="1"/>
      <c r="B2314" s="1"/>
      <c r="C2314" s="1"/>
      <c r="D2314" s="1"/>
    </row>
    <row r="2315" spans="1:4" x14ac:dyDescent="0.25">
      <c r="A2315" s="1"/>
      <c r="B2315" s="1"/>
      <c r="C2315" s="1"/>
      <c r="D2315" s="1"/>
    </row>
    <row r="2316" spans="1:4" x14ac:dyDescent="0.25">
      <c r="A2316" s="1"/>
      <c r="B2316" s="1"/>
      <c r="C2316" s="1"/>
      <c r="D2316" s="1"/>
    </row>
    <row r="2317" spans="1:4" x14ac:dyDescent="0.25">
      <c r="A2317" s="1"/>
      <c r="B2317" s="1"/>
      <c r="C2317" s="1"/>
      <c r="D2317" s="1"/>
    </row>
    <row r="2318" spans="1:4" x14ac:dyDescent="0.25">
      <c r="A2318" s="1"/>
      <c r="B2318" s="1"/>
      <c r="C2318" s="1"/>
      <c r="D2318" s="1"/>
    </row>
    <row r="2319" spans="1:4" x14ac:dyDescent="0.25">
      <c r="A2319" s="1"/>
      <c r="B2319" s="1"/>
      <c r="C2319" s="1"/>
      <c r="D2319" s="1"/>
    </row>
    <row r="2320" spans="1:4" x14ac:dyDescent="0.25">
      <c r="A2320" s="1"/>
      <c r="B2320" s="1"/>
      <c r="C2320" s="1"/>
      <c r="D2320" s="1"/>
    </row>
    <row r="2321" spans="1:4" x14ac:dyDescent="0.25">
      <c r="A2321" s="1"/>
      <c r="B2321" s="1"/>
      <c r="C2321" s="1"/>
      <c r="D2321" s="1"/>
    </row>
    <row r="2322" spans="1:4" x14ac:dyDescent="0.25">
      <c r="A2322" s="1"/>
      <c r="B2322" s="1"/>
      <c r="C2322" s="1"/>
      <c r="D2322" s="1"/>
    </row>
    <row r="2323" spans="1:4" x14ac:dyDescent="0.25">
      <c r="A2323" s="1"/>
      <c r="B2323" s="1"/>
      <c r="C2323" s="1"/>
      <c r="D2323" s="1"/>
    </row>
    <row r="2324" spans="1:4" x14ac:dyDescent="0.25">
      <c r="A2324" s="1"/>
      <c r="B2324" s="1"/>
      <c r="C2324" s="1"/>
      <c r="D2324" s="1"/>
    </row>
    <row r="2325" spans="1:4" x14ac:dyDescent="0.25">
      <c r="A2325" s="1"/>
      <c r="B2325" s="1"/>
      <c r="C2325" s="1"/>
      <c r="D2325" s="1"/>
    </row>
    <row r="2326" spans="1:4" x14ac:dyDescent="0.25">
      <c r="A2326" s="1"/>
      <c r="B2326" s="1"/>
      <c r="C2326" s="1"/>
      <c r="D2326" s="1"/>
    </row>
    <row r="2327" spans="1:4" x14ac:dyDescent="0.25">
      <c r="A2327" s="1"/>
      <c r="B2327" s="1"/>
      <c r="C2327" s="1"/>
      <c r="D2327" s="1"/>
    </row>
    <row r="2328" spans="1:4" x14ac:dyDescent="0.25">
      <c r="A2328" s="1"/>
      <c r="B2328" s="1"/>
      <c r="C2328" s="1"/>
      <c r="D2328" s="1"/>
    </row>
    <row r="2329" spans="1:4" x14ac:dyDescent="0.25">
      <c r="A2329" s="1"/>
      <c r="B2329" s="1"/>
      <c r="C2329" s="1"/>
      <c r="D2329" s="1"/>
    </row>
    <row r="2330" spans="1:4" x14ac:dyDescent="0.25">
      <c r="A2330" s="1"/>
      <c r="B2330" s="1"/>
      <c r="C2330" s="1"/>
      <c r="D2330" s="1"/>
    </row>
    <row r="2331" spans="1:4" x14ac:dyDescent="0.25">
      <c r="A2331" s="1"/>
      <c r="B2331" s="1"/>
      <c r="C2331" s="1"/>
      <c r="D2331" s="1"/>
    </row>
    <row r="2332" spans="1:4" x14ac:dyDescent="0.25">
      <c r="A2332" s="1"/>
      <c r="B2332" s="1"/>
      <c r="C2332" s="1"/>
      <c r="D2332" s="1"/>
    </row>
    <row r="2333" spans="1:4" x14ac:dyDescent="0.25">
      <c r="A2333" s="1"/>
      <c r="B2333" s="1"/>
      <c r="C2333" s="1"/>
      <c r="D2333" s="1"/>
    </row>
    <row r="2334" spans="1:4" x14ac:dyDescent="0.25">
      <c r="A2334" s="1"/>
      <c r="B2334" s="1"/>
      <c r="C2334" s="1"/>
      <c r="D2334" s="1"/>
    </row>
    <row r="2335" spans="1:4" x14ac:dyDescent="0.25">
      <c r="A2335" s="1"/>
      <c r="B2335" s="1"/>
      <c r="C2335" s="1"/>
      <c r="D2335" s="1"/>
    </row>
    <row r="2336" spans="1:4" x14ac:dyDescent="0.25">
      <c r="A2336" s="1"/>
      <c r="B2336" s="1"/>
      <c r="C2336" s="1"/>
      <c r="D2336" s="1"/>
    </row>
    <row r="2337" spans="1:4" x14ac:dyDescent="0.25">
      <c r="A2337" s="1"/>
      <c r="B2337" s="1"/>
      <c r="C2337" s="1"/>
      <c r="D2337" s="1"/>
    </row>
    <row r="2338" spans="1:4" x14ac:dyDescent="0.25">
      <c r="A2338" s="1"/>
      <c r="B2338" s="1"/>
      <c r="C2338" s="1"/>
      <c r="D2338" s="1"/>
    </row>
    <row r="2339" spans="1:4" x14ac:dyDescent="0.25">
      <c r="A2339" s="1"/>
      <c r="B2339" s="1"/>
      <c r="C2339" s="1"/>
      <c r="D2339" s="1"/>
    </row>
    <row r="2340" spans="1:4" x14ac:dyDescent="0.25">
      <c r="A2340" s="1"/>
      <c r="B2340" s="1"/>
      <c r="C2340" s="1"/>
      <c r="D2340" s="1"/>
    </row>
    <row r="2341" spans="1:4" x14ac:dyDescent="0.25">
      <c r="A2341" s="1"/>
      <c r="B2341" s="1"/>
      <c r="C2341" s="1"/>
      <c r="D2341" s="1"/>
    </row>
    <row r="2342" spans="1:4" x14ac:dyDescent="0.25">
      <c r="A2342" s="1"/>
      <c r="B2342" s="1"/>
      <c r="C2342" s="1"/>
      <c r="D2342" s="1"/>
    </row>
    <row r="2343" spans="1:4" x14ac:dyDescent="0.25">
      <c r="A2343" s="1"/>
      <c r="B2343" s="1"/>
      <c r="C2343" s="1"/>
      <c r="D2343" s="1"/>
    </row>
    <row r="2344" spans="1:4" x14ac:dyDescent="0.25">
      <c r="A2344" s="1"/>
      <c r="B2344" s="1"/>
      <c r="C2344" s="1"/>
      <c r="D2344" s="1"/>
    </row>
    <row r="2345" spans="1:4" x14ac:dyDescent="0.25">
      <c r="A2345" s="1"/>
      <c r="B2345" s="1"/>
      <c r="C2345" s="1"/>
      <c r="D2345" s="1"/>
    </row>
    <row r="2346" spans="1:4" x14ac:dyDescent="0.25">
      <c r="A2346" s="1"/>
      <c r="B2346" s="1"/>
      <c r="C2346" s="1"/>
      <c r="D2346" s="1"/>
    </row>
    <row r="2347" spans="1:4" x14ac:dyDescent="0.25">
      <c r="A2347" s="1"/>
      <c r="B2347" s="1"/>
      <c r="C2347" s="1"/>
      <c r="D2347" s="1"/>
    </row>
    <row r="2348" spans="1:4" x14ac:dyDescent="0.25">
      <c r="A2348" s="1"/>
      <c r="B2348" s="1"/>
      <c r="C2348" s="1"/>
      <c r="D2348" s="1"/>
    </row>
    <row r="2349" spans="1:4" x14ac:dyDescent="0.25">
      <c r="A2349" s="1"/>
      <c r="B2349" s="1"/>
      <c r="C2349" s="1"/>
      <c r="D2349" s="1"/>
    </row>
    <row r="2350" spans="1:4" x14ac:dyDescent="0.25">
      <c r="A2350" s="1"/>
      <c r="B2350" s="1"/>
      <c r="C2350" s="1"/>
      <c r="D2350" s="1"/>
    </row>
    <row r="2351" spans="1:4" x14ac:dyDescent="0.25">
      <c r="A2351" s="1"/>
      <c r="B2351" s="1"/>
      <c r="C2351" s="1"/>
      <c r="D2351" s="1"/>
    </row>
    <row r="2352" spans="1:4" x14ac:dyDescent="0.25">
      <c r="A2352" s="1"/>
      <c r="B2352" s="1"/>
      <c r="C2352" s="1"/>
      <c r="D2352" s="1"/>
    </row>
    <row r="2353" spans="1:4" x14ac:dyDescent="0.25">
      <c r="A2353" s="1"/>
      <c r="B2353" s="1"/>
      <c r="C2353" s="1"/>
      <c r="D2353" s="1"/>
    </row>
    <row r="2354" spans="1:4" x14ac:dyDescent="0.25">
      <c r="A2354" s="1"/>
      <c r="B2354" s="1"/>
      <c r="C2354" s="1"/>
      <c r="D2354" s="1"/>
    </row>
    <row r="2355" spans="1:4" x14ac:dyDescent="0.25">
      <c r="A2355" s="1"/>
      <c r="B2355" s="1"/>
      <c r="C2355" s="1"/>
      <c r="D2355" s="1"/>
    </row>
    <row r="2356" spans="1:4" x14ac:dyDescent="0.25">
      <c r="A2356" s="1"/>
      <c r="B2356" s="1"/>
      <c r="C2356" s="1"/>
      <c r="D2356" s="1"/>
    </row>
    <row r="2357" spans="1:4" x14ac:dyDescent="0.25">
      <c r="A2357" s="1"/>
      <c r="B2357" s="1"/>
      <c r="C2357" s="1"/>
      <c r="D2357" s="1"/>
    </row>
    <row r="2358" spans="1:4" x14ac:dyDescent="0.25">
      <c r="A2358" s="1"/>
      <c r="B2358" s="1"/>
      <c r="C2358" s="1"/>
      <c r="D2358" s="1"/>
    </row>
    <row r="2359" spans="1:4" x14ac:dyDescent="0.25">
      <c r="A2359" s="1"/>
      <c r="B2359" s="1"/>
      <c r="C2359" s="1"/>
      <c r="D2359" s="1"/>
    </row>
    <row r="2360" spans="1:4" x14ac:dyDescent="0.25">
      <c r="A2360" s="1"/>
      <c r="B2360" s="1"/>
      <c r="C2360" s="1"/>
      <c r="D2360" s="1"/>
    </row>
    <row r="2361" spans="1:4" x14ac:dyDescent="0.25">
      <c r="A2361" s="1"/>
      <c r="B2361" s="1"/>
      <c r="C2361" s="1"/>
      <c r="D2361" s="1"/>
    </row>
    <row r="2362" spans="1:4" x14ac:dyDescent="0.25">
      <c r="A2362" s="1"/>
      <c r="B2362" s="1"/>
      <c r="C2362" s="1"/>
      <c r="D2362" s="1"/>
    </row>
    <row r="2363" spans="1:4" x14ac:dyDescent="0.25">
      <c r="A2363" s="1"/>
      <c r="B2363" s="1"/>
      <c r="C2363" s="1"/>
      <c r="D2363" s="1"/>
    </row>
    <row r="2364" spans="1:4" x14ac:dyDescent="0.25">
      <c r="A2364" s="1"/>
      <c r="B2364" s="1"/>
      <c r="C2364" s="1"/>
      <c r="D2364" s="1"/>
    </row>
    <row r="2365" spans="1:4" x14ac:dyDescent="0.25">
      <c r="A2365" s="1"/>
      <c r="B2365" s="1"/>
      <c r="C2365" s="1"/>
      <c r="D2365" s="1"/>
    </row>
    <row r="2366" spans="1:4" x14ac:dyDescent="0.25">
      <c r="A2366" s="1"/>
      <c r="B2366" s="1"/>
      <c r="C2366" s="1"/>
      <c r="D2366" s="1"/>
    </row>
    <row r="2367" spans="1:4" x14ac:dyDescent="0.25">
      <c r="A2367" s="1"/>
      <c r="B2367" s="1"/>
      <c r="C2367" s="1"/>
      <c r="D2367" s="1"/>
    </row>
    <row r="2368" spans="1:4" x14ac:dyDescent="0.25">
      <c r="A2368" s="1"/>
      <c r="B2368" s="1"/>
      <c r="C2368" s="1"/>
      <c r="D2368" s="1"/>
    </row>
    <row r="2369" spans="1:4" x14ac:dyDescent="0.25">
      <c r="A2369" s="1"/>
      <c r="B2369" s="1"/>
      <c r="C2369" s="1"/>
      <c r="D2369" s="1"/>
    </row>
    <row r="2370" spans="1:4" x14ac:dyDescent="0.25">
      <c r="A2370" s="1"/>
      <c r="B2370" s="1"/>
      <c r="C2370" s="1"/>
      <c r="D2370" s="1"/>
    </row>
    <row r="2371" spans="1:4" x14ac:dyDescent="0.25">
      <c r="A2371" s="1"/>
      <c r="B2371" s="1"/>
      <c r="C2371" s="1"/>
      <c r="D2371" s="1"/>
    </row>
    <row r="2372" spans="1:4" x14ac:dyDescent="0.25">
      <c r="A2372" s="1"/>
      <c r="B2372" s="1"/>
      <c r="C2372" s="1"/>
      <c r="D2372" s="1"/>
    </row>
    <row r="2373" spans="1:4" x14ac:dyDescent="0.25">
      <c r="A2373" s="1"/>
      <c r="B2373" s="1"/>
      <c r="C2373" s="1"/>
      <c r="D2373" s="1"/>
    </row>
    <row r="2374" spans="1:4" x14ac:dyDescent="0.25">
      <c r="A2374" s="1"/>
      <c r="B2374" s="1"/>
      <c r="C2374" s="1"/>
      <c r="D2374" s="1"/>
    </row>
    <row r="2375" spans="1:4" x14ac:dyDescent="0.25">
      <c r="A2375" s="1"/>
      <c r="B2375" s="1"/>
      <c r="C2375" s="1"/>
      <c r="D2375" s="1"/>
    </row>
    <row r="2376" spans="1:4" x14ac:dyDescent="0.25">
      <c r="A2376" s="1"/>
      <c r="B2376" s="1"/>
      <c r="C2376" s="1"/>
      <c r="D2376" s="1"/>
    </row>
    <row r="2377" spans="1:4" x14ac:dyDescent="0.25">
      <c r="A2377" s="1"/>
      <c r="B2377" s="1"/>
      <c r="C2377" s="1"/>
      <c r="D2377" s="1"/>
    </row>
    <row r="2378" spans="1:4" x14ac:dyDescent="0.25">
      <c r="A2378" s="1"/>
      <c r="B2378" s="1"/>
      <c r="C2378" s="1"/>
      <c r="D2378" s="1"/>
    </row>
    <row r="2379" spans="1:4" x14ac:dyDescent="0.25">
      <c r="A2379" s="1"/>
      <c r="B2379" s="1"/>
      <c r="C2379" s="1"/>
      <c r="D2379" s="1"/>
    </row>
    <row r="2380" spans="1:4" x14ac:dyDescent="0.25">
      <c r="A2380" s="1"/>
      <c r="B2380" s="1"/>
      <c r="C2380" s="1"/>
      <c r="D2380" s="1"/>
    </row>
    <row r="2381" spans="1:4" x14ac:dyDescent="0.25">
      <c r="A2381" s="1"/>
      <c r="B2381" s="1"/>
      <c r="C2381" s="1"/>
      <c r="D2381" s="1"/>
    </row>
    <row r="2382" spans="1:4" x14ac:dyDescent="0.25">
      <c r="A2382" s="1"/>
      <c r="B2382" s="1"/>
      <c r="C2382" s="1"/>
      <c r="D2382" s="1"/>
    </row>
    <row r="2383" spans="1:4" x14ac:dyDescent="0.25">
      <c r="A2383" s="1"/>
      <c r="B2383" s="1"/>
      <c r="C2383" s="1"/>
      <c r="D2383" s="1"/>
    </row>
    <row r="2384" spans="1:4" x14ac:dyDescent="0.25">
      <c r="A2384" s="1"/>
      <c r="B2384" s="1"/>
      <c r="C2384" s="1"/>
      <c r="D2384" s="1"/>
    </row>
    <row r="2385" spans="1:4" x14ac:dyDescent="0.25">
      <c r="A2385" s="1"/>
      <c r="B2385" s="1"/>
      <c r="C2385" s="1"/>
      <c r="D2385" s="1"/>
    </row>
    <row r="2386" spans="1:4" x14ac:dyDescent="0.25">
      <c r="A2386" s="1"/>
      <c r="B2386" s="1"/>
      <c r="C2386" s="1"/>
      <c r="D2386" s="1"/>
    </row>
    <row r="2387" spans="1:4" x14ac:dyDescent="0.25">
      <c r="A2387" s="1"/>
      <c r="B2387" s="1"/>
      <c r="C2387" s="1"/>
      <c r="D2387" s="1"/>
    </row>
    <row r="2388" spans="1:4" x14ac:dyDescent="0.25">
      <c r="A2388" s="1"/>
      <c r="B2388" s="1"/>
      <c r="C2388" s="1"/>
      <c r="D2388" s="1"/>
    </row>
    <row r="2389" spans="1:4" x14ac:dyDescent="0.25">
      <c r="A2389" s="1"/>
      <c r="B2389" s="1"/>
      <c r="C2389" s="1"/>
      <c r="D2389" s="1"/>
    </row>
    <row r="2390" spans="1:4" x14ac:dyDescent="0.25">
      <c r="A2390" s="1"/>
      <c r="B2390" s="1"/>
      <c r="C2390" s="1"/>
      <c r="D2390" s="1"/>
    </row>
    <row r="2391" spans="1:4" x14ac:dyDescent="0.25">
      <c r="A2391" s="1"/>
      <c r="B2391" s="1"/>
      <c r="C2391" s="1"/>
      <c r="D2391" s="1"/>
    </row>
    <row r="2392" spans="1:4" x14ac:dyDescent="0.25">
      <c r="A2392" s="1"/>
      <c r="B2392" s="1"/>
      <c r="C2392" s="1"/>
      <c r="D2392" s="1"/>
    </row>
    <row r="2393" spans="1:4" x14ac:dyDescent="0.25">
      <c r="A2393" s="1"/>
      <c r="B2393" s="1"/>
      <c r="C2393" s="1"/>
      <c r="D2393" s="1"/>
    </row>
    <row r="2394" spans="1:4" x14ac:dyDescent="0.25">
      <c r="A2394" s="1"/>
      <c r="B2394" s="1"/>
      <c r="C2394" s="1"/>
      <c r="D2394" s="1"/>
    </row>
    <row r="2395" spans="1:4" x14ac:dyDescent="0.25">
      <c r="A2395" s="1"/>
      <c r="B2395" s="1"/>
      <c r="C2395" s="1"/>
      <c r="D2395" s="1"/>
    </row>
    <row r="2396" spans="1:4" x14ac:dyDescent="0.25">
      <c r="A2396" s="1"/>
      <c r="B2396" s="1"/>
      <c r="C2396" s="1"/>
      <c r="D2396" s="1"/>
    </row>
    <row r="2397" spans="1:4" x14ac:dyDescent="0.25">
      <c r="A2397" s="1"/>
      <c r="B2397" s="1"/>
      <c r="C2397" s="1"/>
      <c r="D2397" s="1"/>
    </row>
    <row r="2398" spans="1:4" x14ac:dyDescent="0.25">
      <c r="A2398" s="1"/>
      <c r="B2398" s="1"/>
      <c r="C2398" s="1"/>
      <c r="D2398" s="1"/>
    </row>
    <row r="2399" spans="1:4" x14ac:dyDescent="0.25">
      <c r="A2399" s="1"/>
      <c r="B2399" s="1"/>
      <c r="C2399" s="1"/>
      <c r="D2399" s="1"/>
    </row>
    <row r="2400" spans="1:4" x14ac:dyDescent="0.25">
      <c r="A2400" s="1"/>
      <c r="B2400" s="1"/>
      <c r="C2400" s="1"/>
      <c r="D2400" s="1"/>
    </row>
    <row r="2401" spans="1:4" x14ac:dyDescent="0.25">
      <c r="A2401" s="1"/>
      <c r="B2401" s="1"/>
      <c r="C2401" s="1"/>
      <c r="D2401" s="1"/>
    </row>
    <row r="2402" spans="1:4" x14ac:dyDescent="0.25">
      <c r="A2402" s="1"/>
      <c r="B2402" s="1"/>
      <c r="C2402" s="1"/>
      <c r="D2402" s="1"/>
    </row>
    <row r="2403" spans="1:4" x14ac:dyDescent="0.25">
      <c r="A2403" s="1"/>
      <c r="B2403" s="1"/>
      <c r="C2403" s="1"/>
      <c r="D2403" s="1"/>
    </row>
    <row r="2404" spans="1:4" x14ac:dyDescent="0.25">
      <c r="A2404" s="1"/>
      <c r="B2404" s="1"/>
      <c r="C2404" s="1"/>
      <c r="D2404" s="1"/>
    </row>
    <row r="2405" spans="1:4" x14ac:dyDescent="0.25">
      <c r="A2405" s="1"/>
      <c r="B2405" s="1"/>
      <c r="C2405" s="1"/>
      <c r="D2405" s="1"/>
    </row>
    <row r="2406" spans="1:4" x14ac:dyDescent="0.25">
      <c r="A2406" s="1"/>
      <c r="B2406" s="1"/>
      <c r="C2406" s="1"/>
      <c r="D2406" s="1"/>
    </row>
    <row r="2407" spans="1:4" x14ac:dyDescent="0.25">
      <c r="A2407" s="1"/>
      <c r="B2407" s="1"/>
      <c r="C2407" s="1"/>
      <c r="D2407" s="1"/>
    </row>
    <row r="2408" spans="1:4" x14ac:dyDescent="0.25">
      <c r="A2408" s="1"/>
      <c r="B2408" s="1"/>
      <c r="C2408" s="1"/>
      <c r="D2408" s="1"/>
    </row>
    <row r="2409" spans="1:4" x14ac:dyDescent="0.25">
      <c r="A2409" s="1"/>
      <c r="B2409" s="1"/>
      <c r="C2409" s="1"/>
      <c r="D2409" s="1"/>
    </row>
    <row r="2410" spans="1:4" x14ac:dyDescent="0.25">
      <c r="A2410" s="1"/>
      <c r="B2410" s="1"/>
      <c r="C2410" s="1"/>
      <c r="D2410" s="1"/>
    </row>
    <row r="2411" spans="1:4" x14ac:dyDescent="0.25">
      <c r="A2411" s="1"/>
      <c r="B2411" s="1"/>
      <c r="C2411" s="1"/>
      <c r="D2411" s="1"/>
    </row>
    <row r="2412" spans="1:4" x14ac:dyDescent="0.25">
      <c r="A2412" s="1"/>
      <c r="B2412" s="1"/>
      <c r="C2412" s="1"/>
      <c r="D2412" s="1"/>
    </row>
    <row r="2413" spans="1:4" x14ac:dyDescent="0.25">
      <c r="A2413" s="1"/>
      <c r="B2413" s="1"/>
      <c r="C2413" s="1"/>
      <c r="D2413" s="1"/>
    </row>
    <row r="2414" spans="1:4" x14ac:dyDescent="0.25">
      <c r="A2414" s="1"/>
      <c r="B2414" s="1"/>
      <c r="C2414" s="1"/>
      <c r="D2414" s="1"/>
    </row>
    <row r="2415" spans="1:4" x14ac:dyDescent="0.25">
      <c r="A2415" s="1"/>
      <c r="B2415" s="1"/>
      <c r="C2415" s="1"/>
      <c r="D2415" s="1"/>
    </row>
    <row r="2416" spans="1:4" x14ac:dyDescent="0.25">
      <c r="A2416" s="1"/>
      <c r="B2416" s="1"/>
      <c r="C2416" s="1"/>
      <c r="D2416" s="1"/>
    </row>
    <row r="2417" spans="1:4" x14ac:dyDescent="0.25">
      <c r="A2417" s="1"/>
      <c r="B2417" s="1"/>
      <c r="C2417" s="1"/>
      <c r="D2417" s="1"/>
    </row>
    <row r="2418" spans="1:4" x14ac:dyDescent="0.25">
      <c r="A2418" s="1"/>
      <c r="B2418" s="1"/>
      <c r="C2418" s="1"/>
      <c r="D2418" s="1"/>
    </row>
    <row r="2419" spans="1:4" x14ac:dyDescent="0.25">
      <c r="A2419" s="1"/>
      <c r="B2419" s="1"/>
      <c r="C2419" s="1"/>
      <c r="D2419" s="1"/>
    </row>
    <row r="2420" spans="1:4" x14ac:dyDescent="0.25">
      <c r="A2420" s="1"/>
      <c r="B2420" s="1"/>
      <c r="C2420" s="1"/>
      <c r="D2420" s="1"/>
    </row>
    <row r="2421" spans="1:4" x14ac:dyDescent="0.25">
      <c r="A2421" s="1"/>
      <c r="B2421" s="1"/>
      <c r="C2421" s="1"/>
      <c r="D2421" s="1"/>
    </row>
    <row r="2422" spans="1:4" x14ac:dyDescent="0.25">
      <c r="A2422" s="1"/>
      <c r="B2422" s="1"/>
      <c r="C2422" s="1"/>
      <c r="D2422" s="1"/>
    </row>
    <row r="2423" spans="1:4" x14ac:dyDescent="0.25">
      <c r="A2423" s="1"/>
      <c r="B2423" s="1"/>
      <c r="C2423" s="1"/>
      <c r="D2423" s="1"/>
    </row>
    <row r="2424" spans="1:4" x14ac:dyDescent="0.25">
      <c r="A2424" s="1"/>
      <c r="B2424" s="1"/>
      <c r="C2424" s="1"/>
      <c r="D2424" s="1"/>
    </row>
    <row r="2425" spans="1:4" x14ac:dyDescent="0.25">
      <c r="A2425" s="1"/>
      <c r="B2425" s="1"/>
      <c r="C2425" s="1"/>
      <c r="D2425" s="1"/>
    </row>
    <row r="2426" spans="1:4" x14ac:dyDescent="0.25">
      <c r="A2426" s="1"/>
      <c r="B2426" s="1"/>
      <c r="C2426" s="1"/>
      <c r="D2426" s="1"/>
    </row>
    <row r="2427" spans="1:4" x14ac:dyDescent="0.25">
      <c r="A2427" s="1"/>
      <c r="B2427" s="1"/>
      <c r="C2427" s="1"/>
      <c r="D2427" s="1"/>
    </row>
    <row r="2428" spans="1:4" x14ac:dyDescent="0.25">
      <c r="A2428" s="1"/>
      <c r="B2428" s="1"/>
      <c r="C2428" s="1"/>
      <c r="D2428" s="1"/>
    </row>
    <row r="2429" spans="1:4" x14ac:dyDescent="0.25">
      <c r="A2429" s="1"/>
      <c r="B2429" s="1"/>
      <c r="C2429" s="1"/>
      <c r="D2429" s="1"/>
    </row>
    <row r="2430" spans="1:4" x14ac:dyDescent="0.25">
      <c r="A2430" s="1"/>
      <c r="B2430" s="1"/>
      <c r="C2430" s="1"/>
      <c r="D2430" s="1"/>
    </row>
    <row r="2431" spans="1:4" x14ac:dyDescent="0.25">
      <c r="A2431" s="1"/>
      <c r="B2431" s="1"/>
      <c r="C2431" s="1"/>
      <c r="D2431" s="1"/>
    </row>
    <row r="2432" spans="1:4" x14ac:dyDescent="0.25">
      <c r="A2432" s="1"/>
      <c r="B2432" s="1"/>
      <c r="C2432" s="1"/>
      <c r="D2432" s="1"/>
    </row>
    <row r="2433" spans="1:4" x14ac:dyDescent="0.25">
      <c r="A2433" s="1"/>
      <c r="B2433" s="1"/>
      <c r="C2433" s="1"/>
      <c r="D2433" s="1"/>
    </row>
    <row r="2434" spans="1:4" x14ac:dyDescent="0.25">
      <c r="A2434" s="1"/>
      <c r="B2434" s="1"/>
      <c r="C2434" s="1"/>
      <c r="D2434" s="1"/>
    </row>
    <row r="2435" spans="1:4" x14ac:dyDescent="0.25">
      <c r="A2435" s="1"/>
      <c r="B2435" s="1"/>
      <c r="C2435" s="1"/>
      <c r="D2435" s="1"/>
    </row>
    <row r="2436" spans="1:4" x14ac:dyDescent="0.25">
      <c r="A2436" s="1"/>
      <c r="B2436" s="1"/>
      <c r="C2436" s="1"/>
      <c r="D2436" s="1"/>
    </row>
    <row r="2437" spans="1:4" x14ac:dyDescent="0.25">
      <c r="A2437" s="1"/>
      <c r="B2437" s="1"/>
      <c r="C2437" s="1"/>
      <c r="D2437" s="1"/>
    </row>
    <row r="2438" spans="1:4" x14ac:dyDescent="0.25">
      <c r="A2438" s="1"/>
      <c r="B2438" s="1"/>
      <c r="C2438" s="1"/>
      <c r="D2438" s="1"/>
    </row>
    <row r="2439" spans="1:4" x14ac:dyDescent="0.25">
      <c r="A2439" s="1"/>
      <c r="B2439" s="1"/>
      <c r="C2439" s="1"/>
      <c r="D2439" s="1"/>
    </row>
    <row r="2440" spans="1:4" x14ac:dyDescent="0.25">
      <c r="A2440" s="1"/>
      <c r="B2440" s="1"/>
      <c r="C2440" s="1"/>
      <c r="D2440" s="1"/>
    </row>
    <row r="2441" spans="1:4" x14ac:dyDescent="0.25">
      <c r="A2441" s="1"/>
      <c r="B2441" s="1"/>
      <c r="C2441" s="1"/>
      <c r="D2441" s="1"/>
    </row>
    <row r="2442" spans="1:4" x14ac:dyDescent="0.25">
      <c r="A2442" s="1"/>
      <c r="B2442" s="1"/>
      <c r="C2442" s="1"/>
      <c r="D2442" s="1"/>
    </row>
    <row r="2443" spans="1:4" x14ac:dyDescent="0.25">
      <c r="A2443" s="1"/>
      <c r="B2443" s="1"/>
      <c r="C2443" s="1"/>
      <c r="D2443" s="1"/>
    </row>
    <row r="2444" spans="1:4" x14ac:dyDescent="0.25">
      <c r="A2444" s="1"/>
      <c r="B2444" s="1"/>
      <c r="C2444" s="1"/>
      <c r="D2444" s="1"/>
    </row>
    <row r="2445" spans="1:4" x14ac:dyDescent="0.25">
      <c r="A2445" s="1"/>
      <c r="B2445" s="1"/>
      <c r="C2445" s="1"/>
      <c r="D2445" s="1"/>
    </row>
    <row r="2446" spans="1:4" x14ac:dyDescent="0.25">
      <c r="A2446" s="1"/>
      <c r="B2446" s="1"/>
      <c r="C2446" s="1"/>
      <c r="D2446" s="1"/>
    </row>
    <row r="2447" spans="1:4" x14ac:dyDescent="0.25">
      <c r="A2447" s="1"/>
      <c r="B2447" s="1"/>
      <c r="C2447" s="1"/>
      <c r="D2447" s="1"/>
    </row>
    <row r="2448" spans="1:4" x14ac:dyDescent="0.25">
      <c r="A2448" s="1"/>
      <c r="B2448" s="1"/>
      <c r="C2448" s="1"/>
      <c r="D2448" s="1"/>
    </row>
    <row r="2449" spans="1:4" x14ac:dyDescent="0.25">
      <c r="A2449" s="1"/>
      <c r="B2449" s="1"/>
      <c r="C2449" s="1"/>
      <c r="D2449" s="1"/>
    </row>
    <row r="2450" spans="1:4" x14ac:dyDescent="0.25">
      <c r="A2450" s="1"/>
      <c r="B2450" s="1"/>
      <c r="C2450" s="1"/>
      <c r="D2450" s="1"/>
    </row>
    <row r="2451" spans="1:4" x14ac:dyDescent="0.25">
      <c r="A2451" s="1"/>
      <c r="B2451" s="1"/>
      <c r="C2451" s="1"/>
      <c r="D2451" s="1"/>
    </row>
    <row r="2452" spans="1:4" x14ac:dyDescent="0.25">
      <c r="A2452" s="1"/>
      <c r="B2452" s="1"/>
      <c r="C2452" s="1"/>
      <c r="D2452" s="1"/>
    </row>
    <row r="2453" spans="1:4" x14ac:dyDescent="0.25">
      <c r="A2453" s="1"/>
      <c r="B2453" s="1"/>
      <c r="C2453" s="1"/>
      <c r="D2453" s="1"/>
    </row>
    <row r="2454" spans="1:4" x14ac:dyDescent="0.25">
      <c r="A2454" s="1"/>
      <c r="B2454" s="1"/>
      <c r="C2454" s="1"/>
      <c r="D2454" s="1"/>
    </row>
    <row r="2455" spans="1:4" x14ac:dyDescent="0.25">
      <c r="A2455" s="1"/>
      <c r="B2455" s="1"/>
      <c r="C2455" s="1"/>
      <c r="D2455" s="1"/>
    </row>
    <row r="2456" spans="1:4" x14ac:dyDescent="0.25">
      <c r="A2456" s="1"/>
      <c r="B2456" s="1"/>
      <c r="C2456" s="1"/>
      <c r="D2456" s="1"/>
    </row>
    <row r="2457" spans="1:4" x14ac:dyDescent="0.25">
      <c r="A2457" s="1"/>
      <c r="B2457" s="1"/>
      <c r="C2457" s="1"/>
      <c r="D2457" s="1"/>
    </row>
    <row r="2458" spans="1:4" x14ac:dyDescent="0.25">
      <c r="A2458" s="1"/>
      <c r="B2458" s="1"/>
      <c r="C2458" s="1"/>
      <c r="D2458" s="1"/>
    </row>
    <row r="2459" spans="1:4" x14ac:dyDescent="0.25">
      <c r="A2459" s="1"/>
      <c r="B2459" s="1"/>
      <c r="C2459" s="1"/>
      <c r="D2459" s="1"/>
    </row>
    <row r="2460" spans="1:4" x14ac:dyDescent="0.25">
      <c r="A2460" s="1"/>
      <c r="B2460" s="1"/>
      <c r="C2460" s="1"/>
      <c r="D2460" s="1"/>
    </row>
    <row r="2461" spans="1:4" x14ac:dyDescent="0.25">
      <c r="A2461" s="1"/>
      <c r="B2461" s="1"/>
      <c r="C2461" s="1"/>
      <c r="D2461" s="1"/>
    </row>
    <row r="2462" spans="1:4" x14ac:dyDescent="0.25">
      <c r="A2462" s="1"/>
      <c r="B2462" s="1"/>
      <c r="C2462" s="1"/>
      <c r="D2462" s="1"/>
    </row>
    <row r="2463" spans="1:4" x14ac:dyDescent="0.25">
      <c r="A2463" s="1"/>
      <c r="B2463" s="1"/>
      <c r="C2463" s="1"/>
      <c r="D2463" s="1"/>
    </row>
    <row r="2464" spans="1:4" x14ac:dyDescent="0.25">
      <c r="A2464" s="1"/>
      <c r="B2464" s="1"/>
      <c r="C2464" s="1"/>
      <c r="D2464" s="1"/>
    </row>
    <row r="2465" spans="1:4" x14ac:dyDescent="0.25">
      <c r="A2465" s="1"/>
      <c r="B2465" s="1"/>
      <c r="C2465" s="1"/>
      <c r="D2465" s="1"/>
    </row>
    <row r="2466" spans="1:4" x14ac:dyDescent="0.25">
      <c r="A2466" s="1"/>
      <c r="B2466" s="1"/>
      <c r="C2466" s="1"/>
      <c r="D2466" s="1"/>
    </row>
    <row r="2467" spans="1:4" x14ac:dyDescent="0.25">
      <c r="A2467" s="1"/>
      <c r="B2467" s="1"/>
      <c r="C2467" s="1"/>
      <c r="D2467" s="1"/>
    </row>
    <row r="2468" spans="1:4" x14ac:dyDescent="0.25">
      <c r="A2468" s="1"/>
      <c r="B2468" s="1"/>
      <c r="C2468" s="1"/>
      <c r="D2468" s="1"/>
    </row>
    <row r="2469" spans="1:4" x14ac:dyDescent="0.25">
      <c r="A2469" s="1"/>
      <c r="B2469" s="1"/>
      <c r="C2469" s="1"/>
      <c r="D2469" s="1"/>
    </row>
    <row r="2470" spans="1:4" x14ac:dyDescent="0.25">
      <c r="A2470" s="1"/>
      <c r="B2470" s="1"/>
      <c r="C2470" s="1"/>
      <c r="D2470" s="1"/>
    </row>
    <row r="2471" spans="1:4" x14ac:dyDescent="0.25">
      <c r="A2471" s="1"/>
      <c r="B2471" s="1"/>
      <c r="C2471" s="1"/>
      <c r="D2471" s="1"/>
    </row>
    <row r="2472" spans="1:4" x14ac:dyDescent="0.25">
      <c r="A2472" s="1"/>
      <c r="B2472" s="1"/>
      <c r="C2472" s="1"/>
      <c r="D2472" s="1"/>
    </row>
    <row r="2473" spans="1:4" x14ac:dyDescent="0.25">
      <c r="A2473" s="1"/>
      <c r="B2473" s="1"/>
      <c r="C2473" s="1"/>
      <c r="D2473" s="1"/>
    </row>
    <row r="2474" spans="1:4" x14ac:dyDescent="0.25">
      <c r="A2474" s="1"/>
      <c r="B2474" s="1"/>
      <c r="C2474" s="1"/>
      <c r="D2474" s="1"/>
    </row>
    <row r="2475" spans="1:4" x14ac:dyDescent="0.25">
      <c r="A2475" s="1"/>
      <c r="B2475" s="1"/>
      <c r="C2475" s="1"/>
      <c r="D2475" s="1"/>
    </row>
    <row r="2476" spans="1:4" x14ac:dyDescent="0.25">
      <c r="A2476" s="1"/>
      <c r="B2476" s="1"/>
      <c r="C2476" s="1"/>
      <c r="D2476" s="1"/>
    </row>
    <row r="2477" spans="1:4" x14ac:dyDescent="0.25">
      <c r="A2477" s="1"/>
      <c r="B2477" s="1"/>
      <c r="C2477" s="1"/>
      <c r="D2477" s="1"/>
    </row>
    <row r="2478" spans="1:4" x14ac:dyDescent="0.25">
      <c r="A2478" s="1"/>
      <c r="B2478" s="1"/>
      <c r="C2478" s="1"/>
      <c r="D2478" s="1"/>
    </row>
    <row r="2479" spans="1:4" x14ac:dyDescent="0.25">
      <c r="A2479" s="1"/>
      <c r="B2479" s="1"/>
      <c r="C2479" s="1"/>
      <c r="D2479" s="1"/>
    </row>
    <row r="2480" spans="1:4" x14ac:dyDescent="0.25">
      <c r="A2480" s="1"/>
      <c r="B2480" s="1"/>
      <c r="C2480" s="1"/>
      <c r="D2480" s="1"/>
    </row>
    <row r="2481" spans="1:4" x14ac:dyDescent="0.25">
      <c r="A2481" s="1"/>
      <c r="B2481" s="1"/>
      <c r="C2481" s="1"/>
      <c r="D2481" s="1"/>
    </row>
    <row r="2482" spans="1:4" x14ac:dyDescent="0.25">
      <c r="A2482" s="1"/>
      <c r="B2482" s="1"/>
      <c r="C2482" s="1"/>
      <c r="D2482" s="1"/>
    </row>
    <row r="2483" spans="1:4" x14ac:dyDescent="0.25">
      <c r="A2483" s="1"/>
      <c r="B2483" s="1"/>
      <c r="C2483" s="1"/>
      <c r="D2483" s="1"/>
    </row>
    <row r="2484" spans="1:4" x14ac:dyDescent="0.25">
      <c r="A2484" s="1"/>
      <c r="B2484" s="1"/>
      <c r="C2484" s="1"/>
      <c r="D2484" s="1"/>
    </row>
    <row r="2485" spans="1:4" x14ac:dyDescent="0.25">
      <c r="A2485" s="1"/>
      <c r="B2485" s="1"/>
      <c r="C2485" s="1"/>
      <c r="D2485" s="1"/>
    </row>
    <row r="2486" spans="1:4" x14ac:dyDescent="0.25">
      <c r="A2486" s="1"/>
      <c r="B2486" s="1"/>
      <c r="C2486" s="1"/>
      <c r="D2486" s="1"/>
    </row>
    <row r="2487" spans="1:4" x14ac:dyDescent="0.25">
      <c r="A2487" s="1"/>
      <c r="B2487" s="1"/>
      <c r="C2487" s="1"/>
      <c r="D2487" s="1"/>
    </row>
    <row r="2488" spans="1:4" x14ac:dyDescent="0.25">
      <c r="A2488" s="1"/>
      <c r="B2488" s="1"/>
      <c r="C2488" s="1"/>
      <c r="D2488" s="1"/>
    </row>
    <row r="2489" spans="1:4" x14ac:dyDescent="0.25">
      <c r="A2489" s="1"/>
      <c r="B2489" s="1"/>
      <c r="C2489" s="1"/>
      <c r="D2489" s="1"/>
    </row>
    <row r="2490" spans="1:4" x14ac:dyDescent="0.25">
      <c r="A2490" s="1"/>
      <c r="B2490" s="1"/>
      <c r="C2490" s="1"/>
      <c r="D2490" s="1"/>
    </row>
    <row r="2491" spans="1:4" x14ac:dyDescent="0.25">
      <c r="A2491" s="1"/>
      <c r="B2491" s="1"/>
      <c r="C2491" s="1"/>
      <c r="D2491" s="1"/>
    </row>
    <row r="2492" spans="1:4" x14ac:dyDescent="0.25">
      <c r="A2492" s="1"/>
      <c r="B2492" s="1"/>
      <c r="C2492" s="1"/>
      <c r="D2492" s="1"/>
    </row>
    <row r="2493" spans="1:4" x14ac:dyDescent="0.25">
      <c r="A2493" s="1"/>
      <c r="B2493" s="1"/>
      <c r="C2493" s="1"/>
      <c r="D2493" s="1"/>
    </row>
    <row r="2494" spans="1:4" x14ac:dyDescent="0.25">
      <c r="A2494" s="1"/>
      <c r="B2494" s="1"/>
      <c r="C2494" s="1"/>
      <c r="D2494" s="1"/>
    </row>
    <row r="2495" spans="1:4" x14ac:dyDescent="0.25">
      <c r="A2495" s="1"/>
      <c r="B2495" s="1"/>
      <c r="C2495" s="1"/>
      <c r="D2495" s="1"/>
    </row>
    <row r="2496" spans="1:4" x14ac:dyDescent="0.25">
      <c r="A2496" s="1"/>
      <c r="B2496" s="1"/>
      <c r="C2496" s="1"/>
      <c r="D2496" s="1"/>
    </row>
    <row r="2497" spans="1:4" x14ac:dyDescent="0.25">
      <c r="A2497" s="1"/>
      <c r="B2497" s="1"/>
      <c r="C2497" s="1"/>
      <c r="D2497" s="1"/>
    </row>
    <row r="2498" spans="1:4" x14ac:dyDescent="0.25">
      <c r="A2498" s="1"/>
      <c r="B2498" s="1"/>
      <c r="C2498" s="1"/>
      <c r="D2498" s="1"/>
    </row>
    <row r="2499" spans="1:4" x14ac:dyDescent="0.25">
      <c r="A2499" s="1"/>
      <c r="B2499" s="1"/>
      <c r="C2499" s="1"/>
      <c r="D2499" s="1"/>
    </row>
    <row r="2500" spans="1:4" x14ac:dyDescent="0.25">
      <c r="A2500" s="1"/>
      <c r="B2500" s="1"/>
      <c r="C2500" s="1"/>
      <c r="D2500" s="1"/>
    </row>
    <row r="2501" spans="1:4" x14ac:dyDescent="0.25">
      <c r="A2501" s="1"/>
      <c r="B2501" s="1"/>
      <c r="C2501" s="1"/>
      <c r="D2501" s="1"/>
    </row>
    <row r="2502" spans="1:4" x14ac:dyDescent="0.25">
      <c r="A2502" s="1"/>
      <c r="B2502" s="1"/>
      <c r="C2502" s="1"/>
      <c r="D2502" s="1"/>
    </row>
    <row r="2503" spans="1:4" x14ac:dyDescent="0.25">
      <c r="A2503" s="1"/>
      <c r="B2503" s="1"/>
      <c r="C2503" s="1"/>
      <c r="D2503" s="1"/>
    </row>
    <row r="2504" spans="1:4" x14ac:dyDescent="0.25">
      <c r="A2504" s="1"/>
      <c r="B2504" s="1"/>
      <c r="C2504" s="1"/>
      <c r="D2504" s="1"/>
    </row>
    <row r="2505" spans="1:4" x14ac:dyDescent="0.25">
      <c r="A2505" s="1"/>
      <c r="B2505" s="1"/>
      <c r="C2505" s="1"/>
      <c r="D2505" s="1"/>
    </row>
    <row r="2506" spans="1:4" x14ac:dyDescent="0.25">
      <c r="A2506" s="1"/>
      <c r="B2506" s="1"/>
      <c r="C2506" s="1"/>
      <c r="D2506" s="1"/>
    </row>
    <row r="2507" spans="1:4" x14ac:dyDescent="0.25">
      <c r="A2507" s="1"/>
      <c r="B2507" s="1"/>
      <c r="C2507" s="1"/>
      <c r="D2507" s="1"/>
    </row>
    <row r="2508" spans="1:4" x14ac:dyDescent="0.25">
      <c r="A2508" s="1"/>
      <c r="B2508" s="1"/>
      <c r="C2508" s="1"/>
      <c r="D2508" s="1"/>
    </row>
    <row r="2509" spans="1:4" x14ac:dyDescent="0.25">
      <c r="A2509" s="1"/>
      <c r="B2509" s="1"/>
      <c r="C2509" s="1"/>
      <c r="D2509" s="1"/>
    </row>
    <row r="2510" spans="1:4" x14ac:dyDescent="0.25">
      <c r="A2510" s="1"/>
      <c r="B2510" s="1"/>
      <c r="C2510" s="1"/>
      <c r="D2510" s="1"/>
    </row>
    <row r="2511" spans="1:4" x14ac:dyDescent="0.25">
      <c r="A2511" s="1"/>
      <c r="B2511" s="1"/>
      <c r="C2511" s="1"/>
      <c r="D2511" s="1"/>
    </row>
    <row r="2512" spans="1:4" x14ac:dyDescent="0.25">
      <c r="A2512" s="1"/>
      <c r="B2512" s="1"/>
      <c r="C2512" s="1"/>
      <c r="D2512" s="1"/>
    </row>
    <row r="2513" spans="1:4" x14ac:dyDescent="0.25">
      <c r="A2513" s="1"/>
      <c r="B2513" s="1"/>
      <c r="C2513" s="1"/>
      <c r="D2513" s="1"/>
    </row>
    <row r="2514" spans="1:4" x14ac:dyDescent="0.25">
      <c r="A2514" s="1"/>
      <c r="B2514" s="1"/>
      <c r="C2514" s="1"/>
      <c r="D2514" s="1"/>
    </row>
    <row r="2515" spans="1:4" x14ac:dyDescent="0.25">
      <c r="A2515" s="1"/>
      <c r="B2515" s="1"/>
      <c r="C2515" s="1"/>
      <c r="D2515" s="1"/>
    </row>
    <row r="2516" spans="1:4" x14ac:dyDescent="0.25">
      <c r="A2516" s="1"/>
      <c r="B2516" s="1"/>
      <c r="C2516" s="1"/>
      <c r="D2516" s="1"/>
    </row>
    <row r="2517" spans="1:4" x14ac:dyDescent="0.25">
      <c r="A2517" s="1"/>
      <c r="B2517" s="1"/>
      <c r="C2517" s="1"/>
      <c r="D2517" s="1"/>
    </row>
    <row r="2518" spans="1:4" x14ac:dyDescent="0.25">
      <c r="A2518" s="1"/>
      <c r="B2518" s="1"/>
      <c r="C2518" s="1"/>
      <c r="D2518" s="1"/>
    </row>
    <row r="2519" spans="1:4" x14ac:dyDescent="0.25">
      <c r="A2519" s="1"/>
      <c r="B2519" s="1"/>
      <c r="C2519" s="1"/>
      <c r="D2519" s="1"/>
    </row>
    <row r="2520" spans="1:4" x14ac:dyDescent="0.25">
      <c r="A2520" s="1"/>
      <c r="B2520" s="1"/>
      <c r="C2520" s="1"/>
      <c r="D2520" s="1"/>
    </row>
    <row r="2521" spans="1:4" x14ac:dyDescent="0.25">
      <c r="A2521" s="1"/>
      <c r="B2521" s="1"/>
      <c r="C2521" s="1"/>
      <c r="D2521" s="1"/>
    </row>
    <row r="2522" spans="1:4" x14ac:dyDescent="0.25">
      <c r="A2522" s="1"/>
      <c r="B2522" s="1"/>
      <c r="C2522" s="1"/>
      <c r="D2522" s="1"/>
    </row>
    <row r="2523" spans="1:4" x14ac:dyDescent="0.25">
      <c r="A2523" s="1"/>
      <c r="B2523" s="1"/>
      <c r="C2523" s="1"/>
      <c r="D2523" s="1"/>
    </row>
    <row r="2524" spans="1:4" x14ac:dyDescent="0.25">
      <c r="A2524" s="1"/>
      <c r="B2524" s="1"/>
      <c r="C2524" s="1"/>
      <c r="D2524" s="1"/>
    </row>
    <row r="2525" spans="1:4" x14ac:dyDescent="0.25">
      <c r="A2525" s="1"/>
      <c r="B2525" s="1"/>
      <c r="C2525" s="1"/>
      <c r="D2525" s="1"/>
    </row>
    <row r="2526" spans="1:4" x14ac:dyDescent="0.25">
      <c r="A2526" s="1"/>
      <c r="B2526" s="1"/>
      <c r="C2526" s="1"/>
      <c r="D2526" s="1"/>
    </row>
    <row r="2527" spans="1:4" x14ac:dyDescent="0.25">
      <c r="A2527" s="1"/>
      <c r="B2527" s="1"/>
      <c r="C2527" s="1"/>
      <c r="D2527" s="1"/>
    </row>
    <row r="2528" spans="1:4" x14ac:dyDescent="0.25">
      <c r="A2528" s="1"/>
      <c r="B2528" s="1"/>
      <c r="C2528" s="1"/>
      <c r="D2528" s="1"/>
    </row>
    <row r="2529" spans="1:4" x14ac:dyDescent="0.25">
      <c r="A2529" s="1"/>
      <c r="B2529" s="1"/>
      <c r="C2529" s="1"/>
      <c r="D2529" s="1"/>
    </row>
    <row r="2530" spans="1:4" x14ac:dyDescent="0.25">
      <c r="A2530" s="1"/>
      <c r="B2530" s="1"/>
      <c r="C2530" s="1"/>
      <c r="D2530" s="1"/>
    </row>
    <row r="2531" spans="1:4" x14ac:dyDescent="0.25">
      <c r="A2531" s="1"/>
      <c r="B2531" s="1"/>
      <c r="C2531" s="1"/>
      <c r="D2531" s="1"/>
    </row>
    <row r="2532" spans="1:4" x14ac:dyDescent="0.25">
      <c r="A2532" s="1"/>
      <c r="B2532" s="1"/>
      <c r="C2532" s="1"/>
      <c r="D2532" s="1"/>
    </row>
    <row r="2533" spans="1:4" x14ac:dyDescent="0.25">
      <c r="A2533" s="1"/>
      <c r="B2533" s="1"/>
      <c r="C2533" s="1"/>
      <c r="D2533" s="1"/>
    </row>
    <row r="2534" spans="1:4" x14ac:dyDescent="0.25">
      <c r="A2534" s="1"/>
      <c r="B2534" s="1"/>
      <c r="C2534" s="1"/>
      <c r="D2534" s="1"/>
    </row>
    <row r="2535" spans="1:4" x14ac:dyDescent="0.25">
      <c r="A2535" s="1"/>
      <c r="B2535" s="1"/>
      <c r="C2535" s="1"/>
      <c r="D2535" s="1"/>
    </row>
    <row r="2536" spans="1:4" x14ac:dyDescent="0.25">
      <c r="A2536" s="1"/>
      <c r="B2536" s="1"/>
      <c r="C2536" s="1"/>
      <c r="D2536" s="1"/>
    </row>
    <row r="2537" spans="1:4" x14ac:dyDescent="0.25">
      <c r="A2537" s="1"/>
      <c r="B2537" s="1"/>
      <c r="C2537" s="1"/>
      <c r="D2537" s="1"/>
    </row>
    <row r="2538" spans="1:4" x14ac:dyDescent="0.25">
      <c r="A2538" s="1"/>
      <c r="B2538" s="1"/>
      <c r="C2538" s="1"/>
      <c r="D2538" s="1"/>
    </row>
    <row r="2539" spans="1:4" x14ac:dyDescent="0.25">
      <c r="A2539" s="1"/>
      <c r="B2539" s="1"/>
      <c r="C2539" s="1"/>
      <c r="D2539" s="1"/>
    </row>
    <row r="2540" spans="1:4" x14ac:dyDescent="0.25">
      <c r="A2540" s="1"/>
      <c r="B2540" s="1"/>
      <c r="C2540" s="1"/>
      <c r="D2540" s="1"/>
    </row>
    <row r="2541" spans="1:4" x14ac:dyDescent="0.25">
      <c r="A2541" s="1"/>
      <c r="B2541" s="1"/>
      <c r="C2541" s="1"/>
      <c r="D2541" s="1"/>
    </row>
    <row r="2542" spans="1:4" x14ac:dyDescent="0.25">
      <c r="A2542" s="1"/>
      <c r="B2542" s="1"/>
      <c r="C2542" s="1"/>
      <c r="D2542" s="1"/>
    </row>
    <row r="2543" spans="1:4" x14ac:dyDescent="0.25">
      <c r="A2543" s="1"/>
      <c r="B2543" s="1"/>
      <c r="C2543" s="1"/>
      <c r="D2543" s="1"/>
    </row>
    <row r="2544" spans="1:4" x14ac:dyDescent="0.25">
      <c r="A2544" s="1"/>
      <c r="B2544" s="1"/>
      <c r="C2544" s="1"/>
      <c r="D2544" s="1"/>
    </row>
    <row r="2545" spans="1:4" x14ac:dyDescent="0.25">
      <c r="A2545" s="1"/>
      <c r="B2545" s="1"/>
      <c r="C2545" s="1"/>
      <c r="D2545" s="1"/>
    </row>
    <row r="2546" spans="1:4" x14ac:dyDescent="0.25">
      <c r="A2546" s="1"/>
      <c r="B2546" s="1"/>
      <c r="C2546" s="1"/>
      <c r="D2546" s="1"/>
    </row>
    <row r="2547" spans="1:4" x14ac:dyDescent="0.25">
      <c r="A2547" s="1"/>
      <c r="B2547" s="1"/>
      <c r="C2547" s="1"/>
      <c r="D2547" s="1"/>
    </row>
    <row r="2548" spans="1:4" x14ac:dyDescent="0.25">
      <c r="A2548" s="1"/>
      <c r="B2548" s="1"/>
      <c r="C2548" s="1"/>
      <c r="D2548" s="1"/>
    </row>
    <row r="2549" spans="1:4" x14ac:dyDescent="0.25">
      <c r="A2549" s="1"/>
      <c r="B2549" s="1"/>
      <c r="C2549" s="1"/>
      <c r="D2549" s="1"/>
    </row>
    <row r="2550" spans="1:4" x14ac:dyDescent="0.25">
      <c r="A2550" s="1"/>
      <c r="B2550" s="1"/>
      <c r="C2550" s="1"/>
      <c r="D2550" s="1"/>
    </row>
    <row r="2551" spans="1:4" x14ac:dyDescent="0.25">
      <c r="A2551" s="1"/>
      <c r="B2551" s="1"/>
      <c r="C2551" s="1"/>
      <c r="D2551" s="1"/>
    </row>
    <row r="2552" spans="1:4" x14ac:dyDescent="0.25">
      <c r="A2552" s="1"/>
      <c r="B2552" s="1"/>
      <c r="C2552" s="1"/>
      <c r="D2552" s="1"/>
    </row>
    <row r="2553" spans="1:4" x14ac:dyDescent="0.25">
      <c r="A2553" s="1"/>
      <c r="B2553" s="1"/>
      <c r="C2553" s="1"/>
      <c r="D2553" s="1"/>
    </row>
    <row r="2554" spans="1:4" x14ac:dyDescent="0.25">
      <c r="A2554" s="1"/>
      <c r="B2554" s="1"/>
      <c r="C2554" s="1"/>
      <c r="D2554" s="1"/>
    </row>
    <row r="2555" spans="1:4" x14ac:dyDescent="0.25">
      <c r="A2555" s="1"/>
      <c r="B2555" s="1"/>
      <c r="C2555" s="1"/>
      <c r="D2555" s="1"/>
    </row>
    <row r="2556" spans="1:4" x14ac:dyDescent="0.25">
      <c r="A2556" s="1"/>
      <c r="B2556" s="1"/>
      <c r="C2556" s="1"/>
      <c r="D2556" s="1"/>
    </row>
    <row r="2557" spans="1:4" x14ac:dyDescent="0.25">
      <c r="A2557" s="1"/>
      <c r="B2557" s="1"/>
      <c r="C2557" s="1"/>
      <c r="D2557" s="1"/>
    </row>
    <row r="2558" spans="1:4" x14ac:dyDescent="0.25">
      <c r="A2558" s="1"/>
      <c r="B2558" s="1"/>
      <c r="C2558" s="1"/>
      <c r="D2558" s="1"/>
    </row>
    <row r="2559" spans="1:4" x14ac:dyDescent="0.25">
      <c r="A2559" s="1"/>
      <c r="B2559" s="1"/>
      <c r="C2559" s="1"/>
      <c r="D2559" s="1"/>
    </row>
    <row r="2560" spans="1:4" x14ac:dyDescent="0.25">
      <c r="A2560" s="1"/>
      <c r="B2560" s="1"/>
      <c r="C2560" s="1"/>
      <c r="D2560" s="1"/>
    </row>
    <row r="2561" spans="1:4" x14ac:dyDescent="0.25">
      <c r="A2561" s="1"/>
      <c r="B2561" s="1"/>
      <c r="C2561" s="1"/>
      <c r="D2561" s="1"/>
    </row>
    <row r="2562" spans="1:4" x14ac:dyDescent="0.25">
      <c r="A2562" s="1"/>
      <c r="B2562" s="1"/>
      <c r="C2562" s="1"/>
      <c r="D2562" s="1"/>
    </row>
    <row r="2563" spans="1:4" x14ac:dyDescent="0.25">
      <c r="A2563" s="1"/>
      <c r="B2563" s="1"/>
      <c r="C2563" s="1"/>
      <c r="D2563" s="1"/>
    </row>
    <row r="2564" spans="1:4" x14ac:dyDescent="0.25">
      <c r="A2564" s="1"/>
      <c r="B2564" s="1"/>
      <c r="C2564" s="1"/>
      <c r="D2564" s="1"/>
    </row>
    <row r="2565" spans="1:4" x14ac:dyDescent="0.25">
      <c r="A2565" s="1"/>
      <c r="B2565" s="1"/>
      <c r="C2565" s="1"/>
      <c r="D2565" s="1"/>
    </row>
    <row r="2566" spans="1:4" x14ac:dyDescent="0.25">
      <c r="A2566" s="1"/>
      <c r="B2566" s="1"/>
      <c r="C2566" s="1"/>
      <c r="D2566" s="1"/>
    </row>
    <row r="2567" spans="1:4" x14ac:dyDescent="0.25">
      <c r="A2567" s="1"/>
      <c r="B2567" s="1"/>
      <c r="C2567" s="1"/>
      <c r="D2567" s="1"/>
    </row>
    <row r="2568" spans="1:4" x14ac:dyDescent="0.25">
      <c r="A2568" s="1"/>
      <c r="B2568" s="1"/>
      <c r="C2568" s="1"/>
      <c r="D2568" s="1"/>
    </row>
    <row r="2569" spans="1:4" x14ac:dyDescent="0.25">
      <c r="A2569" s="1"/>
      <c r="B2569" s="1"/>
      <c r="C2569" s="1"/>
      <c r="D2569" s="1"/>
    </row>
    <row r="2570" spans="1:4" x14ac:dyDescent="0.25">
      <c r="A2570" s="1"/>
      <c r="B2570" s="1"/>
      <c r="C2570" s="1"/>
      <c r="D2570" s="1"/>
    </row>
    <row r="2571" spans="1:4" x14ac:dyDescent="0.25">
      <c r="A2571" s="1"/>
      <c r="B2571" s="1"/>
      <c r="C2571" s="1"/>
      <c r="D2571" s="1"/>
    </row>
    <row r="2572" spans="1:4" x14ac:dyDescent="0.25">
      <c r="A2572" s="1"/>
      <c r="B2572" s="1"/>
      <c r="C2572" s="1"/>
      <c r="D2572" s="1"/>
    </row>
    <row r="2573" spans="1:4" x14ac:dyDescent="0.25">
      <c r="A2573" s="1"/>
      <c r="B2573" s="1"/>
      <c r="C2573" s="1"/>
      <c r="D2573" s="1"/>
    </row>
    <row r="2574" spans="1:4" x14ac:dyDescent="0.25">
      <c r="A2574" s="1"/>
      <c r="B2574" s="1"/>
      <c r="C2574" s="1"/>
      <c r="D2574" s="1"/>
    </row>
    <row r="2575" spans="1:4" x14ac:dyDescent="0.25">
      <c r="A2575" s="1"/>
      <c r="B2575" s="1"/>
      <c r="C2575" s="1"/>
      <c r="D2575" s="1"/>
    </row>
    <row r="2576" spans="1:4" x14ac:dyDescent="0.25">
      <c r="A2576" s="1"/>
      <c r="B2576" s="1"/>
      <c r="C2576" s="1"/>
      <c r="D2576" s="1"/>
    </row>
    <row r="2577" spans="1:4" x14ac:dyDescent="0.25">
      <c r="A2577" s="1"/>
      <c r="B2577" s="1"/>
      <c r="C2577" s="1"/>
      <c r="D2577" s="1"/>
    </row>
    <row r="2578" spans="1:4" x14ac:dyDescent="0.25">
      <c r="A2578" s="1"/>
      <c r="B2578" s="1"/>
      <c r="C2578" s="1"/>
      <c r="D2578" s="1"/>
    </row>
    <row r="2579" spans="1:4" x14ac:dyDescent="0.25">
      <c r="A2579" s="1"/>
      <c r="B2579" s="1"/>
      <c r="C2579" s="1"/>
      <c r="D2579" s="1"/>
    </row>
    <row r="2580" spans="1:4" x14ac:dyDescent="0.25">
      <c r="A2580" s="1"/>
      <c r="B2580" s="1"/>
      <c r="C2580" s="1"/>
      <c r="D2580" s="1"/>
    </row>
    <row r="2581" spans="1:4" x14ac:dyDescent="0.25">
      <c r="A2581" s="1"/>
      <c r="B2581" s="1"/>
      <c r="C2581" s="1"/>
      <c r="D2581" s="1"/>
    </row>
    <row r="2582" spans="1:4" x14ac:dyDescent="0.25">
      <c r="A2582" s="1"/>
      <c r="B2582" s="1"/>
      <c r="C2582" s="1"/>
      <c r="D2582" s="1"/>
    </row>
    <row r="2583" spans="1:4" x14ac:dyDescent="0.25">
      <c r="A2583" s="1"/>
      <c r="B2583" s="1"/>
      <c r="C2583" s="1"/>
      <c r="D2583" s="1"/>
    </row>
    <row r="2584" spans="1:4" x14ac:dyDescent="0.25">
      <c r="A2584" s="1"/>
      <c r="B2584" s="1"/>
      <c r="C2584" s="1"/>
      <c r="D2584" s="1"/>
    </row>
    <row r="2585" spans="1:4" x14ac:dyDescent="0.25">
      <c r="A2585" s="1"/>
      <c r="B2585" s="1"/>
      <c r="C2585" s="1"/>
      <c r="D2585" s="1"/>
    </row>
    <row r="2586" spans="1:4" x14ac:dyDescent="0.25">
      <c r="A2586" s="1"/>
      <c r="B2586" s="1"/>
      <c r="C2586" s="1"/>
      <c r="D2586" s="1"/>
    </row>
    <row r="2587" spans="1:4" x14ac:dyDescent="0.25">
      <c r="A2587" s="1"/>
      <c r="B2587" s="1"/>
      <c r="C2587" s="1"/>
      <c r="D2587" s="1"/>
    </row>
    <row r="2588" spans="1:4" x14ac:dyDescent="0.25">
      <c r="A2588" s="1"/>
      <c r="B2588" s="1"/>
      <c r="C2588" s="1"/>
      <c r="D2588" s="1"/>
    </row>
    <row r="2589" spans="1:4" x14ac:dyDescent="0.25">
      <c r="A2589" s="1"/>
      <c r="B2589" s="1"/>
      <c r="C2589" s="1"/>
      <c r="D2589" s="1"/>
    </row>
    <row r="2590" spans="1:4" x14ac:dyDescent="0.25">
      <c r="A2590" s="1"/>
      <c r="B2590" s="1"/>
      <c r="C2590" s="1"/>
      <c r="D2590" s="1"/>
    </row>
    <row r="2591" spans="1:4" x14ac:dyDescent="0.25">
      <c r="A2591" s="1"/>
      <c r="B2591" s="1"/>
      <c r="C2591" s="1"/>
      <c r="D2591" s="1"/>
    </row>
    <row r="2592" spans="1:4" x14ac:dyDescent="0.25">
      <c r="A2592" s="1"/>
      <c r="B2592" s="1"/>
      <c r="C2592" s="1"/>
      <c r="D2592" s="1"/>
    </row>
    <row r="2593" spans="1:4" x14ac:dyDescent="0.25">
      <c r="A2593" s="1"/>
      <c r="B2593" s="1"/>
      <c r="C2593" s="1"/>
      <c r="D2593" s="1"/>
    </row>
    <row r="2594" spans="1:4" x14ac:dyDescent="0.25">
      <c r="A2594" s="1"/>
      <c r="B2594" s="1"/>
      <c r="C2594" s="1"/>
      <c r="D2594" s="1"/>
    </row>
    <row r="2595" spans="1:4" x14ac:dyDescent="0.25">
      <c r="A2595" s="1"/>
      <c r="B2595" s="1"/>
      <c r="C2595" s="1"/>
      <c r="D2595" s="1"/>
    </row>
    <row r="2596" spans="1:4" x14ac:dyDescent="0.25">
      <c r="A2596" s="1"/>
      <c r="B2596" s="1"/>
      <c r="C2596" s="1"/>
      <c r="D2596" s="1"/>
    </row>
    <row r="2597" spans="1:4" x14ac:dyDescent="0.25">
      <c r="A2597" s="1"/>
      <c r="B2597" s="1"/>
      <c r="C2597" s="1"/>
      <c r="D2597" s="1"/>
    </row>
    <row r="2598" spans="1:4" x14ac:dyDescent="0.25">
      <c r="A2598" s="1"/>
      <c r="B2598" s="1"/>
      <c r="C2598" s="1"/>
      <c r="D2598" s="1"/>
    </row>
    <row r="2599" spans="1:4" x14ac:dyDescent="0.25">
      <c r="A2599" s="1"/>
      <c r="B2599" s="1"/>
      <c r="C2599" s="1"/>
      <c r="D2599" s="1"/>
    </row>
    <row r="2600" spans="1:4" x14ac:dyDescent="0.25">
      <c r="A2600" s="1"/>
      <c r="B2600" s="1"/>
      <c r="C2600" s="1"/>
      <c r="D2600" s="1"/>
    </row>
    <row r="2601" spans="1:4" x14ac:dyDescent="0.25">
      <c r="A2601" s="1"/>
      <c r="B2601" s="1"/>
      <c r="C2601" s="1"/>
      <c r="D2601" s="1"/>
    </row>
    <row r="2602" spans="1:4" x14ac:dyDescent="0.25">
      <c r="A2602" s="1"/>
      <c r="B2602" s="1"/>
      <c r="C2602" s="1"/>
      <c r="D2602" s="1"/>
    </row>
    <row r="2603" spans="1:4" x14ac:dyDescent="0.25">
      <c r="A2603" s="1"/>
      <c r="B2603" s="1"/>
      <c r="C2603" s="1"/>
      <c r="D2603" s="1"/>
    </row>
    <row r="2604" spans="1:4" x14ac:dyDescent="0.25">
      <c r="A2604" s="1"/>
      <c r="B2604" s="1"/>
      <c r="C2604" s="1"/>
      <c r="D2604" s="1"/>
    </row>
    <row r="2605" spans="1:4" x14ac:dyDescent="0.25">
      <c r="A2605" s="1"/>
      <c r="B2605" s="1"/>
      <c r="C2605" s="1"/>
      <c r="D2605" s="1"/>
    </row>
    <row r="2606" spans="1:4" x14ac:dyDescent="0.25">
      <c r="A2606" s="1"/>
      <c r="B2606" s="1"/>
      <c r="C2606" s="1"/>
      <c r="D2606" s="1"/>
    </row>
    <row r="2607" spans="1:4" x14ac:dyDescent="0.25">
      <c r="A2607" s="1"/>
      <c r="B2607" s="1"/>
      <c r="C2607" s="1"/>
      <c r="D2607" s="1"/>
    </row>
    <row r="2608" spans="1:4" x14ac:dyDescent="0.25">
      <c r="A2608" s="1"/>
      <c r="B2608" s="1"/>
      <c r="C2608" s="1"/>
      <c r="D2608" s="1"/>
    </row>
    <row r="2609" spans="1:4" x14ac:dyDescent="0.25">
      <c r="A2609" s="1"/>
      <c r="B2609" s="1"/>
      <c r="C2609" s="1"/>
      <c r="D2609" s="1"/>
    </row>
    <row r="2610" spans="1:4" x14ac:dyDescent="0.25">
      <c r="A2610" s="1"/>
      <c r="B2610" s="1"/>
      <c r="C2610" s="1"/>
      <c r="D2610" s="1"/>
    </row>
    <row r="2611" spans="1:4" x14ac:dyDescent="0.25">
      <c r="A2611" s="1"/>
      <c r="B2611" s="1"/>
      <c r="C2611" s="1"/>
      <c r="D2611" s="1"/>
    </row>
    <row r="2612" spans="1:4" x14ac:dyDescent="0.25">
      <c r="A2612" s="1"/>
      <c r="B2612" s="1"/>
      <c r="C2612" s="1"/>
      <c r="D2612" s="1"/>
    </row>
    <row r="2613" spans="1:4" x14ac:dyDescent="0.25">
      <c r="A2613" s="1"/>
      <c r="B2613" s="1"/>
      <c r="C2613" s="1"/>
      <c r="D2613" s="1"/>
    </row>
    <row r="2614" spans="1:4" x14ac:dyDescent="0.25">
      <c r="A2614" s="1"/>
      <c r="B2614" s="1"/>
      <c r="C2614" s="1"/>
      <c r="D2614" s="1"/>
    </row>
    <row r="2615" spans="1:4" x14ac:dyDescent="0.25">
      <c r="A2615" s="1"/>
      <c r="B2615" s="1"/>
      <c r="C2615" s="1"/>
      <c r="D2615" s="1"/>
    </row>
    <row r="2616" spans="1:4" x14ac:dyDescent="0.25">
      <c r="A2616" s="1"/>
      <c r="B2616" s="1"/>
      <c r="C2616" s="1"/>
      <c r="D2616" s="1"/>
    </row>
    <row r="2617" spans="1:4" x14ac:dyDescent="0.25">
      <c r="A2617" s="1"/>
      <c r="B2617" s="1"/>
      <c r="C2617" s="1"/>
      <c r="D2617" s="1"/>
    </row>
    <row r="2618" spans="1:4" x14ac:dyDescent="0.25">
      <c r="A2618" s="1"/>
      <c r="B2618" s="1"/>
      <c r="C2618" s="1"/>
      <c r="D2618" s="1"/>
    </row>
    <row r="2619" spans="1:4" x14ac:dyDescent="0.25">
      <c r="A2619" s="1"/>
      <c r="B2619" s="1"/>
      <c r="C2619" s="1"/>
      <c r="D2619" s="1"/>
    </row>
    <row r="2620" spans="1:4" x14ac:dyDescent="0.25">
      <c r="A2620" s="1"/>
      <c r="B2620" s="1"/>
      <c r="C2620" s="1"/>
      <c r="D2620" s="1"/>
    </row>
    <row r="2621" spans="1:4" x14ac:dyDescent="0.25">
      <c r="A2621" s="1"/>
      <c r="B2621" s="1"/>
      <c r="C2621" s="1"/>
      <c r="D2621" s="1"/>
    </row>
    <row r="2622" spans="1:4" x14ac:dyDescent="0.25">
      <c r="A2622" s="1"/>
      <c r="B2622" s="1"/>
      <c r="C2622" s="1"/>
      <c r="D2622" s="1"/>
    </row>
    <row r="2623" spans="1:4" x14ac:dyDescent="0.25">
      <c r="A2623" s="1"/>
      <c r="B2623" s="1"/>
      <c r="C2623" s="1"/>
      <c r="D2623" s="1"/>
    </row>
    <row r="2624" spans="1:4" x14ac:dyDescent="0.25">
      <c r="A2624" s="1"/>
      <c r="B2624" s="1"/>
      <c r="C2624" s="1"/>
      <c r="D2624" s="1"/>
    </row>
    <row r="2625" spans="1:4" x14ac:dyDescent="0.25">
      <c r="A2625" s="1"/>
      <c r="B2625" s="1"/>
      <c r="C2625" s="1"/>
      <c r="D2625" s="1"/>
    </row>
    <row r="2626" spans="1:4" x14ac:dyDescent="0.25">
      <c r="A2626" s="1"/>
      <c r="B2626" s="1"/>
      <c r="C2626" s="1"/>
      <c r="D2626" s="1"/>
    </row>
    <row r="2627" spans="1:4" x14ac:dyDescent="0.25">
      <c r="A2627" s="1"/>
      <c r="B2627" s="1"/>
      <c r="C2627" s="1"/>
      <c r="D2627" s="1"/>
    </row>
    <row r="2628" spans="1:4" x14ac:dyDescent="0.25">
      <c r="A2628" s="1"/>
      <c r="B2628" s="1"/>
      <c r="C2628" s="1"/>
      <c r="D2628" s="1"/>
    </row>
    <row r="2629" spans="1:4" x14ac:dyDescent="0.25">
      <c r="A2629" s="1"/>
      <c r="B2629" s="1"/>
      <c r="C2629" s="1"/>
      <c r="D2629" s="1"/>
    </row>
    <row r="2630" spans="1:4" x14ac:dyDescent="0.25">
      <c r="A2630" s="1"/>
      <c r="B2630" s="1"/>
      <c r="C2630" s="1"/>
      <c r="D2630" s="1"/>
    </row>
    <row r="2631" spans="1:4" x14ac:dyDescent="0.25">
      <c r="A2631" s="1"/>
      <c r="B2631" s="1"/>
      <c r="C2631" s="1"/>
      <c r="D2631" s="1"/>
    </row>
    <row r="2632" spans="1:4" x14ac:dyDescent="0.25">
      <c r="A2632" s="1"/>
      <c r="B2632" s="1"/>
      <c r="C2632" s="1"/>
      <c r="D2632" s="1"/>
    </row>
    <row r="2633" spans="1:4" x14ac:dyDescent="0.25">
      <c r="A2633" s="1"/>
      <c r="B2633" s="1"/>
      <c r="C2633" s="1"/>
      <c r="D2633" s="1"/>
    </row>
    <row r="2634" spans="1:4" x14ac:dyDescent="0.25">
      <c r="A2634" s="1"/>
      <c r="B2634" s="1"/>
      <c r="C2634" s="1"/>
      <c r="D2634" s="1"/>
    </row>
    <row r="2635" spans="1:4" x14ac:dyDescent="0.25">
      <c r="A2635" s="1"/>
      <c r="B2635" s="1"/>
      <c r="C2635" s="1"/>
      <c r="D2635" s="1"/>
    </row>
    <row r="2636" spans="1:4" x14ac:dyDescent="0.25">
      <c r="A2636" s="1"/>
      <c r="B2636" s="1"/>
      <c r="C2636" s="1"/>
      <c r="D2636" s="1"/>
    </row>
    <row r="2637" spans="1:4" x14ac:dyDescent="0.25">
      <c r="A2637" s="1"/>
      <c r="B2637" s="1"/>
      <c r="C2637" s="1"/>
      <c r="D2637" s="1"/>
    </row>
    <row r="2638" spans="1:4" x14ac:dyDescent="0.25">
      <c r="A2638" s="1"/>
      <c r="B2638" s="1"/>
      <c r="C2638" s="1"/>
      <c r="D2638" s="1"/>
    </row>
    <row r="2639" spans="1:4" x14ac:dyDescent="0.25">
      <c r="A2639" s="1"/>
      <c r="B2639" s="1"/>
      <c r="C2639" s="1"/>
      <c r="D2639" s="1"/>
    </row>
    <row r="2640" spans="1:4" x14ac:dyDescent="0.25">
      <c r="A2640" s="1"/>
      <c r="B2640" s="1"/>
      <c r="C2640" s="1"/>
      <c r="D2640" s="1"/>
    </row>
    <row r="2641" spans="1:4" x14ac:dyDescent="0.25">
      <c r="A2641" s="1"/>
      <c r="B2641" s="1"/>
      <c r="C2641" s="1"/>
      <c r="D2641" s="1"/>
    </row>
    <row r="2642" spans="1:4" x14ac:dyDescent="0.25">
      <c r="A2642" s="1"/>
      <c r="B2642" s="1"/>
      <c r="C2642" s="1"/>
      <c r="D2642" s="1"/>
    </row>
    <row r="2643" spans="1:4" x14ac:dyDescent="0.25">
      <c r="A2643" s="1"/>
      <c r="B2643" s="1"/>
      <c r="C2643" s="1"/>
      <c r="D2643" s="1"/>
    </row>
    <row r="2644" spans="1:4" x14ac:dyDescent="0.25">
      <c r="A2644" s="1"/>
      <c r="B2644" s="1"/>
      <c r="C2644" s="1"/>
      <c r="D2644" s="1"/>
    </row>
    <row r="2645" spans="1:4" x14ac:dyDescent="0.25">
      <c r="A2645" s="1"/>
      <c r="B2645" s="1"/>
      <c r="C2645" s="1"/>
      <c r="D2645" s="1"/>
    </row>
    <row r="2646" spans="1:4" x14ac:dyDescent="0.25">
      <c r="A2646" s="1"/>
      <c r="B2646" s="1"/>
      <c r="C2646" s="1"/>
      <c r="D2646" s="1"/>
    </row>
    <row r="2647" spans="1:4" x14ac:dyDescent="0.25">
      <c r="A2647" s="1"/>
      <c r="B2647" s="1"/>
      <c r="C2647" s="1"/>
      <c r="D2647" s="1"/>
    </row>
    <row r="2648" spans="1:4" x14ac:dyDescent="0.25">
      <c r="A2648" s="1"/>
      <c r="B2648" s="1"/>
      <c r="C2648" s="1"/>
      <c r="D2648" s="1"/>
    </row>
    <row r="2649" spans="1:4" x14ac:dyDescent="0.25">
      <c r="A2649" s="1"/>
      <c r="B2649" s="1"/>
      <c r="C2649" s="1"/>
      <c r="D2649" s="1"/>
    </row>
    <row r="2650" spans="1:4" x14ac:dyDescent="0.25">
      <c r="A2650" s="1"/>
      <c r="B2650" s="1"/>
      <c r="C2650" s="1"/>
      <c r="D2650" s="1"/>
    </row>
    <row r="2651" spans="1:4" x14ac:dyDescent="0.25">
      <c r="A2651" s="1"/>
      <c r="B2651" s="1"/>
      <c r="C2651" s="1"/>
      <c r="D2651" s="1"/>
    </row>
    <row r="2652" spans="1:4" x14ac:dyDescent="0.25">
      <c r="A2652" s="1"/>
      <c r="B2652" s="1"/>
      <c r="C2652" s="1"/>
      <c r="D2652" s="1"/>
    </row>
    <row r="2653" spans="1:4" x14ac:dyDescent="0.25">
      <c r="A2653" s="1"/>
      <c r="B2653" s="1"/>
      <c r="C2653" s="1"/>
      <c r="D2653" s="1"/>
    </row>
    <row r="2654" spans="1:4" x14ac:dyDescent="0.25">
      <c r="A2654" s="1"/>
      <c r="B2654" s="1"/>
      <c r="C2654" s="1"/>
      <c r="D2654" s="1"/>
    </row>
    <row r="2655" spans="1:4" x14ac:dyDescent="0.25">
      <c r="A2655" s="1"/>
      <c r="B2655" s="1"/>
      <c r="C2655" s="1"/>
      <c r="D2655" s="1"/>
    </row>
    <row r="2656" spans="1:4" x14ac:dyDescent="0.25">
      <c r="A2656" s="1"/>
      <c r="B2656" s="1"/>
      <c r="C2656" s="1"/>
      <c r="D2656" s="1"/>
    </row>
    <row r="2657" spans="1:4" x14ac:dyDescent="0.25">
      <c r="A2657" s="1"/>
      <c r="B2657" s="1"/>
      <c r="C2657" s="1"/>
      <c r="D2657" s="1"/>
    </row>
    <row r="2658" spans="1:4" x14ac:dyDescent="0.25">
      <c r="A2658" s="1"/>
      <c r="B2658" s="1"/>
      <c r="C2658" s="1"/>
      <c r="D2658" s="1"/>
    </row>
    <row r="2659" spans="1:4" x14ac:dyDescent="0.25">
      <c r="A2659" s="1"/>
      <c r="B2659" s="1"/>
      <c r="C2659" s="1"/>
      <c r="D2659" s="1"/>
    </row>
    <row r="2660" spans="1:4" x14ac:dyDescent="0.25">
      <c r="A2660" s="1"/>
      <c r="B2660" s="1"/>
      <c r="C2660" s="1"/>
      <c r="D2660" s="1"/>
    </row>
    <row r="2661" spans="1:4" x14ac:dyDescent="0.25">
      <c r="A2661" s="1"/>
      <c r="B2661" s="1"/>
      <c r="C2661" s="1"/>
      <c r="D2661" s="1"/>
    </row>
    <row r="2662" spans="1:4" x14ac:dyDescent="0.25">
      <c r="A2662" s="1"/>
      <c r="B2662" s="1"/>
      <c r="C2662" s="1"/>
      <c r="D2662" s="1"/>
    </row>
    <row r="2663" spans="1:4" x14ac:dyDescent="0.25">
      <c r="A2663" s="1"/>
      <c r="B2663" s="1"/>
      <c r="C2663" s="1"/>
      <c r="D2663" s="1"/>
    </row>
    <row r="2664" spans="1:4" x14ac:dyDescent="0.25">
      <c r="A2664" s="1"/>
      <c r="B2664" s="1"/>
      <c r="C2664" s="1"/>
      <c r="D2664" s="1"/>
    </row>
    <row r="2665" spans="1:4" x14ac:dyDescent="0.25">
      <c r="A2665" s="1"/>
      <c r="B2665" s="1"/>
      <c r="C2665" s="1"/>
      <c r="D2665" s="1"/>
    </row>
    <row r="2666" spans="1:4" x14ac:dyDescent="0.25">
      <c r="A2666" s="1"/>
      <c r="B2666" s="1"/>
      <c r="C2666" s="1"/>
      <c r="D2666" s="1"/>
    </row>
    <row r="2667" spans="1:4" x14ac:dyDescent="0.25">
      <c r="A2667" s="1"/>
      <c r="B2667" s="1"/>
      <c r="C2667" s="1"/>
      <c r="D2667" s="1"/>
    </row>
    <row r="2668" spans="1:4" x14ac:dyDescent="0.25">
      <c r="A2668" s="1"/>
      <c r="B2668" s="1"/>
      <c r="C2668" s="1"/>
      <c r="D2668" s="1"/>
    </row>
    <row r="2669" spans="1:4" x14ac:dyDescent="0.25">
      <c r="A2669" s="1"/>
      <c r="B2669" s="1"/>
      <c r="C2669" s="1"/>
      <c r="D2669" s="1"/>
    </row>
    <row r="2670" spans="1:4" x14ac:dyDescent="0.25">
      <c r="A2670" s="1"/>
      <c r="B2670" s="1"/>
      <c r="C2670" s="1"/>
      <c r="D2670" s="1"/>
    </row>
    <row r="2671" spans="1:4" x14ac:dyDescent="0.25">
      <c r="A2671" s="1"/>
      <c r="B2671" s="1"/>
      <c r="C2671" s="1"/>
      <c r="D2671" s="1"/>
    </row>
    <row r="2672" spans="1:4" x14ac:dyDescent="0.25">
      <c r="A2672" s="1"/>
      <c r="B2672" s="1"/>
      <c r="C2672" s="1"/>
      <c r="D2672" s="1"/>
    </row>
    <row r="2673" spans="1:4" x14ac:dyDescent="0.25">
      <c r="A2673" s="1"/>
      <c r="B2673" s="1"/>
      <c r="C2673" s="1"/>
      <c r="D2673" s="1"/>
    </row>
    <row r="2674" spans="1:4" x14ac:dyDescent="0.25">
      <c r="A2674" s="1"/>
      <c r="B2674" s="1"/>
      <c r="C2674" s="1"/>
      <c r="D2674" s="1"/>
    </row>
    <row r="2675" spans="1:4" x14ac:dyDescent="0.25">
      <c r="A2675" s="1"/>
      <c r="B2675" s="1"/>
      <c r="C2675" s="1"/>
      <c r="D2675" s="1"/>
    </row>
    <row r="2676" spans="1:4" x14ac:dyDescent="0.25">
      <c r="A2676" s="1"/>
      <c r="B2676" s="1"/>
      <c r="C2676" s="1"/>
      <c r="D2676" s="1"/>
    </row>
    <row r="2677" spans="1:4" x14ac:dyDescent="0.25">
      <c r="A2677" s="1"/>
      <c r="B2677" s="1"/>
      <c r="C2677" s="1"/>
      <c r="D2677" s="1"/>
    </row>
    <row r="2678" spans="1:4" x14ac:dyDescent="0.25">
      <c r="A2678" s="1"/>
      <c r="B2678" s="1"/>
      <c r="C2678" s="1"/>
      <c r="D2678" s="1"/>
    </row>
    <row r="2679" spans="1:4" x14ac:dyDescent="0.25">
      <c r="A2679" s="1"/>
      <c r="B2679" s="1"/>
      <c r="C2679" s="1"/>
      <c r="D2679" s="1"/>
    </row>
    <row r="2680" spans="1:4" x14ac:dyDescent="0.25">
      <c r="A2680" s="1"/>
      <c r="B2680" s="1"/>
      <c r="C2680" s="1"/>
      <c r="D2680" s="1"/>
    </row>
    <row r="2681" spans="1:4" x14ac:dyDescent="0.25">
      <c r="A2681" s="1"/>
      <c r="B2681" s="1"/>
      <c r="C2681" s="1"/>
      <c r="D2681" s="1"/>
    </row>
    <row r="2682" spans="1:4" x14ac:dyDescent="0.25">
      <c r="A2682" s="1"/>
      <c r="B2682" s="1"/>
      <c r="C2682" s="1"/>
      <c r="D2682" s="1"/>
    </row>
    <row r="2683" spans="1:4" x14ac:dyDescent="0.25">
      <c r="A2683" s="1"/>
      <c r="B2683" s="1"/>
      <c r="C2683" s="1"/>
      <c r="D2683" s="1"/>
    </row>
    <row r="2684" spans="1:4" x14ac:dyDescent="0.25">
      <c r="A2684" s="1"/>
      <c r="B2684" s="1"/>
      <c r="C2684" s="1"/>
      <c r="D2684" s="1"/>
    </row>
    <row r="2685" spans="1:4" x14ac:dyDescent="0.25">
      <c r="A2685" s="1"/>
      <c r="B2685" s="1"/>
      <c r="C2685" s="1"/>
      <c r="D2685" s="1"/>
    </row>
    <row r="2686" spans="1:4" x14ac:dyDescent="0.25">
      <c r="A2686" s="1"/>
      <c r="B2686" s="1"/>
      <c r="C2686" s="1"/>
      <c r="D2686" s="1"/>
    </row>
    <row r="2687" spans="1:4" x14ac:dyDescent="0.25">
      <c r="A2687" s="1"/>
      <c r="B2687" s="1"/>
      <c r="C2687" s="1"/>
      <c r="D2687" s="1"/>
    </row>
    <row r="2688" spans="1:4" x14ac:dyDescent="0.25">
      <c r="A2688" s="1"/>
      <c r="B2688" s="1"/>
      <c r="C2688" s="1"/>
      <c r="D2688" s="1"/>
    </row>
    <row r="2689" spans="1:4" x14ac:dyDescent="0.25">
      <c r="A2689" s="1"/>
      <c r="B2689" s="1"/>
      <c r="C2689" s="1"/>
      <c r="D2689" s="1"/>
    </row>
    <row r="2690" spans="1:4" x14ac:dyDescent="0.25">
      <c r="A2690" s="1"/>
      <c r="B2690" s="1"/>
      <c r="C2690" s="1"/>
      <c r="D2690" s="1"/>
    </row>
    <row r="2691" spans="1:4" x14ac:dyDescent="0.25">
      <c r="A2691" s="1"/>
      <c r="B2691" s="1"/>
      <c r="C2691" s="1"/>
      <c r="D2691" s="1"/>
    </row>
    <row r="2692" spans="1:4" x14ac:dyDescent="0.25">
      <c r="A2692" s="1"/>
      <c r="B2692" s="1"/>
      <c r="C2692" s="1"/>
      <c r="D2692" s="1"/>
    </row>
    <row r="2693" spans="1:4" x14ac:dyDescent="0.25">
      <c r="A2693" s="1"/>
      <c r="B2693" s="1"/>
      <c r="C2693" s="1"/>
      <c r="D2693" s="1"/>
    </row>
    <row r="2694" spans="1:4" x14ac:dyDescent="0.25">
      <c r="A2694" s="1"/>
      <c r="B2694" s="1"/>
      <c r="C2694" s="1"/>
      <c r="D2694" s="1"/>
    </row>
    <row r="2695" spans="1:4" x14ac:dyDescent="0.25">
      <c r="A2695" s="1"/>
      <c r="B2695" s="1"/>
      <c r="C2695" s="1"/>
      <c r="D2695" s="1"/>
    </row>
    <row r="2696" spans="1:4" x14ac:dyDescent="0.25">
      <c r="A2696" s="1"/>
      <c r="B2696" s="1"/>
      <c r="C2696" s="1"/>
      <c r="D2696" s="1"/>
    </row>
    <row r="2697" spans="1:4" x14ac:dyDescent="0.25">
      <c r="A2697" s="1"/>
      <c r="B2697" s="1"/>
      <c r="C2697" s="1"/>
      <c r="D2697" s="1"/>
    </row>
    <row r="2698" spans="1:4" x14ac:dyDescent="0.25">
      <c r="A2698" s="1"/>
      <c r="B2698" s="1"/>
      <c r="C2698" s="1"/>
      <c r="D2698" s="1"/>
    </row>
    <row r="2699" spans="1:4" x14ac:dyDescent="0.25">
      <c r="A2699" s="1"/>
      <c r="B2699" s="1"/>
      <c r="C2699" s="1"/>
      <c r="D2699" s="1"/>
    </row>
    <row r="2700" spans="1:4" x14ac:dyDescent="0.25">
      <c r="A2700" s="1"/>
      <c r="B2700" s="1"/>
      <c r="C2700" s="1"/>
      <c r="D2700" s="1"/>
    </row>
    <row r="2701" spans="1:4" x14ac:dyDescent="0.25">
      <c r="A2701" s="1"/>
      <c r="B2701" s="1"/>
      <c r="C2701" s="1"/>
      <c r="D2701" s="1"/>
    </row>
    <row r="2702" spans="1:4" x14ac:dyDescent="0.25">
      <c r="A2702" s="1"/>
      <c r="B2702" s="1"/>
      <c r="C2702" s="1"/>
      <c r="D2702" s="1"/>
    </row>
    <row r="2703" spans="1:4" x14ac:dyDescent="0.25">
      <c r="A2703" s="1"/>
      <c r="B2703" s="1"/>
      <c r="C2703" s="1"/>
      <c r="D2703" s="1"/>
    </row>
    <row r="2704" spans="1:4" x14ac:dyDescent="0.25">
      <c r="A2704" s="1"/>
      <c r="B2704" s="1"/>
      <c r="C2704" s="1"/>
      <c r="D2704" s="1"/>
    </row>
    <row r="2705" spans="1:4" x14ac:dyDescent="0.25">
      <c r="A2705" s="1"/>
      <c r="B2705" s="1"/>
      <c r="C2705" s="1"/>
      <c r="D2705" s="1"/>
    </row>
    <row r="2706" spans="1:4" x14ac:dyDescent="0.25">
      <c r="A2706" s="1"/>
      <c r="B2706" s="1"/>
      <c r="C2706" s="1"/>
      <c r="D2706" s="1"/>
    </row>
    <row r="2707" spans="1:4" x14ac:dyDescent="0.25">
      <c r="A2707" s="1"/>
      <c r="B2707" s="1"/>
      <c r="C2707" s="1"/>
      <c r="D2707" s="1"/>
    </row>
    <row r="2708" spans="1:4" x14ac:dyDescent="0.25">
      <c r="A2708" s="1"/>
      <c r="B2708" s="1"/>
      <c r="C2708" s="1"/>
      <c r="D2708" s="1"/>
    </row>
    <row r="2709" spans="1:4" x14ac:dyDescent="0.25">
      <c r="A2709" s="1"/>
      <c r="B2709" s="1"/>
      <c r="C2709" s="1"/>
      <c r="D2709" s="1"/>
    </row>
    <row r="2710" spans="1:4" x14ac:dyDescent="0.25">
      <c r="A2710" s="1"/>
      <c r="B2710" s="1"/>
      <c r="C2710" s="1"/>
      <c r="D2710" s="1"/>
    </row>
    <row r="2711" spans="1:4" x14ac:dyDescent="0.25">
      <c r="A2711" s="1"/>
      <c r="B2711" s="1"/>
      <c r="C2711" s="1"/>
      <c r="D2711" s="1"/>
    </row>
    <row r="2712" spans="1:4" x14ac:dyDescent="0.25">
      <c r="A2712" s="1"/>
      <c r="B2712" s="1"/>
      <c r="C2712" s="1"/>
      <c r="D2712" s="1"/>
    </row>
    <row r="2713" spans="1:4" x14ac:dyDescent="0.25">
      <c r="A2713" s="1"/>
      <c r="B2713" s="1"/>
      <c r="C2713" s="1"/>
      <c r="D2713" s="1"/>
    </row>
    <row r="2714" spans="1:4" x14ac:dyDescent="0.25">
      <c r="A2714" s="1"/>
      <c r="B2714" s="1"/>
      <c r="C2714" s="1"/>
      <c r="D2714" s="1"/>
    </row>
    <row r="2715" spans="1:4" x14ac:dyDescent="0.25">
      <c r="A2715" s="1"/>
      <c r="B2715" s="1"/>
      <c r="C2715" s="1"/>
      <c r="D2715" s="1"/>
    </row>
    <row r="2716" spans="1:4" x14ac:dyDescent="0.25">
      <c r="A2716" s="1"/>
      <c r="B2716" s="1"/>
      <c r="C2716" s="1"/>
      <c r="D2716" s="1"/>
    </row>
    <row r="2717" spans="1:4" x14ac:dyDescent="0.25">
      <c r="A2717" s="1"/>
      <c r="B2717" s="1"/>
      <c r="C2717" s="1"/>
      <c r="D2717" s="1"/>
    </row>
    <row r="2718" spans="1:4" x14ac:dyDescent="0.25">
      <c r="A2718" s="1"/>
      <c r="B2718" s="1"/>
      <c r="C2718" s="1"/>
      <c r="D2718" s="1"/>
    </row>
    <row r="2719" spans="1:4" x14ac:dyDescent="0.25">
      <c r="A2719" s="1"/>
      <c r="B2719" s="1"/>
      <c r="C2719" s="1"/>
      <c r="D2719" s="1"/>
    </row>
    <row r="2720" spans="1:4" x14ac:dyDescent="0.25">
      <c r="A2720" s="1"/>
      <c r="B2720" s="1"/>
      <c r="C2720" s="1"/>
      <c r="D2720" s="1"/>
    </row>
    <row r="2721" spans="1:4" x14ac:dyDescent="0.25">
      <c r="A2721" s="1"/>
      <c r="B2721" s="1"/>
      <c r="C2721" s="1"/>
      <c r="D2721" s="1"/>
    </row>
    <row r="2722" spans="1:4" x14ac:dyDescent="0.25">
      <c r="A2722" s="1"/>
      <c r="B2722" s="1"/>
      <c r="C2722" s="1"/>
      <c r="D2722" s="1"/>
    </row>
    <row r="2723" spans="1:4" x14ac:dyDescent="0.25">
      <c r="A2723" s="1"/>
      <c r="B2723" s="1"/>
      <c r="C2723" s="1"/>
      <c r="D2723" s="1"/>
    </row>
    <row r="2724" spans="1:4" x14ac:dyDescent="0.25">
      <c r="A2724" s="1"/>
      <c r="B2724" s="1"/>
      <c r="C2724" s="1"/>
      <c r="D2724" s="1"/>
    </row>
    <row r="2725" spans="1:4" x14ac:dyDescent="0.25">
      <c r="A2725" s="1"/>
      <c r="B2725" s="1"/>
      <c r="C2725" s="1"/>
      <c r="D2725" s="1"/>
    </row>
    <row r="2726" spans="1:4" x14ac:dyDescent="0.25">
      <c r="A2726" s="1"/>
      <c r="B2726" s="1"/>
      <c r="C2726" s="1"/>
      <c r="D2726" s="1"/>
    </row>
    <row r="2727" spans="1:4" x14ac:dyDescent="0.25">
      <c r="A2727" s="1"/>
      <c r="B2727" s="1"/>
      <c r="C2727" s="1"/>
      <c r="D2727" s="1"/>
    </row>
    <row r="2728" spans="1:4" x14ac:dyDescent="0.25">
      <c r="A2728" s="1"/>
      <c r="B2728" s="1"/>
      <c r="C2728" s="1"/>
      <c r="D2728" s="1"/>
    </row>
    <row r="2729" spans="1:4" x14ac:dyDescent="0.25">
      <c r="A2729" s="1"/>
      <c r="B2729" s="1"/>
      <c r="C2729" s="1"/>
      <c r="D2729" s="1"/>
    </row>
    <row r="2730" spans="1:4" x14ac:dyDescent="0.25">
      <c r="A2730" s="1"/>
      <c r="B2730" s="1"/>
      <c r="C2730" s="1"/>
      <c r="D2730" s="1"/>
    </row>
    <row r="2731" spans="1:4" x14ac:dyDescent="0.25">
      <c r="A2731" s="1"/>
      <c r="B2731" s="1"/>
      <c r="C2731" s="1"/>
      <c r="D2731" s="1"/>
    </row>
    <row r="2732" spans="1:4" x14ac:dyDescent="0.25">
      <c r="A2732" s="1"/>
      <c r="B2732" s="1"/>
      <c r="C2732" s="1"/>
      <c r="D2732" s="1"/>
    </row>
    <row r="2733" spans="1:4" x14ac:dyDescent="0.25">
      <c r="A2733" s="1"/>
      <c r="B2733" s="1"/>
      <c r="C2733" s="1"/>
      <c r="D2733" s="1"/>
    </row>
    <row r="2734" spans="1:4" x14ac:dyDescent="0.25">
      <c r="A2734" s="1"/>
      <c r="B2734" s="1"/>
      <c r="C2734" s="1"/>
      <c r="D2734" s="1"/>
    </row>
    <row r="2735" spans="1:4" x14ac:dyDescent="0.25">
      <c r="A2735" s="1"/>
      <c r="B2735" s="1"/>
      <c r="C2735" s="1"/>
      <c r="D2735" s="1"/>
    </row>
    <row r="2736" spans="1:4" x14ac:dyDescent="0.25">
      <c r="A2736" s="1"/>
      <c r="B2736" s="1"/>
      <c r="C2736" s="1"/>
      <c r="D2736" s="1"/>
    </row>
    <row r="2737" spans="1:4" x14ac:dyDescent="0.25">
      <c r="A2737" s="1"/>
      <c r="B2737" s="1"/>
      <c r="C2737" s="1"/>
      <c r="D2737" s="1"/>
    </row>
    <row r="2738" spans="1:4" x14ac:dyDescent="0.25">
      <c r="A2738" s="1"/>
      <c r="B2738" s="1"/>
      <c r="C2738" s="1"/>
      <c r="D2738" s="1"/>
    </row>
    <row r="2739" spans="1:4" x14ac:dyDescent="0.25">
      <c r="A2739" s="1"/>
      <c r="B2739" s="1"/>
      <c r="C2739" s="1"/>
      <c r="D2739" s="1"/>
    </row>
    <row r="2740" spans="1:4" x14ac:dyDescent="0.25">
      <c r="A2740" s="1"/>
      <c r="B2740" s="1"/>
      <c r="C2740" s="1"/>
      <c r="D2740" s="1"/>
    </row>
    <row r="2741" spans="1:4" x14ac:dyDescent="0.25">
      <c r="A2741" s="1"/>
      <c r="B2741" s="1"/>
      <c r="C2741" s="1"/>
      <c r="D2741" s="1"/>
    </row>
    <row r="2742" spans="1:4" x14ac:dyDescent="0.25">
      <c r="A2742" s="1"/>
      <c r="B2742" s="1"/>
      <c r="C2742" s="1"/>
      <c r="D2742" s="1"/>
    </row>
    <row r="2743" spans="1:4" x14ac:dyDescent="0.25">
      <c r="A2743" s="1"/>
      <c r="B2743" s="1"/>
      <c r="C2743" s="1"/>
      <c r="D2743" s="1"/>
    </row>
    <row r="2744" spans="1:4" x14ac:dyDescent="0.25">
      <c r="A2744" s="1"/>
      <c r="B2744" s="1"/>
      <c r="C2744" s="1"/>
      <c r="D2744" s="1"/>
    </row>
    <row r="2745" spans="1:4" x14ac:dyDescent="0.25">
      <c r="A2745" s="1"/>
      <c r="B2745" s="1"/>
      <c r="C2745" s="1"/>
      <c r="D2745" s="1"/>
    </row>
    <row r="2746" spans="1:4" x14ac:dyDescent="0.25">
      <c r="A2746" s="1"/>
      <c r="B2746" s="1"/>
      <c r="C2746" s="1"/>
      <c r="D2746" s="1"/>
    </row>
    <row r="2747" spans="1:4" x14ac:dyDescent="0.25">
      <c r="A2747" s="1"/>
      <c r="B2747" s="1"/>
      <c r="C2747" s="1"/>
      <c r="D2747" s="1"/>
    </row>
    <row r="2748" spans="1:4" x14ac:dyDescent="0.25">
      <c r="A2748" s="1"/>
      <c r="B2748" s="1"/>
      <c r="C2748" s="1"/>
      <c r="D2748" s="1"/>
    </row>
    <row r="2749" spans="1:4" x14ac:dyDescent="0.25">
      <c r="A2749" s="1"/>
      <c r="B2749" s="1"/>
      <c r="C2749" s="1"/>
      <c r="D2749" s="1"/>
    </row>
    <row r="2750" spans="1:4" x14ac:dyDescent="0.25">
      <c r="A2750" s="1"/>
      <c r="B2750" s="1"/>
      <c r="C2750" s="1"/>
      <c r="D2750" s="1"/>
    </row>
    <row r="2751" spans="1:4" x14ac:dyDescent="0.25">
      <c r="A2751" s="1"/>
      <c r="B2751" s="1"/>
      <c r="C2751" s="1"/>
      <c r="D2751" s="1"/>
    </row>
    <row r="2752" spans="1:4" x14ac:dyDescent="0.25">
      <c r="A2752" s="1"/>
      <c r="B2752" s="1"/>
      <c r="C2752" s="1"/>
      <c r="D2752" s="1"/>
    </row>
    <row r="2753" spans="1:4" x14ac:dyDescent="0.25">
      <c r="A2753" s="1"/>
      <c r="B2753" s="1"/>
      <c r="C2753" s="1"/>
      <c r="D2753" s="1"/>
    </row>
    <row r="2754" spans="1:4" x14ac:dyDescent="0.25">
      <c r="A2754" s="1"/>
      <c r="B2754" s="1"/>
      <c r="C2754" s="1"/>
      <c r="D2754" s="1"/>
    </row>
    <row r="2755" spans="1:4" x14ac:dyDescent="0.25">
      <c r="A2755" s="1"/>
      <c r="B2755" s="1"/>
      <c r="C2755" s="1"/>
      <c r="D2755" s="1"/>
    </row>
    <row r="2756" spans="1:4" x14ac:dyDescent="0.25">
      <c r="A2756" s="1"/>
      <c r="B2756" s="1"/>
      <c r="C2756" s="1"/>
      <c r="D2756" s="1"/>
    </row>
    <row r="2757" spans="1:4" x14ac:dyDescent="0.25">
      <c r="A2757" s="1"/>
      <c r="B2757" s="1"/>
      <c r="C2757" s="1"/>
      <c r="D2757" s="1"/>
    </row>
    <row r="2758" spans="1:4" x14ac:dyDescent="0.25">
      <c r="A2758" s="1"/>
      <c r="B2758" s="1"/>
      <c r="C2758" s="1"/>
      <c r="D2758" s="1"/>
    </row>
    <row r="2759" spans="1:4" x14ac:dyDescent="0.25">
      <c r="A2759" s="1"/>
      <c r="B2759" s="1"/>
      <c r="C2759" s="1"/>
      <c r="D2759" s="1"/>
    </row>
    <row r="2760" spans="1:4" x14ac:dyDescent="0.25">
      <c r="A2760" s="1"/>
      <c r="B2760" s="1"/>
      <c r="C2760" s="1"/>
      <c r="D2760" s="1"/>
    </row>
    <row r="2761" spans="1:4" x14ac:dyDescent="0.25">
      <c r="A2761" s="1"/>
      <c r="B2761" s="1"/>
      <c r="C2761" s="1"/>
      <c r="D2761" s="1"/>
    </row>
    <row r="2762" spans="1:4" x14ac:dyDescent="0.25">
      <c r="A2762" s="1"/>
      <c r="B2762" s="1"/>
      <c r="C2762" s="1"/>
      <c r="D2762" s="1"/>
    </row>
    <row r="2763" spans="1:4" x14ac:dyDescent="0.25">
      <c r="A2763" s="1"/>
      <c r="B2763" s="1"/>
      <c r="C2763" s="1"/>
      <c r="D2763" s="1"/>
    </row>
    <row r="2764" spans="1:4" x14ac:dyDescent="0.25">
      <c r="A2764" s="1"/>
      <c r="B2764" s="1"/>
      <c r="C2764" s="1"/>
      <c r="D2764" s="1"/>
    </row>
    <row r="2765" spans="1:4" x14ac:dyDescent="0.25">
      <c r="A2765" s="1"/>
      <c r="B2765" s="1"/>
      <c r="C2765" s="1"/>
      <c r="D2765" s="1"/>
    </row>
    <row r="2766" spans="1:4" x14ac:dyDescent="0.25">
      <c r="A2766" s="1"/>
      <c r="B2766" s="1"/>
      <c r="C2766" s="1"/>
      <c r="D2766" s="1"/>
    </row>
    <row r="2767" spans="1:4" x14ac:dyDescent="0.25">
      <c r="A2767" s="1"/>
      <c r="B2767" s="1"/>
      <c r="C2767" s="1"/>
      <c r="D2767" s="1"/>
    </row>
    <row r="2768" spans="1:4" x14ac:dyDescent="0.25">
      <c r="A2768" s="1"/>
      <c r="B2768" s="1"/>
      <c r="C2768" s="1"/>
      <c r="D2768" s="1"/>
    </row>
    <row r="2769" spans="1:4" x14ac:dyDescent="0.25">
      <c r="A2769" s="1"/>
      <c r="B2769" s="1"/>
      <c r="C2769" s="1"/>
      <c r="D2769" s="1"/>
    </row>
    <row r="2770" spans="1:4" x14ac:dyDescent="0.25">
      <c r="A2770" s="1"/>
      <c r="B2770" s="1"/>
      <c r="C2770" s="1"/>
      <c r="D2770" s="1"/>
    </row>
    <row r="2771" spans="1:4" x14ac:dyDescent="0.25">
      <c r="A2771" s="1"/>
      <c r="B2771" s="1"/>
      <c r="C2771" s="1"/>
      <c r="D2771" s="1"/>
    </row>
    <row r="2772" spans="1:4" x14ac:dyDescent="0.25">
      <c r="A2772" s="1"/>
      <c r="B2772" s="1"/>
      <c r="C2772" s="1"/>
      <c r="D2772" s="1"/>
    </row>
    <row r="2773" spans="1:4" x14ac:dyDescent="0.25">
      <c r="A2773" s="1"/>
      <c r="B2773" s="1"/>
      <c r="C2773" s="1"/>
      <c r="D2773" s="1"/>
    </row>
    <row r="2774" spans="1:4" x14ac:dyDescent="0.25">
      <c r="A2774" s="1"/>
      <c r="B2774" s="1"/>
      <c r="C2774" s="1"/>
      <c r="D2774" s="1"/>
    </row>
    <row r="2775" spans="1:4" x14ac:dyDescent="0.25">
      <c r="A2775" s="1"/>
      <c r="B2775" s="1"/>
      <c r="C2775" s="1"/>
      <c r="D2775" s="1"/>
    </row>
    <row r="2776" spans="1:4" x14ac:dyDescent="0.25">
      <c r="A2776" s="1"/>
      <c r="B2776" s="1"/>
      <c r="C2776" s="1"/>
      <c r="D2776" s="1"/>
    </row>
    <row r="2777" spans="1:4" x14ac:dyDescent="0.25">
      <c r="A2777" s="1"/>
      <c r="B2777" s="1"/>
      <c r="C2777" s="1"/>
      <c r="D2777" s="1"/>
    </row>
    <row r="2778" spans="1:4" x14ac:dyDescent="0.25">
      <c r="A2778" s="1"/>
      <c r="B2778" s="1"/>
      <c r="C2778" s="1"/>
      <c r="D2778" s="1"/>
    </row>
    <row r="2779" spans="1:4" x14ac:dyDescent="0.25">
      <c r="A2779" s="1"/>
      <c r="B2779" s="1"/>
      <c r="C2779" s="1"/>
      <c r="D2779" s="1"/>
    </row>
    <row r="2780" spans="1:4" x14ac:dyDescent="0.25">
      <c r="A2780" s="1"/>
      <c r="B2780" s="1"/>
      <c r="C2780" s="1"/>
      <c r="D2780" s="1"/>
    </row>
    <row r="2781" spans="1:4" x14ac:dyDescent="0.25">
      <c r="A2781" s="1"/>
      <c r="B2781" s="1"/>
      <c r="C2781" s="1"/>
      <c r="D2781" s="1"/>
    </row>
    <row r="2782" spans="1:4" x14ac:dyDescent="0.25">
      <c r="A2782" s="1"/>
      <c r="B2782" s="1"/>
      <c r="C2782" s="1"/>
      <c r="D2782" s="1"/>
    </row>
    <row r="2783" spans="1:4" x14ac:dyDescent="0.25">
      <c r="A2783" s="1"/>
      <c r="B2783" s="1"/>
      <c r="C2783" s="1"/>
      <c r="D2783" s="1"/>
    </row>
    <row r="2784" spans="1:4" x14ac:dyDescent="0.25">
      <c r="A2784" s="1"/>
      <c r="B2784" s="1"/>
      <c r="C2784" s="1"/>
      <c r="D2784" s="1"/>
    </row>
    <row r="2785" spans="1:4" x14ac:dyDescent="0.25">
      <c r="A2785" s="1"/>
      <c r="B2785" s="1"/>
      <c r="C2785" s="1"/>
      <c r="D2785" s="1"/>
    </row>
    <row r="2786" spans="1:4" x14ac:dyDescent="0.25">
      <c r="A2786" s="1"/>
      <c r="B2786" s="1"/>
      <c r="C2786" s="1"/>
      <c r="D2786" s="1"/>
    </row>
    <row r="2787" spans="1:4" x14ac:dyDescent="0.25">
      <c r="A2787" s="1"/>
      <c r="B2787" s="1"/>
      <c r="C2787" s="1"/>
      <c r="D2787" s="1"/>
    </row>
    <row r="2788" spans="1:4" x14ac:dyDescent="0.25">
      <c r="A2788" s="1"/>
      <c r="B2788" s="1"/>
      <c r="C2788" s="1"/>
      <c r="D2788" s="1"/>
    </row>
    <row r="2789" spans="1:4" x14ac:dyDescent="0.25">
      <c r="A2789" s="1"/>
      <c r="B2789" s="1"/>
      <c r="C2789" s="1"/>
      <c r="D2789" s="1"/>
    </row>
    <row r="2790" spans="1:4" x14ac:dyDescent="0.25">
      <c r="A2790" s="1"/>
      <c r="B2790" s="1"/>
      <c r="C2790" s="1"/>
      <c r="D2790" s="1"/>
    </row>
    <row r="2791" spans="1:4" x14ac:dyDescent="0.25">
      <c r="A2791" s="1"/>
      <c r="B2791" s="1"/>
      <c r="C2791" s="1"/>
      <c r="D2791" s="1"/>
    </row>
    <row r="2792" spans="1:4" x14ac:dyDescent="0.25">
      <c r="A2792" s="1"/>
      <c r="B2792" s="1"/>
      <c r="C2792" s="1"/>
      <c r="D2792" s="1"/>
    </row>
    <row r="2793" spans="1:4" x14ac:dyDescent="0.25">
      <c r="A2793" s="1"/>
      <c r="B2793" s="1"/>
      <c r="C2793" s="1"/>
      <c r="D2793" s="1"/>
    </row>
    <row r="2794" spans="1:4" x14ac:dyDescent="0.25">
      <c r="A2794" s="1"/>
      <c r="B2794" s="1"/>
      <c r="C2794" s="1"/>
      <c r="D2794" s="1"/>
    </row>
    <row r="2795" spans="1:4" x14ac:dyDescent="0.25">
      <c r="A2795" s="1"/>
      <c r="B2795" s="1"/>
      <c r="C2795" s="1"/>
      <c r="D2795" s="1"/>
    </row>
    <row r="2796" spans="1:4" x14ac:dyDescent="0.25">
      <c r="A2796" s="1"/>
      <c r="B2796" s="1"/>
      <c r="C2796" s="1"/>
      <c r="D2796" s="1"/>
    </row>
    <row r="2797" spans="1:4" x14ac:dyDescent="0.25">
      <c r="A2797" s="1"/>
      <c r="B2797" s="1"/>
      <c r="C2797" s="1"/>
      <c r="D2797" s="1"/>
    </row>
    <row r="2798" spans="1:4" x14ac:dyDescent="0.25">
      <c r="A2798" s="1"/>
      <c r="B2798" s="1"/>
      <c r="C2798" s="1"/>
      <c r="D2798" s="1"/>
    </row>
    <row r="2799" spans="1:4" x14ac:dyDescent="0.25">
      <c r="A2799" s="1"/>
      <c r="B2799" s="1"/>
      <c r="C2799" s="1"/>
      <c r="D2799" s="1"/>
    </row>
    <row r="2800" spans="1:4" x14ac:dyDescent="0.25">
      <c r="A2800" s="1"/>
      <c r="B2800" s="1"/>
      <c r="C2800" s="1"/>
      <c r="D2800" s="1"/>
    </row>
    <row r="2801" spans="1:4" x14ac:dyDescent="0.25">
      <c r="A2801" s="1"/>
      <c r="B2801" s="1"/>
      <c r="C2801" s="1"/>
      <c r="D2801" s="1"/>
    </row>
    <row r="2802" spans="1:4" x14ac:dyDescent="0.25">
      <c r="A2802" s="1"/>
      <c r="B2802" s="1"/>
      <c r="C2802" s="1"/>
      <c r="D2802" s="1"/>
    </row>
    <row r="2803" spans="1:4" x14ac:dyDescent="0.25">
      <c r="A2803" s="1"/>
      <c r="B2803" s="1"/>
      <c r="C2803" s="1"/>
      <c r="D2803" s="1"/>
    </row>
    <row r="2804" spans="1:4" x14ac:dyDescent="0.25">
      <c r="A2804" s="1"/>
      <c r="B2804" s="1"/>
      <c r="C2804" s="1"/>
      <c r="D2804" s="1"/>
    </row>
    <row r="2805" spans="1:4" x14ac:dyDescent="0.25">
      <c r="A2805" s="1"/>
      <c r="B2805" s="1"/>
      <c r="C2805" s="1"/>
      <c r="D2805" s="1"/>
    </row>
    <row r="2806" spans="1:4" x14ac:dyDescent="0.25">
      <c r="A2806" s="1"/>
      <c r="B2806" s="1"/>
      <c r="C2806" s="1"/>
      <c r="D2806" s="1"/>
    </row>
    <row r="2807" spans="1:4" x14ac:dyDescent="0.25">
      <c r="A2807" s="1"/>
      <c r="B2807" s="1"/>
      <c r="C2807" s="1"/>
      <c r="D2807" s="1"/>
    </row>
    <row r="2808" spans="1:4" x14ac:dyDescent="0.25">
      <c r="A2808" s="1"/>
      <c r="B2808" s="1"/>
      <c r="C2808" s="1"/>
      <c r="D2808" s="1"/>
    </row>
    <row r="2809" spans="1:4" x14ac:dyDescent="0.25">
      <c r="A2809" s="1"/>
      <c r="B2809" s="1"/>
      <c r="C2809" s="1"/>
      <c r="D2809" s="1"/>
    </row>
    <row r="2810" spans="1:4" x14ac:dyDescent="0.25">
      <c r="A2810" s="1"/>
      <c r="B2810" s="1"/>
      <c r="C2810" s="1"/>
      <c r="D2810" s="1"/>
    </row>
    <row r="2811" spans="1:4" x14ac:dyDescent="0.25">
      <c r="A2811" s="1"/>
      <c r="B2811" s="1"/>
      <c r="C2811" s="1"/>
      <c r="D2811" s="1"/>
    </row>
    <row r="2812" spans="1:4" x14ac:dyDescent="0.25">
      <c r="A2812" s="1"/>
      <c r="B2812" s="1"/>
      <c r="C2812" s="1"/>
      <c r="D2812" s="1"/>
    </row>
    <row r="2813" spans="1:4" x14ac:dyDescent="0.25">
      <c r="A2813" s="1"/>
      <c r="B2813" s="1"/>
      <c r="C2813" s="1"/>
      <c r="D2813" s="1"/>
    </row>
    <row r="2814" spans="1:4" x14ac:dyDescent="0.25">
      <c r="A2814" s="1"/>
      <c r="B2814" s="1"/>
      <c r="C2814" s="1"/>
      <c r="D2814" s="1"/>
    </row>
    <row r="2815" spans="1:4" x14ac:dyDescent="0.25">
      <c r="A2815" s="1"/>
      <c r="B2815" s="1"/>
      <c r="C2815" s="1"/>
      <c r="D2815" s="1"/>
    </row>
    <row r="2816" spans="1:4" x14ac:dyDescent="0.25">
      <c r="A2816" s="1"/>
      <c r="B2816" s="1"/>
      <c r="C2816" s="1"/>
      <c r="D2816" s="1"/>
    </row>
    <row r="2817" spans="1:4" x14ac:dyDescent="0.25">
      <c r="A2817" s="1"/>
      <c r="B2817" s="1"/>
      <c r="C2817" s="1"/>
      <c r="D2817" s="1"/>
    </row>
    <row r="2818" spans="1:4" x14ac:dyDescent="0.25">
      <c r="A2818" s="1"/>
      <c r="B2818" s="1"/>
      <c r="C2818" s="1"/>
      <c r="D2818" s="1"/>
    </row>
    <row r="2819" spans="1:4" x14ac:dyDescent="0.25">
      <c r="A2819" s="1"/>
      <c r="B2819" s="1"/>
      <c r="C2819" s="1"/>
      <c r="D2819" s="1"/>
    </row>
    <row r="2820" spans="1:4" x14ac:dyDescent="0.25">
      <c r="A2820" s="1"/>
      <c r="B2820" s="1"/>
      <c r="C2820" s="1"/>
      <c r="D2820" s="1"/>
    </row>
    <row r="2821" spans="1:4" x14ac:dyDescent="0.25">
      <c r="A2821" s="1"/>
      <c r="B2821" s="1"/>
      <c r="C2821" s="1"/>
      <c r="D2821" s="1"/>
    </row>
    <row r="2822" spans="1:4" x14ac:dyDescent="0.25">
      <c r="A2822" s="1"/>
      <c r="B2822" s="1"/>
      <c r="C2822" s="1"/>
      <c r="D2822" s="1"/>
    </row>
    <row r="2823" spans="1:4" x14ac:dyDescent="0.25">
      <c r="A2823" s="1"/>
      <c r="B2823" s="1"/>
      <c r="C2823" s="1"/>
      <c r="D2823" s="1"/>
    </row>
    <row r="2824" spans="1:4" x14ac:dyDescent="0.25">
      <c r="A2824" s="1"/>
      <c r="B2824" s="1"/>
      <c r="C2824" s="1"/>
      <c r="D2824" s="1"/>
    </row>
    <row r="2825" spans="1:4" x14ac:dyDescent="0.25">
      <c r="A2825" s="1"/>
      <c r="B2825" s="1"/>
      <c r="C2825" s="1"/>
      <c r="D2825" s="1"/>
    </row>
    <row r="2826" spans="1:4" x14ac:dyDescent="0.25">
      <c r="A2826" s="1"/>
      <c r="B2826" s="1"/>
      <c r="C2826" s="1"/>
      <c r="D2826" s="1"/>
    </row>
    <row r="2827" spans="1:4" x14ac:dyDescent="0.25">
      <c r="A2827" s="1"/>
      <c r="B2827" s="1"/>
      <c r="C2827" s="1"/>
      <c r="D2827" s="1"/>
    </row>
    <row r="2828" spans="1:4" x14ac:dyDescent="0.25">
      <c r="A2828" s="1"/>
      <c r="B2828" s="1"/>
      <c r="C2828" s="1"/>
      <c r="D2828" s="1"/>
    </row>
    <row r="2829" spans="1:4" x14ac:dyDescent="0.25">
      <c r="A2829" s="1"/>
      <c r="B2829" s="1"/>
      <c r="C2829" s="1"/>
      <c r="D2829" s="1"/>
    </row>
    <row r="2830" spans="1:4" x14ac:dyDescent="0.25">
      <c r="A2830" s="1"/>
      <c r="B2830" s="1"/>
      <c r="C2830" s="1"/>
      <c r="D2830" s="1"/>
    </row>
    <row r="2831" spans="1:4" x14ac:dyDescent="0.25">
      <c r="A2831" s="1"/>
      <c r="B2831" s="1"/>
      <c r="C2831" s="1"/>
      <c r="D2831" s="1"/>
    </row>
    <row r="2832" spans="1:4" x14ac:dyDescent="0.25">
      <c r="A2832" s="1"/>
      <c r="B2832" s="1"/>
      <c r="C2832" s="1"/>
      <c r="D2832" s="1"/>
    </row>
    <row r="2833" spans="1:4" x14ac:dyDescent="0.25">
      <c r="A2833" s="1"/>
      <c r="B2833" s="1"/>
      <c r="C2833" s="1"/>
      <c r="D2833" s="1"/>
    </row>
    <row r="2834" spans="1:4" x14ac:dyDescent="0.25">
      <c r="A2834" s="1"/>
      <c r="B2834" s="1"/>
      <c r="C2834" s="1"/>
      <c r="D2834" s="1"/>
    </row>
    <row r="2835" spans="1:4" x14ac:dyDescent="0.25">
      <c r="A2835" s="1"/>
      <c r="B2835" s="1"/>
      <c r="C2835" s="1"/>
      <c r="D2835" s="1"/>
    </row>
    <row r="2836" spans="1:4" x14ac:dyDescent="0.25">
      <c r="A2836" s="1"/>
      <c r="B2836" s="1"/>
      <c r="C2836" s="1"/>
      <c r="D2836" s="1"/>
    </row>
    <row r="2837" spans="1:4" x14ac:dyDescent="0.25">
      <c r="A2837" s="1"/>
      <c r="B2837" s="1"/>
      <c r="C2837" s="1"/>
      <c r="D2837" s="1"/>
    </row>
    <row r="2838" spans="1:4" x14ac:dyDescent="0.25">
      <c r="A2838" s="1"/>
      <c r="B2838" s="1"/>
      <c r="C2838" s="1"/>
      <c r="D2838" s="1"/>
    </row>
    <row r="2839" spans="1:4" x14ac:dyDescent="0.25">
      <c r="A2839" s="1"/>
      <c r="B2839" s="1"/>
      <c r="C2839" s="1"/>
      <c r="D2839" s="1"/>
    </row>
    <row r="2840" spans="1:4" x14ac:dyDescent="0.25">
      <c r="A2840" s="1"/>
      <c r="B2840" s="1"/>
      <c r="C2840" s="1"/>
      <c r="D2840" s="1"/>
    </row>
    <row r="2841" spans="1:4" x14ac:dyDescent="0.25">
      <c r="A2841" s="1"/>
      <c r="B2841" s="1"/>
      <c r="C2841" s="1"/>
      <c r="D2841" s="1"/>
    </row>
    <row r="2842" spans="1:4" x14ac:dyDescent="0.25">
      <c r="A2842" s="1"/>
      <c r="B2842" s="1"/>
      <c r="C2842" s="1"/>
      <c r="D2842" s="1"/>
    </row>
    <row r="2843" spans="1:4" x14ac:dyDescent="0.25">
      <c r="A2843" s="1"/>
      <c r="B2843" s="1"/>
      <c r="C2843" s="1"/>
      <c r="D2843" s="1"/>
    </row>
    <row r="2844" spans="1:4" x14ac:dyDescent="0.25">
      <c r="A2844" s="1"/>
      <c r="B2844" s="1"/>
      <c r="C2844" s="1"/>
      <c r="D2844" s="1"/>
    </row>
    <row r="2845" spans="1:4" x14ac:dyDescent="0.25">
      <c r="A2845" s="1"/>
      <c r="B2845" s="1"/>
      <c r="C2845" s="1"/>
      <c r="D2845" s="1"/>
    </row>
    <row r="2846" spans="1:4" x14ac:dyDescent="0.25">
      <c r="A2846" s="1"/>
      <c r="B2846" s="1"/>
      <c r="C2846" s="1"/>
      <c r="D2846" s="1"/>
    </row>
    <row r="2847" spans="1:4" x14ac:dyDescent="0.25">
      <c r="A2847" s="1"/>
      <c r="B2847" s="1"/>
      <c r="C2847" s="1"/>
      <c r="D2847" s="1"/>
    </row>
    <row r="2848" spans="1:4" x14ac:dyDescent="0.25">
      <c r="A2848" s="1"/>
      <c r="B2848" s="1"/>
      <c r="C2848" s="1"/>
      <c r="D2848" s="1"/>
    </row>
    <row r="2849" spans="1:4" x14ac:dyDescent="0.25">
      <c r="A2849" s="1"/>
      <c r="B2849" s="1"/>
      <c r="C2849" s="1"/>
      <c r="D2849" s="1"/>
    </row>
    <row r="2850" spans="1:4" x14ac:dyDescent="0.25">
      <c r="A2850" s="1"/>
      <c r="B2850" s="1"/>
      <c r="C2850" s="1"/>
      <c r="D2850" s="1"/>
    </row>
    <row r="2851" spans="1:4" x14ac:dyDescent="0.25">
      <c r="A2851" s="1"/>
      <c r="B2851" s="1"/>
      <c r="C2851" s="1"/>
      <c r="D2851" s="1"/>
    </row>
    <row r="2852" spans="1:4" x14ac:dyDescent="0.25">
      <c r="A2852" s="1"/>
      <c r="B2852" s="1"/>
      <c r="C2852" s="1"/>
      <c r="D2852" s="1"/>
    </row>
    <row r="2853" spans="1:4" x14ac:dyDescent="0.25">
      <c r="A2853" s="1"/>
      <c r="B2853" s="1"/>
      <c r="C2853" s="1"/>
      <c r="D2853" s="1"/>
    </row>
    <row r="2854" spans="1:4" x14ac:dyDescent="0.25">
      <c r="A2854" s="1"/>
      <c r="B2854" s="1"/>
      <c r="C2854" s="1"/>
      <c r="D2854" s="1"/>
    </row>
    <row r="2855" spans="1:4" x14ac:dyDescent="0.25">
      <c r="A2855" s="1"/>
      <c r="B2855" s="1"/>
      <c r="C2855" s="1"/>
      <c r="D2855" s="1"/>
    </row>
    <row r="2856" spans="1:4" x14ac:dyDescent="0.25">
      <c r="A2856" s="1"/>
      <c r="B2856" s="1"/>
      <c r="C2856" s="1"/>
      <c r="D2856" s="1"/>
    </row>
    <row r="2857" spans="1:4" x14ac:dyDescent="0.25">
      <c r="A2857" s="1"/>
      <c r="B2857" s="1"/>
      <c r="C2857" s="1"/>
      <c r="D2857" s="1"/>
    </row>
    <row r="2858" spans="1:4" x14ac:dyDescent="0.25">
      <c r="A2858" s="1"/>
      <c r="B2858" s="1"/>
      <c r="C2858" s="1"/>
      <c r="D2858" s="1"/>
    </row>
    <row r="2859" spans="1:4" x14ac:dyDescent="0.25">
      <c r="A2859" s="1"/>
      <c r="B2859" s="1"/>
      <c r="C2859" s="1"/>
      <c r="D2859" s="1"/>
    </row>
    <row r="2860" spans="1:4" x14ac:dyDescent="0.25">
      <c r="A2860" s="1"/>
      <c r="B2860" s="1"/>
      <c r="C2860" s="1"/>
      <c r="D2860" s="1"/>
    </row>
    <row r="2861" spans="1:4" x14ac:dyDescent="0.25">
      <c r="A2861" s="1"/>
      <c r="B2861" s="1"/>
      <c r="C2861" s="1"/>
      <c r="D2861" s="1"/>
    </row>
    <row r="2862" spans="1:4" x14ac:dyDescent="0.25">
      <c r="A2862" s="1"/>
      <c r="B2862" s="1"/>
      <c r="C2862" s="1"/>
      <c r="D2862" s="1"/>
    </row>
    <row r="2863" spans="1:4" x14ac:dyDescent="0.25">
      <c r="A2863" s="1"/>
      <c r="B2863" s="1"/>
      <c r="C2863" s="1"/>
      <c r="D2863" s="1"/>
    </row>
    <row r="2864" spans="1:4" x14ac:dyDescent="0.25">
      <c r="A2864" s="1"/>
      <c r="B2864" s="1"/>
      <c r="C2864" s="1"/>
      <c r="D2864" s="1"/>
    </row>
    <row r="2865" spans="1:4" x14ac:dyDescent="0.25">
      <c r="A2865" s="1"/>
      <c r="B2865" s="1"/>
      <c r="C2865" s="1"/>
      <c r="D2865" s="1"/>
    </row>
    <row r="2866" spans="1:4" x14ac:dyDescent="0.25">
      <c r="A2866" s="1"/>
      <c r="B2866" s="1"/>
      <c r="C2866" s="1"/>
      <c r="D2866" s="1"/>
    </row>
    <row r="2867" spans="1:4" x14ac:dyDescent="0.25">
      <c r="A2867" s="1"/>
      <c r="B2867" s="1"/>
      <c r="C2867" s="1"/>
      <c r="D2867" s="1"/>
    </row>
    <row r="2868" spans="1:4" x14ac:dyDescent="0.25">
      <c r="A2868" s="1"/>
      <c r="B2868" s="1"/>
      <c r="C2868" s="1"/>
      <c r="D2868" s="1"/>
    </row>
    <row r="2869" spans="1:4" x14ac:dyDescent="0.25">
      <c r="A2869" s="1"/>
      <c r="B2869" s="1"/>
      <c r="C2869" s="1"/>
      <c r="D2869" s="1"/>
    </row>
    <row r="2870" spans="1:4" x14ac:dyDescent="0.25">
      <c r="A2870" s="1"/>
      <c r="B2870" s="1"/>
      <c r="C2870" s="1"/>
      <c r="D2870" s="1"/>
    </row>
    <row r="2871" spans="1:4" x14ac:dyDescent="0.25">
      <c r="A2871" s="1"/>
      <c r="B2871" s="1"/>
      <c r="C2871" s="1"/>
      <c r="D2871" s="1"/>
    </row>
    <row r="2872" spans="1:4" x14ac:dyDescent="0.25">
      <c r="A2872" s="1"/>
      <c r="B2872" s="1"/>
      <c r="C2872" s="1"/>
      <c r="D2872" s="1"/>
    </row>
    <row r="2873" spans="1:4" x14ac:dyDescent="0.25">
      <c r="A2873" s="1"/>
      <c r="B2873" s="1"/>
      <c r="C2873" s="1"/>
      <c r="D2873" s="1"/>
    </row>
    <row r="2874" spans="1:4" x14ac:dyDescent="0.25">
      <c r="A2874" s="1"/>
      <c r="B2874" s="1"/>
      <c r="C2874" s="1"/>
      <c r="D2874" s="1"/>
    </row>
    <row r="2875" spans="1:4" x14ac:dyDescent="0.25">
      <c r="A2875" s="1"/>
      <c r="B2875" s="1"/>
      <c r="C2875" s="1"/>
      <c r="D2875" s="1"/>
    </row>
    <row r="2876" spans="1:4" x14ac:dyDescent="0.25">
      <c r="A2876" s="1"/>
      <c r="B2876" s="1"/>
      <c r="C2876" s="1"/>
      <c r="D2876" s="1"/>
    </row>
    <row r="2877" spans="1:4" x14ac:dyDescent="0.25">
      <c r="A2877" s="1"/>
      <c r="B2877" s="1"/>
      <c r="C2877" s="1"/>
      <c r="D2877" s="1"/>
    </row>
    <row r="2878" spans="1:4" x14ac:dyDescent="0.25">
      <c r="A2878" s="1"/>
      <c r="B2878" s="1"/>
      <c r="C2878" s="1"/>
      <c r="D2878" s="1"/>
    </row>
    <row r="2879" spans="1:4" x14ac:dyDescent="0.25">
      <c r="A2879" s="1"/>
      <c r="B2879" s="1"/>
      <c r="C2879" s="1"/>
      <c r="D2879" s="1"/>
    </row>
    <row r="2880" spans="1:4" x14ac:dyDescent="0.25">
      <c r="A2880" s="1"/>
      <c r="B2880" s="1"/>
      <c r="C2880" s="1"/>
      <c r="D2880" s="1"/>
    </row>
    <row r="2881" spans="1:4" x14ac:dyDescent="0.25">
      <c r="A2881" s="1"/>
      <c r="B2881" s="1"/>
      <c r="C2881" s="1"/>
      <c r="D2881" s="1"/>
    </row>
    <row r="2882" spans="1:4" x14ac:dyDescent="0.25">
      <c r="A2882" s="1"/>
      <c r="B2882" s="1"/>
      <c r="C2882" s="1"/>
      <c r="D2882" s="1"/>
    </row>
    <row r="2883" spans="1:4" x14ac:dyDescent="0.25">
      <c r="A2883" s="1"/>
      <c r="B2883" s="1"/>
      <c r="C2883" s="1"/>
      <c r="D2883" s="1"/>
    </row>
    <row r="2884" spans="1:4" x14ac:dyDescent="0.25">
      <c r="A2884" s="1"/>
      <c r="B2884" s="1"/>
      <c r="C2884" s="1"/>
      <c r="D2884" s="1"/>
    </row>
    <row r="2885" spans="1:4" x14ac:dyDescent="0.25">
      <c r="A2885" s="1"/>
      <c r="B2885" s="1"/>
      <c r="C2885" s="1"/>
      <c r="D2885" s="1"/>
    </row>
    <row r="2886" spans="1:4" x14ac:dyDescent="0.25">
      <c r="A2886" s="1"/>
      <c r="B2886" s="1"/>
      <c r="C2886" s="1"/>
      <c r="D2886" s="1"/>
    </row>
    <row r="2887" spans="1:4" x14ac:dyDescent="0.25">
      <c r="A2887" s="1"/>
      <c r="B2887" s="1"/>
      <c r="C2887" s="1"/>
      <c r="D2887" s="1"/>
    </row>
    <row r="2888" spans="1:4" x14ac:dyDescent="0.25">
      <c r="A2888" s="1"/>
      <c r="B2888" s="1"/>
      <c r="C2888" s="1"/>
      <c r="D2888" s="1"/>
    </row>
    <row r="2889" spans="1:4" x14ac:dyDescent="0.25">
      <c r="A2889" s="1"/>
      <c r="B2889" s="1"/>
      <c r="C2889" s="1"/>
      <c r="D2889" s="1"/>
    </row>
    <row r="2890" spans="1:4" x14ac:dyDescent="0.25">
      <c r="A2890" s="1"/>
      <c r="B2890" s="1"/>
      <c r="C2890" s="1"/>
      <c r="D2890" s="1"/>
    </row>
    <row r="2891" spans="1:4" x14ac:dyDescent="0.25">
      <c r="A2891" s="1"/>
      <c r="B2891" s="1"/>
      <c r="C2891" s="1"/>
      <c r="D2891" s="1"/>
    </row>
    <row r="2892" spans="1:4" x14ac:dyDescent="0.25">
      <c r="A2892" s="1"/>
      <c r="B2892" s="1"/>
      <c r="C2892" s="1"/>
      <c r="D2892" s="1"/>
    </row>
    <row r="2893" spans="1:4" x14ac:dyDescent="0.25">
      <c r="A2893" s="1"/>
      <c r="B2893" s="1"/>
      <c r="C2893" s="1"/>
      <c r="D2893" s="1"/>
    </row>
    <row r="2894" spans="1:4" x14ac:dyDescent="0.25">
      <c r="A2894" s="1"/>
      <c r="B2894" s="1"/>
      <c r="C2894" s="1"/>
      <c r="D2894" s="1"/>
    </row>
    <row r="2895" spans="1:4" x14ac:dyDescent="0.25">
      <c r="A2895" s="1"/>
      <c r="B2895" s="1"/>
      <c r="C2895" s="1"/>
      <c r="D2895" s="1"/>
    </row>
    <row r="2896" spans="1:4" x14ac:dyDescent="0.25">
      <c r="A2896" s="1"/>
      <c r="B2896" s="1"/>
      <c r="C2896" s="1"/>
      <c r="D2896" s="1"/>
    </row>
    <row r="2897" spans="1:4" x14ac:dyDescent="0.25">
      <c r="A2897" s="1"/>
      <c r="B2897" s="1"/>
      <c r="C2897" s="1"/>
      <c r="D2897" s="1"/>
    </row>
    <row r="2898" spans="1:4" x14ac:dyDescent="0.25">
      <c r="A2898" s="1"/>
      <c r="B2898" s="1"/>
      <c r="C2898" s="1"/>
      <c r="D2898" s="1"/>
    </row>
    <row r="2899" spans="1:4" x14ac:dyDescent="0.25">
      <c r="A2899" s="1"/>
      <c r="B2899" s="1"/>
      <c r="C2899" s="1"/>
      <c r="D2899" s="1"/>
    </row>
    <row r="2900" spans="1:4" x14ac:dyDescent="0.25">
      <c r="A2900" s="1"/>
      <c r="B2900" s="1"/>
      <c r="C2900" s="1"/>
      <c r="D2900" s="1"/>
    </row>
    <row r="2901" spans="1:4" x14ac:dyDescent="0.25">
      <c r="A2901" s="1"/>
      <c r="B2901" s="1"/>
      <c r="C2901" s="1"/>
      <c r="D2901" s="1"/>
    </row>
    <row r="2902" spans="1:4" x14ac:dyDescent="0.25">
      <c r="A2902" s="1"/>
      <c r="B2902" s="1"/>
      <c r="C2902" s="1"/>
      <c r="D2902" s="1"/>
    </row>
    <row r="2903" spans="1:4" x14ac:dyDescent="0.25">
      <c r="A2903" s="1"/>
      <c r="B2903" s="1"/>
      <c r="C2903" s="1"/>
      <c r="D2903" s="1"/>
    </row>
    <row r="2904" spans="1:4" x14ac:dyDescent="0.25">
      <c r="A2904" s="1"/>
      <c r="B2904" s="1"/>
      <c r="C2904" s="1"/>
      <c r="D2904" s="1"/>
    </row>
    <row r="2905" spans="1:4" x14ac:dyDescent="0.25">
      <c r="A2905" s="1"/>
      <c r="B2905" s="1"/>
      <c r="C2905" s="1"/>
      <c r="D2905" s="1"/>
    </row>
    <row r="2906" spans="1:4" x14ac:dyDescent="0.25">
      <c r="A2906" s="1"/>
      <c r="B2906" s="1"/>
      <c r="C2906" s="1"/>
      <c r="D2906" s="1"/>
    </row>
    <row r="2907" spans="1:4" x14ac:dyDescent="0.25">
      <c r="A2907" s="1"/>
      <c r="B2907" s="1"/>
      <c r="C2907" s="1"/>
      <c r="D2907" s="1"/>
    </row>
    <row r="2908" spans="1:4" x14ac:dyDescent="0.25">
      <c r="A2908" s="1"/>
      <c r="B2908" s="1"/>
      <c r="C2908" s="1"/>
      <c r="D2908" s="1"/>
    </row>
    <row r="2909" spans="1:4" x14ac:dyDescent="0.25">
      <c r="A2909" s="1"/>
      <c r="B2909" s="1"/>
      <c r="C2909" s="1"/>
      <c r="D2909" s="1"/>
    </row>
    <row r="2910" spans="1:4" x14ac:dyDescent="0.25">
      <c r="A2910" s="1"/>
      <c r="B2910" s="1"/>
      <c r="C2910" s="1"/>
      <c r="D2910" s="1"/>
    </row>
    <row r="2911" spans="1:4" x14ac:dyDescent="0.25">
      <c r="A2911" s="1"/>
      <c r="B2911" s="1"/>
      <c r="C2911" s="1"/>
      <c r="D2911" s="1"/>
    </row>
    <row r="2912" spans="1:4" x14ac:dyDescent="0.25">
      <c r="A2912" s="1"/>
      <c r="B2912" s="1"/>
      <c r="C2912" s="1"/>
      <c r="D2912" s="1"/>
    </row>
    <row r="2913" spans="1:4" x14ac:dyDescent="0.25">
      <c r="A2913" s="1"/>
      <c r="B2913" s="1"/>
      <c r="C2913" s="1"/>
      <c r="D2913" s="1"/>
    </row>
    <row r="2914" spans="1:4" x14ac:dyDescent="0.25">
      <c r="A2914" s="1"/>
      <c r="B2914" s="1"/>
      <c r="C2914" s="1"/>
      <c r="D2914" s="1"/>
    </row>
    <row r="2915" spans="1:4" x14ac:dyDescent="0.25">
      <c r="A2915" s="1"/>
      <c r="B2915" s="1"/>
      <c r="C2915" s="1"/>
      <c r="D2915" s="1"/>
    </row>
    <row r="2916" spans="1:4" x14ac:dyDescent="0.25">
      <c r="A2916" s="1"/>
      <c r="B2916" s="1"/>
      <c r="C2916" s="1"/>
      <c r="D2916" s="1"/>
    </row>
    <row r="2917" spans="1:4" x14ac:dyDescent="0.25">
      <c r="A2917" s="1"/>
      <c r="B2917" s="1"/>
      <c r="C2917" s="1"/>
      <c r="D2917" s="1"/>
    </row>
    <row r="2918" spans="1:4" x14ac:dyDescent="0.25">
      <c r="A2918" s="1"/>
      <c r="B2918" s="1"/>
      <c r="C2918" s="1"/>
      <c r="D2918" s="1"/>
    </row>
    <row r="2919" spans="1:4" x14ac:dyDescent="0.25">
      <c r="A2919" s="1"/>
      <c r="B2919" s="1"/>
      <c r="C2919" s="1"/>
      <c r="D2919" s="1"/>
    </row>
    <row r="2920" spans="1:4" x14ac:dyDescent="0.25">
      <c r="A2920" s="1"/>
      <c r="B2920" s="1"/>
      <c r="C2920" s="1"/>
      <c r="D2920" s="1"/>
    </row>
    <row r="2921" spans="1:4" x14ac:dyDescent="0.25">
      <c r="A2921" s="1"/>
      <c r="B2921" s="1"/>
      <c r="C2921" s="1"/>
      <c r="D2921" s="1"/>
    </row>
    <row r="2922" spans="1:4" x14ac:dyDescent="0.25">
      <c r="A2922" s="1"/>
      <c r="B2922" s="1"/>
      <c r="C2922" s="1"/>
      <c r="D2922" s="1"/>
    </row>
    <row r="2923" spans="1:4" x14ac:dyDescent="0.25">
      <c r="A2923" s="1"/>
      <c r="B2923" s="1"/>
      <c r="C2923" s="1"/>
      <c r="D2923" s="1"/>
    </row>
    <row r="2924" spans="1:4" x14ac:dyDescent="0.25">
      <c r="A2924" s="1"/>
      <c r="B2924" s="1"/>
      <c r="C2924" s="1"/>
      <c r="D2924" s="1"/>
    </row>
    <row r="2925" spans="1:4" x14ac:dyDescent="0.25">
      <c r="A2925" s="1"/>
      <c r="B2925" s="1"/>
      <c r="C2925" s="1"/>
      <c r="D2925" s="1"/>
    </row>
    <row r="2926" spans="1:4" x14ac:dyDescent="0.25">
      <c r="A2926" s="1"/>
      <c r="B2926" s="1"/>
      <c r="C2926" s="1"/>
      <c r="D2926" s="1"/>
    </row>
    <row r="2927" spans="1:4" x14ac:dyDescent="0.25">
      <c r="A2927" s="1"/>
      <c r="B2927" s="1"/>
      <c r="C2927" s="1"/>
      <c r="D2927" s="1"/>
    </row>
    <row r="2928" spans="1:4" x14ac:dyDescent="0.25">
      <c r="A2928" s="1"/>
      <c r="B2928" s="1"/>
      <c r="C2928" s="1"/>
      <c r="D2928" s="1"/>
    </row>
    <row r="2929" spans="1:4" x14ac:dyDescent="0.25">
      <c r="A2929" s="1"/>
      <c r="B2929" s="1"/>
      <c r="C2929" s="1"/>
      <c r="D2929" s="1"/>
    </row>
    <row r="2930" spans="1:4" x14ac:dyDescent="0.25">
      <c r="A2930" s="1"/>
      <c r="B2930" s="1"/>
      <c r="C2930" s="1"/>
      <c r="D2930" s="1"/>
    </row>
    <row r="2931" spans="1:4" x14ac:dyDescent="0.25">
      <c r="A2931" s="1"/>
      <c r="B2931" s="1"/>
      <c r="C2931" s="1"/>
      <c r="D2931" s="1"/>
    </row>
    <row r="2932" spans="1:4" x14ac:dyDescent="0.25">
      <c r="A2932" s="1"/>
      <c r="B2932" s="1"/>
      <c r="C2932" s="1"/>
      <c r="D2932" s="1"/>
    </row>
    <row r="2933" spans="1:4" x14ac:dyDescent="0.25">
      <c r="A2933" s="1"/>
      <c r="B2933" s="1"/>
      <c r="C2933" s="1"/>
      <c r="D2933" s="1"/>
    </row>
    <row r="2934" spans="1:4" x14ac:dyDescent="0.25">
      <c r="A2934" s="1"/>
      <c r="B2934" s="1"/>
      <c r="C2934" s="1"/>
      <c r="D2934" s="1"/>
    </row>
    <row r="2935" spans="1:4" x14ac:dyDescent="0.25">
      <c r="A2935" s="1"/>
      <c r="B2935" s="1"/>
      <c r="C2935" s="1"/>
      <c r="D2935" s="1"/>
    </row>
    <row r="2936" spans="1:4" x14ac:dyDescent="0.25">
      <c r="A2936" s="1"/>
      <c r="B2936" s="1"/>
      <c r="C2936" s="1"/>
      <c r="D2936" s="1"/>
    </row>
    <row r="2937" spans="1:4" x14ac:dyDescent="0.25">
      <c r="A2937" s="1"/>
      <c r="B2937" s="1"/>
      <c r="C2937" s="1"/>
      <c r="D2937" s="1"/>
    </row>
    <row r="2938" spans="1:4" x14ac:dyDescent="0.25">
      <c r="A2938" s="1"/>
      <c r="B2938" s="1"/>
      <c r="C2938" s="1"/>
      <c r="D2938" s="1"/>
    </row>
    <row r="2939" spans="1:4" x14ac:dyDescent="0.25">
      <c r="A2939" s="1"/>
      <c r="B2939" s="1"/>
      <c r="C2939" s="1"/>
      <c r="D2939" s="1"/>
    </row>
    <row r="2940" spans="1:4" x14ac:dyDescent="0.25">
      <c r="A2940" s="1"/>
      <c r="B2940" s="1"/>
      <c r="C2940" s="1"/>
      <c r="D2940" s="1"/>
    </row>
    <row r="2941" spans="1:4" x14ac:dyDescent="0.25">
      <c r="A2941" s="1"/>
      <c r="B2941" s="1"/>
      <c r="C2941" s="1"/>
      <c r="D2941" s="1"/>
    </row>
    <row r="2942" spans="1:4" x14ac:dyDescent="0.25">
      <c r="A2942" s="1"/>
      <c r="B2942" s="1"/>
      <c r="C2942" s="1"/>
      <c r="D2942" s="1"/>
    </row>
    <row r="2943" spans="1:4" x14ac:dyDescent="0.25">
      <c r="A2943" s="1"/>
      <c r="B2943" s="1"/>
      <c r="C2943" s="1"/>
      <c r="D2943" s="1"/>
    </row>
    <row r="2944" spans="1:4" x14ac:dyDescent="0.25">
      <c r="A2944" s="1"/>
      <c r="B2944" s="1"/>
      <c r="C2944" s="1"/>
      <c r="D2944" s="1"/>
    </row>
    <row r="2945" spans="1:4" x14ac:dyDescent="0.25">
      <c r="A2945" s="1"/>
      <c r="B2945" s="1"/>
      <c r="C2945" s="1"/>
      <c r="D2945" s="1"/>
    </row>
    <row r="2946" spans="1:4" x14ac:dyDescent="0.25">
      <c r="A2946" s="1"/>
      <c r="B2946" s="1"/>
      <c r="C2946" s="1"/>
      <c r="D2946" s="1"/>
    </row>
    <row r="2947" spans="1:4" x14ac:dyDescent="0.25">
      <c r="A2947" s="1"/>
      <c r="B2947" s="1"/>
      <c r="C2947" s="1"/>
      <c r="D2947" s="1"/>
    </row>
    <row r="2948" spans="1:4" x14ac:dyDescent="0.25">
      <c r="A2948" s="1"/>
      <c r="B2948" s="1"/>
      <c r="C2948" s="1"/>
      <c r="D2948" s="1"/>
    </row>
    <row r="2949" spans="1:4" x14ac:dyDescent="0.25">
      <c r="A2949" s="1"/>
      <c r="B2949" s="1"/>
      <c r="C2949" s="1"/>
      <c r="D2949" s="1"/>
    </row>
    <row r="2950" spans="1:4" x14ac:dyDescent="0.25">
      <c r="A2950" s="1"/>
      <c r="B2950" s="1"/>
      <c r="C2950" s="1"/>
      <c r="D2950" s="1"/>
    </row>
    <row r="2951" spans="1:4" x14ac:dyDescent="0.25">
      <c r="A2951" s="1"/>
      <c r="B2951" s="1"/>
      <c r="C2951" s="1"/>
      <c r="D2951" s="1"/>
    </row>
    <row r="2952" spans="1:4" x14ac:dyDescent="0.25">
      <c r="A2952" s="1"/>
      <c r="B2952" s="1"/>
      <c r="C2952" s="1"/>
      <c r="D2952" s="1"/>
    </row>
    <row r="2953" spans="1:4" x14ac:dyDescent="0.25">
      <c r="A2953" s="1"/>
      <c r="B2953" s="1"/>
      <c r="C2953" s="1"/>
      <c r="D2953" s="1"/>
    </row>
    <row r="2954" spans="1:4" x14ac:dyDescent="0.25">
      <c r="A2954" s="1"/>
      <c r="B2954" s="1"/>
      <c r="C2954" s="1"/>
      <c r="D2954" s="1"/>
    </row>
    <row r="2955" spans="1:4" x14ac:dyDescent="0.25">
      <c r="A2955" s="1"/>
      <c r="B2955" s="1"/>
      <c r="C2955" s="1"/>
      <c r="D2955" s="1"/>
    </row>
    <row r="2956" spans="1:4" x14ac:dyDescent="0.25">
      <c r="A2956" s="1"/>
      <c r="B2956" s="1"/>
      <c r="C2956" s="1"/>
      <c r="D2956" s="1"/>
    </row>
    <row r="2957" spans="1:4" x14ac:dyDescent="0.25">
      <c r="A2957" s="1"/>
      <c r="B2957" s="1"/>
      <c r="C2957" s="1"/>
      <c r="D2957" s="1"/>
    </row>
    <row r="2958" spans="1:4" x14ac:dyDescent="0.25">
      <c r="A2958" s="1"/>
      <c r="B2958" s="1"/>
      <c r="C2958" s="1"/>
      <c r="D2958" s="1"/>
    </row>
    <row r="2959" spans="1:4" x14ac:dyDescent="0.25">
      <c r="A2959" s="1"/>
      <c r="B2959" s="1"/>
      <c r="C2959" s="1"/>
      <c r="D2959" s="1"/>
    </row>
    <row r="2960" spans="1:4" x14ac:dyDescent="0.25">
      <c r="A2960" s="1"/>
      <c r="B2960" s="1"/>
      <c r="C2960" s="1"/>
      <c r="D2960" s="1"/>
    </row>
    <row r="2961" spans="1:4" x14ac:dyDescent="0.25">
      <c r="A2961" s="1"/>
      <c r="B2961" s="1"/>
      <c r="C2961" s="1"/>
      <c r="D2961" s="1"/>
    </row>
    <row r="2962" spans="1:4" x14ac:dyDescent="0.25">
      <c r="A2962" s="1"/>
      <c r="B2962" s="1"/>
      <c r="C2962" s="1"/>
      <c r="D2962" s="1"/>
    </row>
    <row r="2963" spans="1:4" x14ac:dyDescent="0.25">
      <c r="A2963" s="1"/>
      <c r="B2963" s="1"/>
      <c r="C2963" s="1"/>
      <c r="D2963" s="1"/>
    </row>
    <row r="2964" spans="1:4" x14ac:dyDescent="0.25">
      <c r="A2964" s="1"/>
      <c r="B2964" s="1"/>
      <c r="C2964" s="1"/>
      <c r="D2964" s="1"/>
    </row>
    <row r="2965" spans="1:4" x14ac:dyDescent="0.25">
      <c r="A2965" s="1"/>
      <c r="B2965" s="1"/>
      <c r="C2965" s="1"/>
      <c r="D2965" s="1"/>
    </row>
    <row r="2966" spans="1:4" x14ac:dyDescent="0.25">
      <c r="A2966" s="1"/>
      <c r="B2966" s="1"/>
      <c r="C2966" s="1"/>
      <c r="D2966" s="1"/>
    </row>
    <row r="2967" spans="1:4" x14ac:dyDescent="0.25">
      <c r="A2967" s="1"/>
      <c r="B2967" s="1"/>
      <c r="C2967" s="1"/>
      <c r="D2967" s="1"/>
    </row>
    <row r="2968" spans="1:4" x14ac:dyDescent="0.25">
      <c r="A2968" s="1"/>
      <c r="B2968" s="1"/>
      <c r="C2968" s="1"/>
      <c r="D2968" s="1"/>
    </row>
    <row r="2969" spans="1:4" x14ac:dyDescent="0.25">
      <c r="A2969" s="1"/>
      <c r="B2969" s="1"/>
      <c r="C2969" s="1"/>
      <c r="D2969" s="1"/>
    </row>
    <row r="2970" spans="1:4" x14ac:dyDescent="0.25">
      <c r="A2970" s="1"/>
      <c r="B2970" s="1"/>
      <c r="C2970" s="1"/>
      <c r="D2970" s="1"/>
    </row>
    <row r="2971" spans="1:4" x14ac:dyDescent="0.25">
      <c r="A2971" s="1"/>
      <c r="B2971" s="1"/>
      <c r="C2971" s="1"/>
      <c r="D2971" s="1"/>
    </row>
    <row r="2972" spans="1:4" x14ac:dyDescent="0.25">
      <c r="A2972" s="1"/>
      <c r="B2972" s="1"/>
      <c r="C2972" s="1"/>
      <c r="D2972" s="1"/>
    </row>
    <row r="2973" spans="1:4" x14ac:dyDescent="0.25">
      <c r="A2973" s="1"/>
      <c r="B2973" s="1"/>
      <c r="C2973" s="1"/>
      <c r="D2973" s="1"/>
    </row>
    <row r="2974" spans="1:4" x14ac:dyDescent="0.25">
      <c r="A2974" s="1"/>
      <c r="B2974" s="1"/>
      <c r="C2974" s="1"/>
      <c r="D2974" s="1"/>
    </row>
    <row r="2975" spans="1:4" x14ac:dyDescent="0.25">
      <c r="A2975" s="1"/>
      <c r="B2975" s="1"/>
      <c r="C2975" s="1"/>
      <c r="D2975" s="1"/>
    </row>
    <row r="2976" spans="1:4" x14ac:dyDescent="0.25">
      <c r="A2976" s="1"/>
      <c r="B2976" s="1"/>
      <c r="C2976" s="1"/>
      <c r="D2976" s="1"/>
    </row>
    <row r="2977" spans="1:4" x14ac:dyDescent="0.25">
      <c r="A2977" s="1"/>
      <c r="B2977" s="1"/>
      <c r="C2977" s="1"/>
      <c r="D2977" s="1"/>
    </row>
    <row r="2978" spans="1:4" x14ac:dyDescent="0.25">
      <c r="A2978" s="1"/>
      <c r="B2978" s="1"/>
      <c r="C2978" s="1"/>
      <c r="D2978" s="1"/>
    </row>
    <row r="2979" spans="1:4" x14ac:dyDescent="0.25">
      <c r="A2979" s="1"/>
      <c r="B2979" s="1"/>
      <c r="C2979" s="1"/>
      <c r="D2979" s="1"/>
    </row>
    <row r="2980" spans="1:4" x14ac:dyDescent="0.25">
      <c r="A2980" s="1"/>
      <c r="B2980" s="1"/>
      <c r="C2980" s="1"/>
      <c r="D2980" s="1"/>
    </row>
    <row r="2981" spans="1:4" x14ac:dyDescent="0.25">
      <c r="A2981" s="1"/>
      <c r="B2981" s="1"/>
      <c r="C2981" s="1"/>
      <c r="D2981" s="1"/>
    </row>
    <row r="2982" spans="1:4" x14ac:dyDescent="0.25">
      <c r="A2982" s="1"/>
      <c r="B2982" s="1"/>
      <c r="C2982" s="1"/>
      <c r="D2982" s="1"/>
    </row>
    <row r="2983" spans="1:4" x14ac:dyDescent="0.25">
      <c r="A2983" s="1"/>
      <c r="B2983" s="1"/>
      <c r="C2983" s="1"/>
      <c r="D2983" s="1"/>
    </row>
    <row r="2984" spans="1:4" x14ac:dyDescent="0.25">
      <c r="A2984" s="1"/>
      <c r="B2984" s="1"/>
      <c r="C2984" s="1"/>
      <c r="D2984" s="1"/>
    </row>
    <row r="2985" spans="1:4" x14ac:dyDescent="0.25">
      <c r="A2985" s="1"/>
      <c r="B2985" s="1"/>
      <c r="C2985" s="1"/>
      <c r="D2985" s="1"/>
    </row>
    <row r="2986" spans="1:4" x14ac:dyDescent="0.25">
      <c r="A2986" s="1"/>
      <c r="B2986" s="1"/>
      <c r="C2986" s="1"/>
      <c r="D2986" s="1"/>
    </row>
    <row r="2987" spans="1:4" x14ac:dyDescent="0.25">
      <c r="A2987" s="1"/>
      <c r="B2987" s="1"/>
      <c r="C2987" s="1"/>
      <c r="D2987" s="1"/>
    </row>
    <row r="2988" spans="1:4" x14ac:dyDescent="0.25">
      <c r="A2988" s="1"/>
      <c r="B2988" s="1"/>
      <c r="C2988" s="1"/>
      <c r="D2988" s="1"/>
    </row>
    <row r="2989" spans="1:4" x14ac:dyDescent="0.25">
      <c r="A2989" s="1"/>
      <c r="B2989" s="1"/>
      <c r="C2989" s="1"/>
      <c r="D2989" s="1"/>
    </row>
    <row r="2990" spans="1:4" x14ac:dyDescent="0.25">
      <c r="A2990" s="1"/>
      <c r="B2990" s="1"/>
      <c r="C2990" s="1"/>
      <c r="D2990" s="1"/>
    </row>
    <row r="2991" spans="1:4" x14ac:dyDescent="0.25">
      <c r="A2991" s="1"/>
      <c r="B2991" s="1"/>
      <c r="C2991" s="1"/>
      <c r="D2991" s="1"/>
    </row>
    <row r="2992" spans="1:4" x14ac:dyDescent="0.25">
      <c r="A2992" s="1"/>
      <c r="B2992" s="1"/>
      <c r="C2992" s="1"/>
      <c r="D2992" s="1"/>
    </row>
    <row r="2993" spans="1:4" x14ac:dyDescent="0.25">
      <c r="A2993" s="1"/>
      <c r="B2993" s="1"/>
      <c r="C2993" s="1"/>
      <c r="D2993" s="1"/>
    </row>
    <row r="2994" spans="1:4" x14ac:dyDescent="0.25">
      <c r="A2994" s="1"/>
      <c r="B2994" s="1"/>
      <c r="C2994" s="1"/>
      <c r="D2994" s="1"/>
    </row>
    <row r="2995" spans="1:4" x14ac:dyDescent="0.25">
      <c r="A2995" s="1"/>
      <c r="B2995" s="1"/>
      <c r="C2995" s="1"/>
      <c r="D2995" s="1"/>
    </row>
    <row r="2996" spans="1:4" x14ac:dyDescent="0.25">
      <c r="A2996" s="1"/>
      <c r="B2996" s="1"/>
      <c r="C2996" s="1"/>
      <c r="D2996" s="1"/>
    </row>
    <row r="2997" spans="1:4" x14ac:dyDescent="0.25">
      <c r="A2997" s="1"/>
      <c r="B2997" s="1"/>
      <c r="C2997" s="1"/>
      <c r="D2997" s="1"/>
    </row>
    <row r="2998" spans="1:4" x14ac:dyDescent="0.25">
      <c r="A2998" s="1"/>
      <c r="B2998" s="1"/>
      <c r="C2998" s="1"/>
      <c r="D2998" s="1"/>
    </row>
    <row r="2999" spans="1:4" x14ac:dyDescent="0.25">
      <c r="A2999" s="1"/>
      <c r="B2999" s="1"/>
      <c r="C2999" s="1"/>
      <c r="D2999" s="1"/>
    </row>
    <row r="3000" spans="1:4" x14ac:dyDescent="0.25">
      <c r="A3000" s="1"/>
      <c r="B3000" s="1"/>
      <c r="C3000" s="1"/>
      <c r="D3000" s="1"/>
    </row>
    <row r="3001" spans="1:4" x14ac:dyDescent="0.25">
      <c r="A3001" s="1"/>
      <c r="B3001" s="1"/>
      <c r="C3001" s="1"/>
      <c r="D3001" s="1"/>
    </row>
    <row r="3002" spans="1:4" x14ac:dyDescent="0.25">
      <c r="A3002" s="1"/>
      <c r="B3002" s="1"/>
      <c r="C3002" s="1"/>
      <c r="D3002" s="1"/>
    </row>
    <row r="3003" spans="1:4" x14ac:dyDescent="0.25">
      <c r="A3003" s="1"/>
      <c r="B3003" s="1"/>
      <c r="C3003" s="1"/>
      <c r="D3003" s="1"/>
    </row>
    <row r="3004" spans="1:4" x14ac:dyDescent="0.25">
      <c r="A3004" s="1"/>
      <c r="B3004" s="1"/>
      <c r="C3004" s="1"/>
      <c r="D3004" s="1"/>
    </row>
    <row r="3005" spans="1:4" x14ac:dyDescent="0.25">
      <c r="A3005" s="1"/>
      <c r="B3005" s="1"/>
      <c r="C3005" s="1"/>
      <c r="D3005" s="1"/>
    </row>
    <row r="3006" spans="1:4" x14ac:dyDescent="0.25">
      <c r="A3006" s="1"/>
      <c r="B3006" s="1"/>
      <c r="C3006" s="1"/>
      <c r="D3006" s="1"/>
    </row>
    <row r="3007" spans="1:4" x14ac:dyDescent="0.25">
      <c r="A3007" s="1"/>
      <c r="B3007" s="1"/>
      <c r="C3007" s="1"/>
      <c r="D3007" s="1"/>
    </row>
    <row r="3008" spans="1:4" x14ac:dyDescent="0.25">
      <c r="A3008" s="1"/>
      <c r="B3008" s="1"/>
      <c r="C3008" s="1"/>
      <c r="D3008" s="1"/>
    </row>
    <row r="3009" spans="1:4" x14ac:dyDescent="0.25">
      <c r="A3009" s="1"/>
      <c r="B3009" s="1"/>
      <c r="C3009" s="1"/>
      <c r="D3009" s="1"/>
    </row>
    <row r="3010" spans="1:4" x14ac:dyDescent="0.25">
      <c r="A3010" s="1"/>
      <c r="B3010" s="1"/>
      <c r="C3010" s="1"/>
      <c r="D3010" s="1"/>
    </row>
    <row r="3011" spans="1:4" x14ac:dyDescent="0.25">
      <c r="A3011" s="1"/>
      <c r="B3011" s="1"/>
      <c r="C3011" s="1"/>
      <c r="D3011" s="1"/>
    </row>
    <row r="3012" spans="1:4" x14ac:dyDescent="0.25">
      <c r="A3012" s="1"/>
      <c r="B3012" s="1"/>
      <c r="C3012" s="1"/>
      <c r="D3012" s="1"/>
    </row>
    <row r="3013" spans="1:4" x14ac:dyDescent="0.25">
      <c r="A3013" s="1"/>
      <c r="B3013" s="1"/>
      <c r="C3013" s="1"/>
      <c r="D3013" s="1"/>
    </row>
    <row r="3014" spans="1:4" x14ac:dyDescent="0.25">
      <c r="A3014" s="1"/>
      <c r="B3014" s="1"/>
      <c r="C3014" s="1"/>
      <c r="D3014" s="1"/>
    </row>
    <row r="3015" spans="1:4" x14ac:dyDescent="0.25">
      <c r="A3015" s="1"/>
      <c r="B3015" s="1"/>
      <c r="C3015" s="1"/>
      <c r="D3015" s="1"/>
    </row>
    <row r="3016" spans="1:4" x14ac:dyDescent="0.25">
      <c r="A3016" s="1"/>
      <c r="B3016" s="1"/>
      <c r="C3016" s="1"/>
      <c r="D3016" s="1"/>
    </row>
    <row r="3017" spans="1:4" x14ac:dyDescent="0.25">
      <c r="A3017" s="1"/>
      <c r="B3017" s="1"/>
      <c r="C3017" s="1"/>
      <c r="D3017" s="1"/>
    </row>
    <row r="3018" spans="1:4" x14ac:dyDescent="0.25">
      <c r="A3018" s="1"/>
      <c r="B3018" s="1"/>
      <c r="C3018" s="1"/>
      <c r="D3018" s="1"/>
    </row>
    <row r="3019" spans="1:4" x14ac:dyDescent="0.25">
      <c r="A3019" s="1"/>
      <c r="B3019" s="1"/>
      <c r="C3019" s="1"/>
      <c r="D3019" s="1"/>
    </row>
    <row r="3020" spans="1:4" x14ac:dyDescent="0.25">
      <c r="A3020" s="1"/>
      <c r="B3020" s="1"/>
      <c r="C3020" s="1"/>
      <c r="D3020" s="1"/>
    </row>
    <row r="3021" spans="1:4" x14ac:dyDescent="0.25">
      <c r="A3021" s="1"/>
      <c r="B3021" s="1"/>
      <c r="C3021" s="1"/>
      <c r="D3021" s="1"/>
    </row>
    <row r="3022" spans="1:4" x14ac:dyDescent="0.25">
      <c r="A3022" s="1"/>
      <c r="B3022" s="1"/>
      <c r="C3022" s="1"/>
      <c r="D3022" s="1"/>
    </row>
    <row r="3023" spans="1:4" x14ac:dyDescent="0.25">
      <c r="A3023" s="1"/>
      <c r="B3023" s="1"/>
      <c r="C3023" s="1"/>
      <c r="D3023" s="1"/>
    </row>
    <row r="3024" spans="1:4" x14ac:dyDescent="0.25">
      <c r="A3024" s="1"/>
      <c r="B3024" s="1"/>
      <c r="C3024" s="1"/>
      <c r="D3024" s="1"/>
    </row>
    <row r="3025" spans="1:4" x14ac:dyDescent="0.25">
      <c r="A3025" s="1"/>
      <c r="B3025" s="1"/>
      <c r="C3025" s="1"/>
      <c r="D3025" s="1"/>
    </row>
    <row r="3026" spans="1:4" x14ac:dyDescent="0.25">
      <c r="A3026" s="1"/>
      <c r="B3026" s="1"/>
      <c r="C3026" s="1"/>
      <c r="D3026" s="1"/>
    </row>
    <row r="3027" spans="1:4" x14ac:dyDescent="0.25">
      <c r="A3027" s="1"/>
      <c r="B3027" s="1"/>
      <c r="C3027" s="1"/>
      <c r="D3027" s="1"/>
    </row>
    <row r="3028" spans="1:4" x14ac:dyDescent="0.25">
      <c r="A3028" s="1"/>
      <c r="B3028" s="1"/>
      <c r="C3028" s="1"/>
      <c r="D3028" s="1"/>
    </row>
    <row r="3029" spans="1:4" x14ac:dyDescent="0.25">
      <c r="A3029" s="1"/>
      <c r="B3029" s="1"/>
      <c r="C3029" s="1"/>
      <c r="D3029" s="1"/>
    </row>
    <row r="3030" spans="1:4" x14ac:dyDescent="0.25">
      <c r="A3030" s="1"/>
      <c r="B3030" s="1"/>
      <c r="C3030" s="1"/>
      <c r="D3030" s="1"/>
    </row>
    <row r="3031" spans="1:4" x14ac:dyDescent="0.25">
      <c r="A3031" s="1"/>
      <c r="B3031" s="1"/>
      <c r="C3031" s="1"/>
      <c r="D3031" s="1"/>
    </row>
    <row r="3032" spans="1:4" x14ac:dyDescent="0.25">
      <c r="A3032" s="1"/>
      <c r="B3032" s="1"/>
      <c r="C3032" s="1"/>
      <c r="D3032" s="1"/>
    </row>
    <row r="3033" spans="1:4" x14ac:dyDescent="0.25">
      <c r="A3033" s="1"/>
      <c r="B3033" s="1"/>
      <c r="C3033" s="1"/>
      <c r="D3033" s="1"/>
    </row>
    <row r="3034" spans="1:4" x14ac:dyDescent="0.25">
      <c r="A3034" s="1"/>
      <c r="B3034" s="1"/>
      <c r="C3034" s="1"/>
      <c r="D3034" s="1"/>
    </row>
    <row r="3035" spans="1:4" x14ac:dyDescent="0.25">
      <c r="A3035" s="1"/>
      <c r="B3035" s="1"/>
      <c r="C3035" s="1"/>
      <c r="D3035" s="1"/>
    </row>
    <row r="3036" spans="1:4" x14ac:dyDescent="0.25">
      <c r="A3036" s="1"/>
      <c r="B3036" s="1"/>
      <c r="C3036" s="1"/>
      <c r="D3036" s="1"/>
    </row>
    <row r="3037" spans="1:4" x14ac:dyDescent="0.25">
      <c r="A3037" s="1"/>
      <c r="B3037" s="1"/>
      <c r="C3037" s="1"/>
      <c r="D3037" s="1"/>
    </row>
    <row r="3038" spans="1:4" x14ac:dyDescent="0.25">
      <c r="A3038" s="1"/>
      <c r="B3038" s="1"/>
      <c r="C3038" s="1"/>
      <c r="D3038" s="1"/>
    </row>
    <row r="3039" spans="1:4" x14ac:dyDescent="0.25">
      <c r="A3039" s="1"/>
      <c r="B3039" s="1"/>
      <c r="C3039" s="1"/>
      <c r="D3039" s="1"/>
    </row>
    <row r="3040" spans="1:4" x14ac:dyDescent="0.25">
      <c r="A3040" s="1"/>
      <c r="B3040" s="1"/>
      <c r="C3040" s="1"/>
      <c r="D3040" s="1"/>
    </row>
    <row r="3041" spans="1:4" x14ac:dyDescent="0.25">
      <c r="A3041" s="1"/>
      <c r="B3041" s="1"/>
      <c r="C3041" s="1"/>
      <c r="D3041" s="1"/>
    </row>
    <row r="3042" spans="1:4" x14ac:dyDescent="0.25">
      <c r="A3042" s="1"/>
      <c r="B3042" s="1"/>
      <c r="C3042" s="1"/>
      <c r="D3042" s="1"/>
    </row>
    <row r="3043" spans="1:4" x14ac:dyDescent="0.25">
      <c r="A3043" s="1"/>
      <c r="B3043" s="1"/>
      <c r="C3043" s="1"/>
      <c r="D3043" s="1"/>
    </row>
    <row r="3044" spans="1:4" x14ac:dyDescent="0.25">
      <c r="A3044" s="1"/>
      <c r="B3044" s="1"/>
      <c r="C3044" s="1"/>
      <c r="D3044" s="1"/>
    </row>
    <row r="3045" spans="1:4" x14ac:dyDescent="0.25">
      <c r="A3045" s="1"/>
      <c r="B3045" s="1"/>
      <c r="C3045" s="1"/>
      <c r="D3045" s="1"/>
    </row>
    <row r="3046" spans="1:4" x14ac:dyDescent="0.25">
      <c r="A3046" s="1"/>
      <c r="B3046" s="1"/>
      <c r="C3046" s="1"/>
      <c r="D3046" s="1"/>
    </row>
    <row r="3047" spans="1:4" x14ac:dyDescent="0.25">
      <c r="A3047" s="1"/>
      <c r="B3047" s="1"/>
      <c r="C3047" s="1"/>
      <c r="D3047" s="1"/>
    </row>
    <row r="3048" spans="1:4" x14ac:dyDescent="0.25">
      <c r="A3048" s="1"/>
      <c r="B3048" s="1"/>
      <c r="C3048" s="1"/>
      <c r="D3048" s="1"/>
    </row>
    <row r="3049" spans="1:4" x14ac:dyDescent="0.25">
      <c r="A3049" s="1"/>
      <c r="B3049" s="1"/>
      <c r="C3049" s="1"/>
      <c r="D3049" s="1"/>
    </row>
    <row r="3050" spans="1:4" x14ac:dyDescent="0.25">
      <c r="A3050" s="1"/>
      <c r="B3050" s="1"/>
      <c r="C3050" s="1"/>
      <c r="D3050" s="1"/>
    </row>
    <row r="3051" spans="1:4" x14ac:dyDescent="0.25">
      <c r="A3051" s="1"/>
      <c r="B3051" s="1"/>
      <c r="C3051" s="1"/>
      <c r="D3051" s="1"/>
    </row>
    <row r="3052" spans="1:4" x14ac:dyDescent="0.25">
      <c r="A3052" s="1"/>
      <c r="B3052" s="1"/>
      <c r="C3052" s="1"/>
      <c r="D3052" s="1"/>
    </row>
    <row r="3053" spans="1:4" x14ac:dyDescent="0.25">
      <c r="A3053" s="1"/>
      <c r="B3053" s="1"/>
      <c r="C3053" s="1"/>
      <c r="D3053" s="1"/>
    </row>
    <row r="3054" spans="1:4" x14ac:dyDescent="0.25">
      <c r="A3054" s="1"/>
      <c r="B3054" s="1"/>
      <c r="C3054" s="1"/>
      <c r="D3054" s="1"/>
    </row>
    <row r="3055" spans="1:4" x14ac:dyDescent="0.25">
      <c r="A3055" s="1"/>
      <c r="B3055" s="1"/>
      <c r="C3055" s="1"/>
      <c r="D3055" s="1"/>
    </row>
    <row r="3056" spans="1:4" x14ac:dyDescent="0.25">
      <c r="A3056" s="1"/>
      <c r="B3056" s="1"/>
      <c r="C3056" s="1"/>
      <c r="D3056" s="1"/>
    </row>
    <row r="3057" spans="1:4" x14ac:dyDescent="0.25">
      <c r="A3057" s="1"/>
      <c r="B3057" s="1"/>
      <c r="C3057" s="1"/>
      <c r="D3057" s="1"/>
    </row>
    <row r="3058" spans="1:4" x14ac:dyDescent="0.25">
      <c r="A3058" s="1"/>
      <c r="B3058" s="1"/>
      <c r="C3058" s="1"/>
      <c r="D3058" s="1"/>
    </row>
    <row r="3059" spans="1:4" x14ac:dyDescent="0.25">
      <c r="A3059" s="1"/>
      <c r="B3059" s="1"/>
      <c r="C3059" s="1"/>
      <c r="D3059" s="1"/>
    </row>
    <row r="3060" spans="1:4" x14ac:dyDescent="0.25">
      <c r="A3060" s="1"/>
      <c r="B3060" s="1"/>
      <c r="C3060" s="1"/>
      <c r="D3060" s="1"/>
    </row>
    <row r="3061" spans="1:4" x14ac:dyDescent="0.25">
      <c r="A3061" s="1"/>
      <c r="B3061" s="1"/>
      <c r="C3061" s="1"/>
      <c r="D3061" s="1"/>
    </row>
    <row r="3062" spans="1:4" x14ac:dyDescent="0.25">
      <c r="A3062" s="1"/>
      <c r="B3062" s="1"/>
      <c r="C3062" s="1"/>
      <c r="D3062" s="1"/>
    </row>
    <row r="3063" spans="1:4" x14ac:dyDescent="0.25">
      <c r="A3063" s="1"/>
      <c r="B3063" s="1"/>
      <c r="C3063" s="1"/>
      <c r="D3063" s="1"/>
    </row>
    <row r="3064" spans="1:4" x14ac:dyDescent="0.25">
      <c r="A3064" s="1"/>
      <c r="B3064" s="1"/>
      <c r="C3064" s="1"/>
      <c r="D3064" s="1"/>
    </row>
    <row r="3065" spans="1:4" x14ac:dyDescent="0.25">
      <c r="A3065" s="1"/>
      <c r="B3065" s="1"/>
      <c r="C3065" s="1"/>
      <c r="D3065" s="1"/>
    </row>
    <row r="3066" spans="1:4" x14ac:dyDescent="0.25">
      <c r="A3066" s="1"/>
      <c r="B3066" s="1"/>
      <c r="C3066" s="1"/>
      <c r="D3066" s="1"/>
    </row>
    <row r="3067" spans="1:4" x14ac:dyDescent="0.25">
      <c r="A3067" s="1"/>
      <c r="B3067" s="1"/>
      <c r="C3067" s="1"/>
      <c r="D3067" s="1"/>
    </row>
    <row r="3068" spans="1:4" x14ac:dyDescent="0.25">
      <c r="A3068" s="1"/>
      <c r="B3068" s="1"/>
      <c r="C3068" s="1"/>
      <c r="D3068" s="1"/>
    </row>
    <row r="3069" spans="1:4" x14ac:dyDescent="0.25">
      <c r="A3069" s="1"/>
      <c r="B3069" s="1"/>
      <c r="C3069" s="1"/>
      <c r="D3069" s="1"/>
    </row>
    <row r="3070" spans="1:4" x14ac:dyDescent="0.25">
      <c r="A3070" s="1"/>
      <c r="B3070" s="1"/>
      <c r="C3070" s="1"/>
      <c r="D3070" s="1"/>
    </row>
    <row r="3071" spans="1:4" x14ac:dyDescent="0.25">
      <c r="A3071" s="1"/>
      <c r="B3071" s="1"/>
      <c r="C3071" s="1"/>
      <c r="D3071" s="1"/>
    </row>
    <row r="3072" spans="1:4" x14ac:dyDescent="0.25">
      <c r="A3072" s="1"/>
      <c r="B3072" s="1"/>
      <c r="C3072" s="1"/>
      <c r="D3072" s="1"/>
    </row>
    <row r="3073" spans="1:4" x14ac:dyDescent="0.25">
      <c r="A3073" s="1"/>
      <c r="B3073" s="1"/>
      <c r="C3073" s="1"/>
      <c r="D3073" s="1"/>
    </row>
    <row r="3074" spans="1:4" x14ac:dyDescent="0.25">
      <c r="A3074" s="1"/>
      <c r="B3074" s="1"/>
      <c r="C3074" s="1"/>
      <c r="D3074" s="1"/>
    </row>
    <row r="3075" spans="1:4" x14ac:dyDescent="0.25">
      <c r="A3075" s="1"/>
      <c r="B3075" s="1"/>
      <c r="C3075" s="1"/>
      <c r="D3075" s="1"/>
    </row>
    <row r="3076" spans="1:4" x14ac:dyDescent="0.25">
      <c r="A3076" s="1"/>
      <c r="B3076" s="1"/>
      <c r="C3076" s="1"/>
      <c r="D3076" s="1"/>
    </row>
    <row r="3077" spans="1:4" x14ac:dyDescent="0.25">
      <c r="A3077" s="1"/>
      <c r="B3077" s="1"/>
      <c r="C3077" s="1"/>
      <c r="D3077" s="1"/>
    </row>
    <row r="3078" spans="1:4" x14ac:dyDescent="0.25">
      <c r="A3078" s="1"/>
      <c r="B3078" s="1"/>
      <c r="C3078" s="1"/>
      <c r="D3078" s="1"/>
    </row>
    <row r="3079" spans="1:4" x14ac:dyDescent="0.25">
      <c r="A3079" s="1"/>
      <c r="B3079" s="1"/>
      <c r="C3079" s="1"/>
      <c r="D3079" s="1"/>
    </row>
    <row r="3080" spans="1:4" x14ac:dyDescent="0.25">
      <c r="A3080" s="1"/>
      <c r="B3080" s="1"/>
      <c r="C3080" s="1"/>
      <c r="D3080" s="1"/>
    </row>
    <row r="3081" spans="1:4" x14ac:dyDescent="0.25">
      <c r="A3081" s="1"/>
      <c r="B3081" s="1"/>
      <c r="C3081" s="1"/>
      <c r="D3081" s="1"/>
    </row>
    <row r="3082" spans="1:4" x14ac:dyDescent="0.25">
      <c r="A3082" s="1"/>
      <c r="B3082" s="1"/>
      <c r="C3082" s="1"/>
      <c r="D3082" s="1"/>
    </row>
    <row r="3083" spans="1:4" x14ac:dyDescent="0.25">
      <c r="A3083" s="1"/>
      <c r="B3083" s="1"/>
      <c r="C3083" s="1"/>
      <c r="D3083" s="1"/>
    </row>
    <row r="3084" spans="1:4" x14ac:dyDescent="0.25">
      <c r="A3084" s="1"/>
      <c r="B3084" s="1"/>
      <c r="C3084" s="1"/>
      <c r="D3084" s="1"/>
    </row>
    <row r="3085" spans="1:4" x14ac:dyDescent="0.25">
      <c r="A3085" s="1"/>
      <c r="B3085" s="1"/>
      <c r="C3085" s="1"/>
      <c r="D3085" s="1"/>
    </row>
    <row r="3086" spans="1:4" x14ac:dyDescent="0.25">
      <c r="A3086" s="1"/>
      <c r="B3086" s="1"/>
      <c r="C3086" s="1"/>
      <c r="D3086" s="1"/>
    </row>
    <row r="3087" spans="1:4" x14ac:dyDescent="0.25">
      <c r="A3087" s="1"/>
      <c r="B3087" s="1"/>
      <c r="C3087" s="1"/>
      <c r="D3087" s="1"/>
    </row>
    <row r="3088" spans="1:4" x14ac:dyDescent="0.25">
      <c r="A3088" s="1"/>
      <c r="B3088" s="1"/>
      <c r="C3088" s="1"/>
      <c r="D3088" s="1"/>
    </row>
    <row r="3089" spans="1:4" x14ac:dyDescent="0.25">
      <c r="A3089" s="1"/>
      <c r="B3089" s="1"/>
      <c r="C3089" s="1"/>
      <c r="D3089" s="1"/>
    </row>
    <row r="3090" spans="1:4" x14ac:dyDescent="0.25">
      <c r="A3090" s="1"/>
      <c r="B3090" s="1"/>
      <c r="C3090" s="1"/>
      <c r="D3090" s="1"/>
    </row>
    <row r="3091" spans="1:4" x14ac:dyDescent="0.25">
      <c r="A3091" s="1"/>
      <c r="B3091" s="1"/>
      <c r="C3091" s="1"/>
      <c r="D3091" s="1"/>
    </row>
    <row r="3092" spans="1:4" x14ac:dyDescent="0.25">
      <c r="A3092" s="1"/>
      <c r="B3092" s="1"/>
      <c r="C3092" s="1"/>
      <c r="D3092" s="1"/>
    </row>
    <row r="3093" spans="1:4" x14ac:dyDescent="0.25">
      <c r="A3093" s="1"/>
      <c r="B3093" s="1"/>
      <c r="C3093" s="1"/>
      <c r="D3093" s="1"/>
    </row>
    <row r="3094" spans="1:4" x14ac:dyDescent="0.25">
      <c r="A3094" s="1"/>
      <c r="B3094" s="1"/>
      <c r="C3094" s="1"/>
      <c r="D3094" s="1"/>
    </row>
    <row r="3095" spans="1:4" x14ac:dyDescent="0.25">
      <c r="A3095" s="1"/>
      <c r="B3095" s="1"/>
      <c r="C3095" s="1"/>
      <c r="D3095" s="1"/>
    </row>
    <row r="3096" spans="1:4" x14ac:dyDescent="0.25">
      <c r="A3096" s="1"/>
      <c r="B3096" s="1"/>
      <c r="C3096" s="1"/>
      <c r="D3096" s="1"/>
    </row>
    <row r="3097" spans="1:4" x14ac:dyDescent="0.25">
      <c r="A3097" s="1"/>
      <c r="B3097" s="1"/>
      <c r="C3097" s="1"/>
      <c r="D3097" s="1"/>
    </row>
    <row r="3098" spans="1:4" x14ac:dyDescent="0.25">
      <c r="A3098" s="1"/>
      <c r="B3098" s="1"/>
      <c r="C3098" s="1"/>
      <c r="D3098" s="1"/>
    </row>
    <row r="3099" spans="1:4" x14ac:dyDescent="0.25">
      <c r="A3099" s="1"/>
      <c r="B3099" s="1"/>
      <c r="C3099" s="1"/>
      <c r="D3099" s="1"/>
    </row>
    <row r="3100" spans="1:4" x14ac:dyDescent="0.25">
      <c r="A3100" s="1"/>
      <c r="B3100" s="1"/>
      <c r="C3100" s="1"/>
      <c r="D3100" s="1"/>
    </row>
    <row r="3101" spans="1:4" x14ac:dyDescent="0.25">
      <c r="A3101" s="1"/>
      <c r="B3101" s="1"/>
      <c r="C3101" s="1"/>
      <c r="D3101" s="1"/>
    </row>
    <row r="3102" spans="1:4" x14ac:dyDescent="0.25">
      <c r="A3102" s="1"/>
      <c r="B3102" s="1"/>
      <c r="C3102" s="1"/>
      <c r="D3102" s="1"/>
    </row>
    <row r="3103" spans="1:4" x14ac:dyDescent="0.25">
      <c r="A3103" s="1"/>
      <c r="B3103" s="1"/>
      <c r="C3103" s="1"/>
      <c r="D3103" s="1"/>
    </row>
    <row r="3104" spans="1:4" x14ac:dyDescent="0.25">
      <c r="A3104" s="1"/>
      <c r="B3104" s="1"/>
      <c r="C3104" s="1"/>
      <c r="D3104" s="1"/>
    </row>
    <row r="3105" spans="1:4" x14ac:dyDescent="0.25">
      <c r="A3105" s="1"/>
      <c r="B3105" s="1"/>
      <c r="C3105" s="1"/>
      <c r="D3105" s="1"/>
    </row>
    <row r="3106" spans="1:4" x14ac:dyDescent="0.25">
      <c r="A3106" s="1"/>
      <c r="B3106" s="1"/>
      <c r="C3106" s="1"/>
      <c r="D3106" s="1"/>
    </row>
    <row r="3107" spans="1:4" x14ac:dyDescent="0.25">
      <c r="A3107" s="1"/>
      <c r="B3107" s="1"/>
      <c r="C3107" s="1"/>
      <c r="D3107" s="1"/>
    </row>
    <row r="3108" spans="1:4" x14ac:dyDescent="0.25">
      <c r="A3108" s="1"/>
      <c r="B3108" s="1"/>
      <c r="C3108" s="1"/>
      <c r="D3108" s="1"/>
    </row>
    <row r="3109" spans="1:4" x14ac:dyDescent="0.25">
      <c r="A3109" s="1"/>
      <c r="B3109" s="1"/>
      <c r="C3109" s="1"/>
      <c r="D3109" s="1"/>
    </row>
    <row r="3110" spans="1:4" x14ac:dyDescent="0.25">
      <c r="A3110" s="1"/>
      <c r="B3110" s="1"/>
      <c r="C3110" s="1"/>
      <c r="D3110" s="1"/>
    </row>
    <row r="3111" spans="1:4" x14ac:dyDescent="0.25">
      <c r="A3111" s="1"/>
      <c r="B3111" s="1"/>
      <c r="C3111" s="1"/>
      <c r="D3111" s="1"/>
    </row>
    <row r="3112" spans="1:4" x14ac:dyDescent="0.25">
      <c r="A3112" s="1"/>
      <c r="B3112" s="1"/>
      <c r="C3112" s="1"/>
      <c r="D3112" s="1"/>
    </row>
    <row r="3113" spans="1:4" x14ac:dyDescent="0.25">
      <c r="A3113" s="1"/>
      <c r="B3113" s="1"/>
      <c r="C3113" s="1"/>
      <c r="D3113" s="1"/>
    </row>
    <row r="3114" spans="1:4" x14ac:dyDescent="0.25">
      <c r="A3114" s="1"/>
      <c r="B3114" s="1"/>
      <c r="C3114" s="1"/>
      <c r="D3114" s="1"/>
    </row>
    <row r="3115" spans="1:4" x14ac:dyDescent="0.25">
      <c r="A3115" s="1"/>
      <c r="B3115" s="1"/>
      <c r="C3115" s="1"/>
      <c r="D3115" s="1"/>
    </row>
    <row r="3116" spans="1:4" x14ac:dyDescent="0.25">
      <c r="A3116" s="1"/>
      <c r="B3116" s="1"/>
      <c r="C3116" s="1"/>
      <c r="D3116" s="1"/>
    </row>
    <row r="3117" spans="1:4" x14ac:dyDescent="0.25">
      <c r="A3117" s="1"/>
      <c r="B3117" s="1"/>
      <c r="C3117" s="1"/>
      <c r="D3117" s="1"/>
    </row>
    <row r="3118" spans="1:4" x14ac:dyDescent="0.25">
      <c r="A3118" s="1"/>
      <c r="B3118" s="1"/>
      <c r="C3118" s="1"/>
      <c r="D3118" s="1"/>
    </row>
    <row r="3119" spans="1:4" x14ac:dyDescent="0.25">
      <c r="A3119" s="1"/>
      <c r="B3119" s="1"/>
      <c r="C3119" s="1"/>
      <c r="D3119" s="1"/>
    </row>
    <row r="3120" spans="1:4" x14ac:dyDescent="0.25">
      <c r="A3120" s="1"/>
      <c r="B3120" s="1"/>
      <c r="C3120" s="1"/>
      <c r="D3120" s="1"/>
    </row>
    <row r="3121" spans="1:4" x14ac:dyDescent="0.25">
      <c r="A3121" s="1"/>
      <c r="B3121" s="1"/>
      <c r="C3121" s="1"/>
      <c r="D3121" s="1"/>
    </row>
    <row r="3122" spans="1:4" x14ac:dyDescent="0.25">
      <c r="A3122" s="1"/>
      <c r="B3122" s="1"/>
      <c r="C3122" s="1"/>
      <c r="D3122" s="1"/>
    </row>
    <row r="3123" spans="1:4" x14ac:dyDescent="0.25">
      <c r="A3123" s="1"/>
      <c r="B3123" s="1"/>
      <c r="C3123" s="1"/>
      <c r="D3123" s="1"/>
    </row>
    <row r="3124" spans="1:4" x14ac:dyDescent="0.25">
      <c r="A3124" s="1"/>
      <c r="B3124" s="1"/>
      <c r="C3124" s="1"/>
      <c r="D3124" s="1"/>
    </row>
    <row r="3125" spans="1:4" x14ac:dyDescent="0.25">
      <c r="A3125" s="1"/>
      <c r="B3125" s="1"/>
      <c r="C3125" s="1"/>
      <c r="D3125" s="1"/>
    </row>
    <row r="3126" spans="1:4" x14ac:dyDescent="0.25">
      <c r="A3126" s="1"/>
      <c r="B3126" s="1"/>
      <c r="C3126" s="1"/>
      <c r="D3126" s="1"/>
    </row>
    <row r="3127" spans="1:4" x14ac:dyDescent="0.25">
      <c r="A3127" s="1"/>
      <c r="B3127" s="1"/>
      <c r="C3127" s="1"/>
      <c r="D3127" s="1"/>
    </row>
    <row r="3128" spans="1:4" x14ac:dyDescent="0.25">
      <c r="A3128" s="1"/>
      <c r="B3128" s="1"/>
      <c r="C3128" s="1"/>
      <c r="D3128" s="1"/>
    </row>
    <row r="3129" spans="1:4" x14ac:dyDescent="0.25">
      <c r="A3129" s="1"/>
      <c r="B3129" s="1"/>
      <c r="C3129" s="1"/>
      <c r="D3129" s="1"/>
    </row>
    <row r="3130" spans="1:4" x14ac:dyDescent="0.25">
      <c r="A3130" s="1"/>
      <c r="B3130" s="1"/>
      <c r="C3130" s="1"/>
      <c r="D3130" s="1"/>
    </row>
    <row r="3131" spans="1:4" x14ac:dyDescent="0.25">
      <c r="A3131" s="1"/>
      <c r="B3131" s="1"/>
      <c r="C3131" s="1"/>
      <c r="D3131" s="1"/>
    </row>
    <row r="3132" spans="1:4" x14ac:dyDescent="0.25">
      <c r="A3132" s="1"/>
      <c r="B3132" s="1"/>
      <c r="C3132" s="1"/>
      <c r="D3132" s="1"/>
    </row>
    <row r="3133" spans="1:4" x14ac:dyDescent="0.25">
      <c r="A3133" s="1"/>
      <c r="B3133" s="1"/>
      <c r="C3133" s="1"/>
      <c r="D3133" s="1"/>
    </row>
    <row r="3134" spans="1:4" x14ac:dyDescent="0.25">
      <c r="A3134" s="1"/>
      <c r="B3134" s="1"/>
      <c r="C3134" s="1"/>
      <c r="D3134" s="1"/>
    </row>
    <row r="3135" spans="1:4" x14ac:dyDescent="0.25">
      <c r="A3135" s="1"/>
      <c r="B3135" s="1"/>
      <c r="C3135" s="1"/>
      <c r="D3135" s="1"/>
    </row>
    <row r="3136" spans="1:4" x14ac:dyDescent="0.25">
      <c r="A3136" s="1"/>
      <c r="B3136" s="1"/>
      <c r="C3136" s="1"/>
      <c r="D3136" s="1"/>
    </row>
    <row r="3137" spans="1:4" x14ac:dyDescent="0.25">
      <c r="A3137" s="1"/>
      <c r="B3137" s="1"/>
      <c r="C3137" s="1"/>
      <c r="D3137" s="1"/>
    </row>
    <row r="3138" spans="1:4" x14ac:dyDescent="0.25">
      <c r="A3138" s="1"/>
      <c r="B3138" s="1"/>
      <c r="C3138" s="1"/>
      <c r="D3138" s="1"/>
    </row>
    <row r="3139" spans="1:4" x14ac:dyDescent="0.25">
      <c r="A3139" s="1"/>
      <c r="B3139" s="1"/>
      <c r="C3139" s="1"/>
      <c r="D3139" s="1"/>
    </row>
    <row r="3140" spans="1:4" x14ac:dyDescent="0.25">
      <c r="A3140" s="1"/>
      <c r="B3140" s="1"/>
      <c r="C3140" s="1"/>
      <c r="D3140" s="1"/>
    </row>
    <row r="3141" spans="1:4" x14ac:dyDescent="0.25">
      <c r="A3141" s="1"/>
      <c r="B3141" s="1"/>
      <c r="C3141" s="1"/>
      <c r="D3141" s="1"/>
    </row>
    <row r="3142" spans="1:4" x14ac:dyDescent="0.25">
      <c r="A3142" s="1"/>
      <c r="B3142" s="1"/>
      <c r="C3142" s="1"/>
      <c r="D3142" s="1"/>
    </row>
    <row r="3143" spans="1:4" x14ac:dyDescent="0.25">
      <c r="A3143" s="1"/>
      <c r="B3143" s="1"/>
      <c r="C3143" s="1"/>
      <c r="D3143" s="1"/>
    </row>
    <row r="3144" spans="1:4" x14ac:dyDescent="0.25">
      <c r="A3144" s="1"/>
      <c r="B3144" s="1"/>
      <c r="C3144" s="1"/>
      <c r="D3144" s="1"/>
    </row>
    <row r="3145" spans="1:4" x14ac:dyDescent="0.25">
      <c r="A3145" s="1"/>
      <c r="B3145" s="1"/>
      <c r="C3145" s="1"/>
      <c r="D3145" s="1"/>
    </row>
    <row r="3146" spans="1:4" x14ac:dyDescent="0.25">
      <c r="A3146" s="1"/>
      <c r="B3146" s="1"/>
      <c r="C3146" s="1"/>
      <c r="D3146" s="1"/>
    </row>
    <row r="3147" spans="1:4" x14ac:dyDescent="0.25">
      <c r="A3147" s="1"/>
      <c r="B3147" s="1"/>
      <c r="C3147" s="1"/>
      <c r="D3147" s="1"/>
    </row>
    <row r="3148" spans="1:4" x14ac:dyDescent="0.25">
      <c r="A3148" s="1"/>
      <c r="B3148" s="1"/>
      <c r="C3148" s="1"/>
      <c r="D3148" s="1"/>
    </row>
    <row r="3149" spans="1:4" x14ac:dyDescent="0.25">
      <c r="A3149" s="1"/>
      <c r="B3149" s="1"/>
      <c r="C3149" s="1"/>
      <c r="D3149" s="1"/>
    </row>
    <row r="3150" spans="1:4" x14ac:dyDescent="0.25">
      <c r="A3150" s="1"/>
      <c r="B3150" s="1"/>
      <c r="C3150" s="1"/>
      <c r="D3150" s="1"/>
    </row>
    <row r="3151" spans="1:4" x14ac:dyDescent="0.25">
      <c r="A3151" s="1"/>
      <c r="B3151" s="1"/>
      <c r="C3151" s="1"/>
      <c r="D3151" s="1"/>
    </row>
    <row r="3152" spans="1:4" x14ac:dyDescent="0.25">
      <c r="A3152" s="1"/>
      <c r="B3152" s="1"/>
      <c r="C3152" s="1"/>
      <c r="D3152" s="1"/>
    </row>
    <row r="3153" spans="1:4" x14ac:dyDescent="0.25">
      <c r="A3153" s="1"/>
      <c r="B3153" s="1"/>
      <c r="C3153" s="1"/>
      <c r="D3153" s="1"/>
    </row>
    <row r="3154" spans="1:4" x14ac:dyDescent="0.25">
      <c r="A3154" s="1"/>
      <c r="B3154" s="1"/>
      <c r="C3154" s="1"/>
      <c r="D3154" s="1"/>
    </row>
    <row r="3155" spans="1:4" x14ac:dyDescent="0.25">
      <c r="A3155" s="1"/>
      <c r="B3155" s="1"/>
      <c r="C3155" s="1"/>
      <c r="D3155" s="1"/>
    </row>
    <row r="3156" spans="1:4" x14ac:dyDescent="0.25">
      <c r="A3156" s="1"/>
      <c r="B3156" s="1"/>
      <c r="C3156" s="1"/>
      <c r="D3156" s="1"/>
    </row>
    <row r="3157" spans="1:4" x14ac:dyDescent="0.25">
      <c r="A3157" s="1"/>
      <c r="B3157" s="1"/>
      <c r="C3157" s="1"/>
      <c r="D3157" s="1"/>
    </row>
    <row r="3158" spans="1:4" x14ac:dyDescent="0.25">
      <c r="A3158" s="1"/>
      <c r="B3158" s="1"/>
      <c r="C3158" s="1"/>
      <c r="D3158" s="1"/>
    </row>
    <row r="3159" spans="1:4" x14ac:dyDescent="0.25">
      <c r="A3159" s="1"/>
      <c r="B3159" s="1"/>
      <c r="C3159" s="1"/>
      <c r="D3159" s="1"/>
    </row>
    <row r="3160" spans="1:4" x14ac:dyDescent="0.25">
      <c r="A3160" s="1"/>
      <c r="B3160" s="1"/>
      <c r="C3160" s="1"/>
      <c r="D3160" s="1"/>
    </row>
    <row r="3161" spans="1:4" x14ac:dyDescent="0.25">
      <c r="A3161" s="1"/>
      <c r="B3161" s="1"/>
      <c r="C3161" s="1"/>
      <c r="D3161" s="1"/>
    </row>
    <row r="3162" spans="1:4" x14ac:dyDescent="0.25">
      <c r="A3162" s="1"/>
      <c r="B3162" s="1"/>
      <c r="C3162" s="1"/>
      <c r="D3162" s="1"/>
    </row>
    <row r="3163" spans="1:4" x14ac:dyDescent="0.25">
      <c r="A3163" s="1"/>
      <c r="B3163" s="1"/>
      <c r="C3163" s="1"/>
      <c r="D3163" s="1"/>
    </row>
    <row r="3164" spans="1:4" x14ac:dyDescent="0.25">
      <c r="A3164" s="1"/>
      <c r="B3164" s="1"/>
      <c r="C3164" s="1"/>
      <c r="D3164" s="1"/>
    </row>
    <row r="3165" spans="1:4" x14ac:dyDescent="0.25">
      <c r="A3165" s="1"/>
      <c r="B3165" s="1"/>
      <c r="C3165" s="1"/>
      <c r="D3165" s="1"/>
    </row>
    <row r="3166" spans="1:4" x14ac:dyDescent="0.25">
      <c r="A3166" s="1"/>
      <c r="B3166" s="1"/>
      <c r="C3166" s="1"/>
      <c r="D3166" s="1"/>
    </row>
    <row r="3167" spans="1:4" x14ac:dyDescent="0.25">
      <c r="A3167" s="1"/>
      <c r="B3167" s="1"/>
      <c r="C3167" s="1"/>
      <c r="D3167" s="1"/>
    </row>
    <row r="3168" spans="1:4" x14ac:dyDescent="0.25">
      <c r="A3168" s="1"/>
      <c r="B3168" s="1"/>
      <c r="C3168" s="1"/>
      <c r="D3168" s="1"/>
    </row>
    <row r="3169" spans="1:4" x14ac:dyDescent="0.25">
      <c r="A3169" s="1"/>
      <c r="B3169" s="1"/>
      <c r="C3169" s="1"/>
      <c r="D3169" s="1"/>
    </row>
    <row r="3170" spans="1:4" x14ac:dyDescent="0.25">
      <c r="A3170" s="1"/>
      <c r="B3170" s="1"/>
      <c r="C3170" s="1"/>
      <c r="D3170" s="1"/>
    </row>
    <row r="3171" spans="1:4" x14ac:dyDescent="0.25">
      <c r="A3171" s="1"/>
      <c r="B3171" s="1"/>
      <c r="C3171" s="1"/>
      <c r="D3171" s="1"/>
    </row>
    <row r="3172" spans="1:4" x14ac:dyDescent="0.25">
      <c r="A3172" s="1"/>
      <c r="B3172" s="1"/>
      <c r="C3172" s="1"/>
      <c r="D3172" s="1"/>
    </row>
    <row r="3173" spans="1:4" x14ac:dyDescent="0.25">
      <c r="A3173" s="1"/>
      <c r="B3173" s="1"/>
      <c r="C3173" s="1"/>
      <c r="D3173" s="1"/>
    </row>
    <row r="3174" spans="1:4" x14ac:dyDescent="0.25">
      <c r="A3174" s="1"/>
      <c r="B3174" s="1"/>
      <c r="C3174" s="1"/>
      <c r="D3174" s="1"/>
    </row>
    <row r="3175" spans="1:4" x14ac:dyDescent="0.25">
      <c r="A3175" s="1"/>
      <c r="B3175" s="1"/>
      <c r="C3175" s="1"/>
      <c r="D3175" s="1"/>
    </row>
    <row r="3176" spans="1:4" x14ac:dyDescent="0.25">
      <c r="A3176" s="1"/>
      <c r="B3176" s="1"/>
      <c r="C3176" s="1"/>
      <c r="D3176" s="1"/>
    </row>
    <row r="3177" spans="1:4" x14ac:dyDescent="0.25">
      <c r="A3177" s="1"/>
      <c r="B3177" s="1"/>
      <c r="C3177" s="1"/>
      <c r="D3177" s="1"/>
    </row>
    <row r="3178" spans="1:4" x14ac:dyDescent="0.25">
      <c r="A3178" s="1"/>
      <c r="B3178" s="1"/>
      <c r="C3178" s="1"/>
      <c r="D3178" s="1"/>
    </row>
    <row r="3179" spans="1:4" x14ac:dyDescent="0.25">
      <c r="A3179" s="1"/>
      <c r="B3179" s="1"/>
      <c r="C3179" s="1"/>
      <c r="D3179" s="1"/>
    </row>
    <row r="3180" spans="1:4" x14ac:dyDescent="0.25">
      <c r="A3180" s="1"/>
      <c r="B3180" s="1"/>
      <c r="C3180" s="1"/>
      <c r="D3180" s="1"/>
    </row>
    <row r="3181" spans="1:4" x14ac:dyDescent="0.25">
      <c r="A3181" s="1"/>
      <c r="B3181" s="1"/>
      <c r="C3181" s="1"/>
      <c r="D3181" s="1"/>
    </row>
    <row r="3182" spans="1:4" x14ac:dyDescent="0.25">
      <c r="A3182" s="1"/>
      <c r="B3182" s="1"/>
      <c r="C3182" s="1"/>
      <c r="D3182" s="1"/>
    </row>
    <row r="3183" spans="1:4" x14ac:dyDescent="0.25">
      <c r="A3183" s="1"/>
      <c r="B3183" s="1"/>
      <c r="C3183" s="1"/>
      <c r="D3183" s="1"/>
    </row>
    <row r="3184" spans="1:4" x14ac:dyDescent="0.25">
      <c r="A3184" s="1"/>
      <c r="B3184" s="1"/>
      <c r="C3184" s="1"/>
      <c r="D3184" s="1"/>
    </row>
    <row r="3185" spans="1:4" x14ac:dyDescent="0.25">
      <c r="A3185" s="1"/>
      <c r="B3185" s="1"/>
      <c r="C3185" s="1"/>
      <c r="D3185" s="1"/>
    </row>
    <row r="3186" spans="1:4" x14ac:dyDescent="0.25">
      <c r="A3186" s="1"/>
      <c r="B3186" s="1"/>
      <c r="C3186" s="1"/>
      <c r="D3186" s="1"/>
    </row>
    <row r="3187" spans="1:4" x14ac:dyDescent="0.25">
      <c r="A3187" s="1"/>
      <c r="B3187" s="1"/>
      <c r="C3187" s="1"/>
      <c r="D3187" s="1"/>
    </row>
    <row r="3188" spans="1:4" x14ac:dyDescent="0.25">
      <c r="A3188" s="1"/>
      <c r="B3188" s="1"/>
      <c r="C3188" s="1"/>
      <c r="D3188" s="1"/>
    </row>
    <row r="3189" spans="1:4" x14ac:dyDescent="0.25">
      <c r="A3189" s="1"/>
      <c r="B3189" s="1"/>
      <c r="C3189" s="1"/>
      <c r="D3189" s="1"/>
    </row>
    <row r="3190" spans="1:4" x14ac:dyDescent="0.25">
      <c r="A3190" s="1"/>
      <c r="B3190" s="1"/>
      <c r="C3190" s="1"/>
      <c r="D3190" s="1"/>
    </row>
    <row r="3191" spans="1:4" x14ac:dyDescent="0.25">
      <c r="A3191" s="1"/>
      <c r="B3191" s="1"/>
      <c r="C3191" s="1"/>
      <c r="D3191" s="1"/>
    </row>
    <row r="3192" spans="1:4" x14ac:dyDescent="0.25">
      <c r="A3192" s="1"/>
      <c r="B3192" s="1"/>
      <c r="C3192" s="1"/>
      <c r="D3192" s="1"/>
    </row>
    <row r="3193" spans="1:4" x14ac:dyDescent="0.25">
      <c r="A3193" s="1"/>
      <c r="B3193" s="1"/>
      <c r="C3193" s="1"/>
      <c r="D3193" s="1"/>
    </row>
    <row r="3194" spans="1:4" x14ac:dyDescent="0.25">
      <c r="A3194" s="1"/>
      <c r="B3194" s="1"/>
      <c r="C3194" s="1"/>
      <c r="D3194" s="1"/>
    </row>
    <row r="3195" spans="1:4" x14ac:dyDescent="0.25">
      <c r="A3195" s="1"/>
      <c r="B3195" s="1"/>
      <c r="C3195" s="1"/>
      <c r="D3195" s="1"/>
    </row>
    <row r="3196" spans="1:4" x14ac:dyDescent="0.25">
      <c r="A3196" s="1"/>
      <c r="B3196" s="1"/>
      <c r="C3196" s="1"/>
      <c r="D3196" s="1"/>
    </row>
    <row r="3197" spans="1:4" x14ac:dyDescent="0.25">
      <c r="A3197" s="1"/>
      <c r="B3197" s="1"/>
      <c r="C3197" s="1"/>
      <c r="D3197" s="1"/>
    </row>
    <row r="3198" spans="1:4" x14ac:dyDescent="0.25">
      <c r="A3198" s="1"/>
      <c r="B3198" s="1"/>
      <c r="C3198" s="1"/>
      <c r="D3198" s="1"/>
    </row>
    <row r="3199" spans="1:4" x14ac:dyDescent="0.25">
      <c r="A3199" s="1"/>
      <c r="B3199" s="1"/>
      <c r="C3199" s="1"/>
      <c r="D3199" s="1"/>
    </row>
    <row r="3200" spans="1:4" x14ac:dyDescent="0.25">
      <c r="A3200" s="1"/>
      <c r="B3200" s="1"/>
      <c r="C3200" s="1"/>
      <c r="D3200" s="1"/>
    </row>
    <row r="3201" spans="1:4" x14ac:dyDescent="0.25">
      <c r="A3201" s="1"/>
      <c r="B3201" s="1"/>
      <c r="C3201" s="1"/>
      <c r="D3201" s="1"/>
    </row>
    <row r="3202" spans="1:4" x14ac:dyDescent="0.25">
      <c r="A3202" s="1"/>
      <c r="B3202" s="1"/>
      <c r="C3202" s="1"/>
      <c r="D3202" s="1"/>
    </row>
    <row r="3203" spans="1:4" x14ac:dyDescent="0.25">
      <c r="A3203" s="1"/>
      <c r="B3203" s="1"/>
      <c r="C3203" s="1"/>
      <c r="D3203" s="1"/>
    </row>
    <row r="3204" spans="1:4" x14ac:dyDescent="0.25">
      <c r="A3204" s="1"/>
      <c r="B3204" s="1"/>
      <c r="C3204" s="1"/>
      <c r="D3204" s="1"/>
    </row>
    <row r="3205" spans="1:4" x14ac:dyDescent="0.25">
      <c r="A3205" s="1"/>
      <c r="B3205" s="1"/>
      <c r="C3205" s="1"/>
      <c r="D3205" s="1"/>
    </row>
    <row r="3206" spans="1:4" x14ac:dyDescent="0.25">
      <c r="A3206" s="1"/>
      <c r="B3206" s="1"/>
      <c r="C3206" s="1"/>
      <c r="D3206" s="1"/>
    </row>
    <row r="3207" spans="1:4" x14ac:dyDescent="0.25">
      <c r="A3207" s="1"/>
      <c r="B3207" s="1"/>
      <c r="C3207" s="1"/>
      <c r="D3207" s="1"/>
    </row>
    <row r="3208" spans="1:4" x14ac:dyDescent="0.25">
      <c r="A3208" s="1"/>
      <c r="B3208" s="1"/>
      <c r="C3208" s="1"/>
      <c r="D3208" s="1"/>
    </row>
    <row r="3209" spans="1:4" x14ac:dyDescent="0.25">
      <c r="A3209" s="1"/>
      <c r="B3209" s="1"/>
      <c r="C3209" s="1"/>
      <c r="D3209" s="1"/>
    </row>
    <row r="3210" spans="1:4" x14ac:dyDescent="0.25">
      <c r="A3210" s="1"/>
      <c r="B3210" s="1"/>
      <c r="C3210" s="1"/>
      <c r="D3210" s="1"/>
    </row>
    <row r="3211" spans="1:4" x14ac:dyDescent="0.25">
      <c r="A3211" s="1"/>
      <c r="B3211" s="1"/>
      <c r="C3211" s="1"/>
      <c r="D3211" s="1"/>
    </row>
    <row r="3212" spans="1:4" x14ac:dyDescent="0.25">
      <c r="A3212" s="1"/>
      <c r="B3212" s="1"/>
      <c r="C3212" s="1"/>
      <c r="D3212" s="1"/>
    </row>
    <row r="3213" spans="1:4" x14ac:dyDescent="0.25">
      <c r="A3213" s="1"/>
      <c r="B3213" s="1"/>
      <c r="C3213" s="1"/>
      <c r="D3213" s="1"/>
    </row>
    <row r="3214" spans="1:4" x14ac:dyDescent="0.25">
      <c r="A3214" s="1"/>
      <c r="B3214" s="1"/>
      <c r="C3214" s="1"/>
      <c r="D3214" s="1"/>
    </row>
    <row r="3215" spans="1:4" x14ac:dyDescent="0.25">
      <c r="A3215" s="1"/>
      <c r="B3215" s="1"/>
      <c r="C3215" s="1"/>
      <c r="D3215" s="1"/>
    </row>
    <row r="3216" spans="1:4" x14ac:dyDescent="0.25">
      <c r="A3216" s="1"/>
      <c r="B3216" s="1"/>
      <c r="C3216" s="1"/>
      <c r="D3216" s="1"/>
    </row>
    <row r="3217" spans="1:4" x14ac:dyDescent="0.25">
      <c r="A3217" s="1"/>
      <c r="B3217" s="1"/>
      <c r="C3217" s="1"/>
      <c r="D3217" s="1"/>
    </row>
    <row r="3218" spans="1:4" x14ac:dyDescent="0.25">
      <c r="A3218" s="1"/>
      <c r="B3218" s="1"/>
      <c r="C3218" s="1"/>
      <c r="D3218" s="1"/>
    </row>
    <row r="3219" spans="1:4" x14ac:dyDescent="0.25">
      <c r="A3219" s="1"/>
      <c r="B3219" s="1"/>
      <c r="C3219" s="1"/>
      <c r="D3219" s="1"/>
    </row>
    <row r="3220" spans="1:4" x14ac:dyDescent="0.25">
      <c r="A3220" s="1"/>
      <c r="B3220" s="1"/>
      <c r="C3220" s="1"/>
      <c r="D3220" s="1"/>
    </row>
    <row r="3221" spans="1:4" x14ac:dyDescent="0.25">
      <c r="A3221" s="1"/>
      <c r="B3221" s="1"/>
      <c r="C3221" s="1"/>
      <c r="D3221" s="1"/>
    </row>
    <row r="3222" spans="1:4" x14ac:dyDescent="0.25">
      <c r="A3222" s="1"/>
      <c r="B3222" s="1"/>
      <c r="C3222" s="1"/>
      <c r="D3222" s="1"/>
    </row>
    <row r="3223" spans="1:4" x14ac:dyDescent="0.25">
      <c r="A3223" s="1"/>
      <c r="B3223" s="1"/>
      <c r="C3223" s="1"/>
      <c r="D3223" s="1"/>
    </row>
    <row r="3224" spans="1:4" x14ac:dyDescent="0.25">
      <c r="A3224" s="1"/>
      <c r="B3224" s="1"/>
      <c r="C3224" s="1"/>
      <c r="D3224" s="1"/>
    </row>
    <row r="3225" spans="1:4" x14ac:dyDescent="0.25">
      <c r="A3225" s="1"/>
      <c r="B3225" s="1"/>
      <c r="C3225" s="1"/>
      <c r="D3225" s="1"/>
    </row>
    <row r="3226" spans="1:4" x14ac:dyDescent="0.25">
      <c r="A3226" s="1"/>
      <c r="B3226" s="1"/>
      <c r="C3226" s="1"/>
      <c r="D3226" s="1"/>
    </row>
    <row r="3227" spans="1:4" x14ac:dyDescent="0.25">
      <c r="A3227" s="1"/>
      <c r="B3227" s="1"/>
      <c r="C3227" s="1"/>
      <c r="D3227" s="1"/>
    </row>
    <row r="3228" spans="1:4" x14ac:dyDescent="0.25">
      <c r="A3228" s="1"/>
      <c r="B3228" s="1"/>
      <c r="C3228" s="1"/>
      <c r="D3228" s="1"/>
    </row>
    <row r="3229" spans="1:4" x14ac:dyDescent="0.25">
      <c r="A3229" s="1"/>
      <c r="B3229" s="1"/>
      <c r="C3229" s="1"/>
      <c r="D3229" s="1"/>
    </row>
    <row r="3230" spans="1:4" x14ac:dyDescent="0.25">
      <c r="A3230" s="1"/>
      <c r="B3230" s="1"/>
      <c r="C3230" s="1"/>
      <c r="D3230" s="1"/>
    </row>
    <row r="3231" spans="1:4" x14ac:dyDescent="0.25">
      <c r="A3231" s="1"/>
      <c r="B3231" s="1"/>
      <c r="C3231" s="1"/>
      <c r="D3231" s="1"/>
    </row>
    <row r="3232" spans="1:4" x14ac:dyDescent="0.25">
      <c r="A3232" s="1"/>
      <c r="B3232" s="1"/>
      <c r="C3232" s="1"/>
      <c r="D3232" s="1"/>
    </row>
    <row r="3233" spans="1:4" x14ac:dyDescent="0.25">
      <c r="A3233" s="1"/>
      <c r="B3233" s="1"/>
      <c r="C3233" s="1"/>
      <c r="D3233" s="1"/>
    </row>
    <row r="3234" spans="1:4" x14ac:dyDescent="0.25">
      <c r="A3234" s="1"/>
      <c r="B3234" s="1"/>
      <c r="C3234" s="1"/>
      <c r="D3234" s="1"/>
    </row>
    <row r="3235" spans="1:4" x14ac:dyDescent="0.25">
      <c r="A3235" s="1"/>
      <c r="B3235" s="1"/>
      <c r="C3235" s="1"/>
      <c r="D3235" s="1"/>
    </row>
    <row r="3236" spans="1:4" x14ac:dyDescent="0.25">
      <c r="A3236" s="1"/>
      <c r="B3236" s="1"/>
      <c r="C3236" s="1"/>
      <c r="D3236" s="1"/>
    </row>
    <row r="3237" spans="1:4" x14ac:dyDescent="0.25">
      <c r="A3237" s="1"/>
      <c r="B3237" s="1"/>
      <c r="C3237" s="1"/>
      <c r="D3237" s="1"/>
    </row>
    <row r="3238" spans="1:4" x14ac:dyDescent="0.25">
      <c r="A3238" s="1"/>
      <c r="B3238" s="1"/>
      <c r="C3238" s="1"/>
      <c r="D3238" s="1"/>
    </row>
    <row r="3239" spans="1:4" x14ac:dyDescent="0.25">
      <c r="A3239" s="1"/>
      <c r="B3239" s="1"/>
      <c r="C3239" s="1"/>
      <c r="D3239" s="1"/>
    </row>
    <row r="3240" spans="1:4" x14ac:dyDescent="0.25">
      <c r="A3240" s="1"/>
      <c r="B3240" s="1"/>
      <c r="C3240" s="1"/>
      <c r="D3240" s="1"/>
    </row>
    <row r="3241" spans="1:4" x14ac:dyDescent="0.25">
      <c r="A3241" s="1"/>
      <c r="B3241" s="1"/>
      <c r="C3241" s="1"/>
      <c r="D3241" s="1"/>
    </row>
    <row r="3242" spans="1:4" x14ac:dyDescent="0.25">
      <c r="A3242" s="1"/>
      <c r="B3242" s="1"/>
      <c r="C3242" s="1"/>
      <c r="D3242" s="1"/>
    </row>
    <row r="3243" spans="1:4" x14ac:dyDescent="0.25">
      <c r="A3243" s="1"/>
      <c r="B3243" s="1"/>
      <c r="C3243" s="1"/>
      <c r="D3243" s="1"/>
    </row>
    <row r="3244" spans="1:4" x14ac:dyDescent="0.25">
      <c r="A3244" s="1"/>
      <c r="B3244" s="1"/>
      <c r="C3244" s="1"/>
      <c r="D3244" s="1"/>
    </row>
    <row r="3245" spans="1:4" x14ac:dyDescent="0.25">
      <c r="A3245" s="1"/>
      <c r="B3245" s="1"/>
      <c r="C3245" s="1"/>
      <c r="D3245" s="1"/>
    </row>
    <row r="3246" spans="1:4" x14ac:dyDescent="0.25">
      <c r="A3246" s="1"/>
      <c r="B3246" s="1"/>
      <c r="C3246" s="1"/>
      <c r="D3246" s="1"/>
    </row>
    <row r="3247" spans="1:4" x14ac:dyDescent="0.25">
      <c r="A3247" s="1"/>
      <c r="B3247" s="1"/>
      <c r="C3247" s="1"/>
      <c r="D3247" s="1"/>
    </row>
    <row r="3248" spans="1:4" x14ac:dyDescent="0.25">
      <c r="A3248" s="1"/>
      <c r="B3248" s="1"/>
      <c r="C3248" s="1"/>
      <c r="D3248" s="1"/>
    </row>
    <row r="3249" spans="1:4" x14ac:dyDescent="0.25">
      <c r="A3249" s="1"/>
      <c r="B3249" s="1"/>
      <c r="C3249" s="1"/>
      <c r="D3249" s="1"/>
    </row>
    <row r="3250" spans="1:4" x14ac:dyDescent="0.25">
      <c r="A3250" s="1"/>
      <c r="B3250" s="1"/>
      <c r="C3250" s="1"/>
      <c r="D3250" s="1"/>
    </row>
    <row r="3251" spans="1:4" x14ac:dyDescent="0.25">
      <c r="A3251" s="1"/>
      <c r="B3251" s="1"/>
      <c r="C3251" s="1"/>
      <c r="D3251" s="1"/>
    </row>
    <row r="3252" spans="1:4" x14ac:dyDescent="0.25">
      <c r="A3252" s="1"/>
      <c r="B3252" s="1"/>
      <c r="C3252" s="1"/>
      <c r="D3252" s="1"/>
    </row>
    <row r="3253" spans="1:4" x14ac:dyDescent="0.25">
      <c r="A3253" s="1"/>
      <c r="B3253" s="1"/>
      <c r="C3253" s="1"/>
      <c r="D3253" s="1"/>
    </row>
    <row r="3254" spans="1:4" x14ac:dyDescent="0.25">
      <c r="A3254" s="1"/>
      <c r="B3254" s="1"/>
      <c r="C3254" s="1"/>
      <c r="D3254" s="1"/>
    </row>
    <row r="3255" spans="1:4" x14ac:dyDescent="0.25">
      <c r="A3255" s="1"/>
      <c r="B3255" s="1"/>
      <c r="C3255" s="1"/>
      <c r="D3255" s="1"/>
    </row>
    <row r="3256" spans="1:4" x14ac:dyDescent="0.25">
      <c r="A3256" s="1"/>
      <c r="B3256" s="1"/>
      <c r="C3256" s="1"/>
      <c r="D3256" s="1"/>
    </row>
    <row r="3257" spans="1:4" x14ac:dyDescent="0.25">
      <c r="A3257" s="1"/>
      <c r="B3257" s="1"/>
      <c r="C3257" s="1"/>
      <c r="D3257" s="1"/>
    </row>
    <row r="3258" spans="1:4" x14ac:dyDescent="0.25">
      <c r="A3258" s="1"/>
      <c r="B3258" s="1"/>
      <c r="C3258" s="1"/>
      <c r="D3258" s="1"/>
    </row>
    <row r="3259" spans="1:4" x14ac:dyDescent="0.25">
      <c r="A3259" s="1"/>
      <c r="B3259" s="1"/>
      <c r="C3259" s="1"/>
      <c r="D3259" s="1"/>
    </row>
    <row r="3260" spans="1:4" x14ac:dyDescent="0.25">
      <c r="A3260" s="1"/>
      <c r="B3260" s="1"/>
      <c r="C3260" s="1"/>
      <c r="D3260" s="1"/>
    </row>
    <row r="3261" spans="1:4" x14ac:dyDescent="0.25">
      <c r="A3261" s="1"/>
      <c r="B3261" s="1"/>
      <c r="C3261" s="1"/>
      <c r="D3261" s="1"/>
    </row>
    <row r="3262" spans="1:4" x14ac:dyDescent="0.25">
      <c r="A3262" s="1"/>
      <c r="B3262" s="1"/>
      <c r="C3262" s="1"/>
      <c r="D3262" s="1"/>
    </row>
    <row r="3263" spans="1:4" x14ac:dyDescent="0.25">
      <c r="A3263" s="1"/>
      <c r="B3263" s="1"/>
      <c r="C3263" s="1"/>
      <c r="D3263" s="1"/>
    </row>
    <row r="3264" spans="1:4" x14ac:dyDescent="0.25">
      <c r="A3264" s="1"/>
      <c r="B3264" s="1"/>
      <c r="C3264" s="1"/>
      <c r="D3264" s="1"/>
    </row>
    <row r="3265" spans="1:4" x14ac:dyDescent="0.25">
      <c r="A3265" s="1"/>
      <c r="B3265" s="1"/>
      <c r="C3265" s="1"/>
      <c r="D3265" s="1"/>
    </row>
    <row r="3266" spans="1:4" x14ac:dyDescent="0.25">
      <c r="A3266" s="1"/>
      <c r="B3266" s="1"/>
      <c r="C3266" s="1"/>
      <c r="D3266" s="1"/>
    </row>
    <row r="3267" spans="1:4" x14ac:dyDescent="0.25">
      <c r="A3267" s="1"/>
      <c r="B3267" s="1"/>
      <c r="C3267" s="1"/>
      <c r="D3267" s="1"/>
    </row>
    <row r="3268" spans="1:4" x14ac:dyDescent="0.25">
      <c r="A3268" s="1"/>
      <c r="B3268" s="1"/>
      <c r="C3268" s="1"/>
      <c r="D3268" s="1"/>
    </row>
    <row r="3269" spans="1:4" x14ac:dyDescent="0.25">
      <c r="A3269" s="1"/>
      <c r="B3269" s="1"/>
      <c r="C3269" s="1"/>
      <c r="D3269" s="1"/>
    </row>
    <row r="3270" spans="1:4" x14ac:dyDescent="0.25">
      <c r="A3270" s="1"/>
      <c r="B3270" s="1"/>
      <c r="C3270" s="1"/>
      <c r="D3270" s="1"/>
    </row>
    <row r="3271" spans="1:4" x14ac:dyDescent="0.25">
      <c r="A3271" s="1"/>
      <c r="B3271" s="1"/>
      <c r="C3271" s="1"/>
      <c r="D3271" s="1"/>
    </row>
    <row r="3272" spans="1:4" x14ac:dyDescent="0.25">
      <c r="A3272" s="1"/>
      <c r="B3272" s="1"/>
      <c r="C3272" s="1"/>
      <c r="D3272" s="1"/>
    </row>
    <row r="3273" spans="1:4" x14ac:dyDescent="0.25">
      <c r="A3273" s="1"/>
      <c r="B3273" s="1"/>
      <c r="C3273" s="1"/>
      <c r="D3273" s="1"/>
    </row>
    <row r="3274" spans="1:4" x14ac:dyDescent="0.25">
      <c r="A3274" s="1"/>
      <c r="B3274" s="1"/>
      <c r="C3274" s="1"/>
      <c r="D3274" s="1"/>
    </row>
    <row r="3275" spans="1:4" x14ac:dyDescent="0.25">
      <c r="A3275" s="1"/>
      <c r="B3275" s="1"/>
      <c r="C3275" s="1"/>
      <c r="D3275" s="1"/>
    </row>
    <row r="3276" spans="1:4" x14ac:dyDescent="0.25">
      <c r="A3276" s="1"/>
      <c r="B3276" s="1"/>
      <c r="C3276" s="1"/>
      <c r="D3276" s="1"/>
    </row>
    <row r="3277" spans="1:4" x14ac:dyDescent="0.25">
      <c r="A3277" s="1"/>
      <c r="B3277" s="1"/>
      <c r="C3277" s="1"/>
      <c r="D3277" s="1"/>
    </row>
    <row r="3278" spans="1:4" x14ac:dyDescent="0.25">
      <c r="A3278" s="1"/>
      <c r="B3278" s="1"/>
      <c r="C3278" s="1"/>
      <c r="D3278" s="1"/>
    </row>
    <row r="3279" spans="1:4" x14ac:dyDescent="0.25">
      <c r="A3279" s="1"/>
      <c r="B3279" s="1"/>
      <c r="C3279" s="1"/>
      <c r="D3279" s="1"/>
    </row>
    <row r="3280" spans="1:4" x14ac:dyDescent="0.25">
      <c r="A3280" s="1"/>
      <c r="B3280" s="1"/>
      <c r="C3280" s="1"/>
      <c r="D3280" s="1"/>
    </row>
    <row r="3281" spans="1:4" x14ac:dyDescent="0.25">
      <c r="A3281" s="1"/>
      <c r="B3281" s="1"/>
      <c r="C3281" s="1"/>
      <c r="D3281" s="1"/>
    </row>
    <row r="3282" spans="1:4" x14ac:dyDescent="0.25">
      <c r="A3282" s="1"/>
      <c r="B3282" s="1"/>
      <c r="C3282" s="1"/>
      <c r="D3282" s="1"/>
    </row>
    <row r="3283" spans="1:4" x14ac:dyDescent="0.25">
      <c r="A3283" s="1"/>
      <c r="B3283" s="1"/>
      <c r="C3283" s="1"/>
      <c r="D3283" s="1"/>
    </row>
    <row r="3284" spans="1:4" x14ac:dyDescent="0.25">
      <c r="A3284" s="1"/>
      <c r="B3284" s="1"/>
      <c r="C3284" s="1"/>
      <c r="D3284" s="1"/>
    </row>
    <row r="3285" spans="1:4" x14ac:dyDescent="0.25">
      <c r="A3285" s="1"/>
      <c r="B3285" s="1"/>
      <c r="C3285" s="1"/>
      <c r="D3285" s="1"/>
    </row>
    <row r="3286" spans="1:4" x14ac:dyDescent="0.25">
      <c r="A3286" s="1"/>
      <c r="B3286" s="1"/>
      <c r="C3286" s="1"/>
      <c r="D3286" s="1"/>
    </row>
    <row r="3287" spans="1:4" x14ac:dyDescent="0.25">
      <c r="A3287" s="1"/>
      <c r="B3287" s="1"/>
      <c r="C3287" s="1"/>
      <c r="D3287" s="1"/>
    </row>
    <row r="3288" spans="1:4" x14ac:dyDescent="0.25">
      <c r="A3288" s="1"/>
      <c r="B3288" s="1"/>
      <c r="C3288" s="1"/>
      <c r="D3288" s="1"/>
    </row>
    <row r="3289" spans="1:4" x14ac:dyDescent="0.25">
      <c r="A3289" s="1"/>
      <c r="B3289" s="1"/>
      <c r="C3289" s="1"/>
      <c r="D3289" s="1"/>
    </row>
    <row r="3290" spans="1:4" x14ac:dyDescent="0.25">
      <c r="A3290" s="1"/>
      <c r="B3290" s="1"/>
      <c r="C3290" s="1"/>
      <c r="D3290" s="1"/>
    </row>
    <row r="3291" spans="1:4" x14ac:dyDescent="0.25">
      <c r="A3291" s="1"/>
      <c r="B3291" s="1"/>
      <c r="C3291" s="1"/>
      <c r="D3291" s="1"/>
    </row>
    <row r="3292" spans="1:4" x14ac:dyDescent="0.25">
      <c r="A3292" s="1"/>
      <c r="B3292" s="1"/>
      <c r="C3292" s="1"/>
      <c r="D3292" s="1"/>
    </row>
    <row r="3293" spans="1:4" x14ac:dyDescent="0.25">
      <c r="A3293" s="1"/>
      <c r="B3293" s="1"/>
      <c r="C3293" s="1"/>
      <c r="D3293" s="1"/>
    </row>
    <row r="3294" spans="1:4" x14ac:dyDescent="0.25">
      <c r="A3294" s="1"/>
      <c r="B3294" s="1"/>
      <c r="C3294" s="1"/>
      <c r="D3294" s="1"/>
    </row>
    <row r="3295" spans="1:4" x14ac:dyDescent="0.25">
      <c r="A3295" s="1"/>
      <c r="B3295" s="1"/>
      <c r="C3295" s="1"/>
      <c r="D3295" s="1"/>
    </row>
    <row r="3296" spans="1:4" x14ac:dyDescent="0.25">
      <c r="A3296" s="1"/>
      <c r="B3296" s="1"/>
      <c r="C3296" s="1"/>
      <c r="D3296" s="1"/>
    </row>
    <row r="3297" spans="1:4" x14ac:dyDescent="0.25">
      <c r="A3297" s="1"/>
      <c r="B3297" s="1"/>
      <c r="C3297" s="1"/>
      <c r="D3297" s="1"/>
    </row>
    <row r="3298" spans="1:4" x14ac:dyDescent="0.25">
      <c r="A3298" s="1"/>
      <c r="B3298" s="1"/>
      <c r="C3298" s="1"/>
      <c r="D3298" s="1"/>
    </row>
    <row r="3299" spans="1:4" x14ac:dyDescent="0.25">
      <c r="A3299" s="1"/>
      <c r="B3299" s="1"/>
      <c r="C3299" s="1"/>
      <c r="D3299" s="1"/>
    </row>
    <row r="3300" spans="1:4" x14ac:dyDescent="0.25">
      <c r="A3300" s="1"/>
      <c r="B3300" s="1"/>
      <c r="C3300" s="1"/>
      <c r="D3300" s="1"/>
    </row>
    <row r="3301" spans="1:4" x14ac:dyDescent="0.25">
      <c r="A3301" s="1"/>
      <c r="B3301" s="1"/>
      <c r="C3301" s="1"/>
      <c r="D3301" s="1"/>
    </row>
    <row r="3302" spans="1:4" x14ac:dyDescent="0.25">
      <c r="A3302" s="1"/>
      <c r="B3302" s="1"/>
      <c r="C3302" s="1"/>
      <c r="D3302" s="1"/>
    </row>
    <row r="3303" spans="1:4" x14ac:dyDescent="0.25">
      <c r="A3303" s="1"/>
      <c r="B3303" s="1"/>
      <c r="C3303" s="1"/>
      <c r="D3303" s="1"/>
    </row>
    <row r="3304" spans="1:4" x14ac:dyDescent="0.25">
      <c r="A3304" s="1"/>
      <c r="B3304" s="1"/>
      <c r="C3304" s="1"/>
      <c r="D3304" s="1"/>
    </row>
    <row r="3305" spans="1:4" x14ac:dyDescent="0.25">
      <c r="A3305" s="1"/>
      <c r="B3305" s="1"/>
      <c r="C3305" s="1"/>
      <c r="D3305" s="1"/>
    </row>
    <row r="3306" spans="1:4" x14ac:dyDescent="0.25">
      <c r="A3306" s="1"/>
      <c r="B3306" s="1"/>
      <c r="C3306" s="1"/>
      <c r="D3306" s="1"/>
    </row>
    <row r="3307" spans="1:4" x14ac:dyDescent="0.25">
      <c r="A3307" s="1"/>
      <c r="B3307" s="1"/>
      <c r="C3307" s="1"/>
      <c r="D3307" s="1"/>
    </row>
    <row r="3308" spans="1:4" x14ac:dyDescent="0.25">
      <c r="A3308" s="1"/>
      <c r="B3308" s="1"/>
      <c r="C3308" s="1"/>
      <c r="D3308" s="1"/>
    </row>
    <row r="3309" spans="1:4" x14ac:dyDescent="0.25">
      <c r="A3309" s="1"/>
      <c r="B3309" s="1"/>
      <c r="C3309" s="1"/>
      <c r="D3309" s="1"/>
    </row>
    <row r="3310" spans="1:4" x14ac:dyDescent="0.25">
      <c r="A3310" s="1"/>
      <c r="B3310" s="1"/>
      <c r="C3310" s="1"/>
      <c r="D3310" s="1"/>
    </row>
    <row r="3311" spans="1:4" x14ac:dyDescent="0.25">
      <c r="A3311" s="1"/>
      <c r="B3311" s="1"/>
      <c r="C3311" s="1"/>
      <c r="D3311" s="1"/>
    </row>
    <row r="3312" spans="1:4" x14ac:dyDescent="0.25">
      <c r="A3312" s="1"/>
      <c r="B3312" s="1"/>
      <c r="C3312" s="1"/>
      <c r="D3312" s="1"/>
    </row>
    <row r="3313" spans="1:4" x14ac:dyDescent="0.25">
      <c r="A3313" s="1"/>
      <c r="B3313" s="1"/>
      <c r="C3313" s="1"/>
      <c r="D3313" s="1"/>
    </row>
    <row r="3314" spans="1:4" x14ac:dyDescent="0.25">
      <c r="A3314" s="1"/>
      <c r="B3314" s="1"/>
      <c r="C3314" s="1"/>
      <c r="D3314" s="1"/>
    </row>
    <row r="3315" spans="1:4" x14ac:dyDescent="0.25">
      <c r="A3315" s="1"/>
      <c r="B3315" s="1"/>
      <c r="C3315" s="1"/>
      <c r="D3315" s="1"/>
    </row>
    <row r="3316" spans="1:4" x14ac:dyDescent="0.25">
      <c r="A3316" s="1"/>
      <c r="B3316" s="1"/>
      <c r="C3316" s="1"/>
      <c r="D3316" s="1"/>
    </row>
    <row r="3317" spans="1:4" x14ac:dyDescent="0.25">
      <c r="A3317" s="1"/>
      <c r="B3317" s="1"/>
      <c r="C3317" s="1"/>
      <c r="D3317" s="1"/>
    </row>
    <row r="3318" spans="1:4" x14ac:dyDescent="0.25">
      <c r="A3318" s="1"/>
      <c r="B3318" s="1"/>
      <c r="C3318" s="1"/>
      <c r="D3318" s="1"/>
    </row>
    <row r="3319" spans="1:4" x14ac:dyDescent="0.25">
      <c r="A3319" s="1"/>
      <c r="B3319" s="1"/>
      <c r="C3319" s="1"/>
      <c r="D3319" s="1"/>
    </row>
    <row r="3320" spans="1:4" x14ac:dyDescent="0.25">
      <c r="A3320" s="1"/>
      <c r="B3320" s="1"/>
      <c r="C3320" s="1"/>
      <c r="D3320" s="1"/>
    </row>
    <row r="3321" spans="1:4" x14ac:dyDescent="0.25">
      <c r="A3321" s="1"/>
      <c r="B3321" s="1"/>
      <c r="C3321" s="1"/>
      <c r="D3321" s="1"/>
    </row>
    <row r="3322" spans="1:4" x14ac:dyDescent="0.25">
      <c r="A3322" s="1"/>
      <c r="B3322" s="1"/>
      <c r="C3322" s="1"/>
      <c r="D3322" s="1"/>
    </row>
    <row r="3323" spans="1:4" x14ac:dyDescent="0.25">
      <c r="A3323" s="1"/>
      <c r="B3323" s="1"/>
      <c r="C3323" s="1"/>
      <c r="D3323" s="1"/>
    </row>
    <row r="3324" spans="1:4" x14ac:dyDescent="0.25">
      <c r="A3324" s="1"/>
      <c r="B3324" s="1"/>
      <c r="C3324" s="1"/>
      <c r="D3324" s="1"/>
    </row>
    <row r="3325" spans="1:4" x14ac:dyDescent="0.25">
      <c r="A3325" s="1"/>
      <c r="B3325" s="1"/>
      <c r="C3325" s="1"/>
      <c r="D3325" s="1"/>
    </row>
    <row r="3326" spans="1:4" x14ac:dyDescent="0.25">
      <c r="A3326" s="1"/>
      <c r="B3326" s="1"/>
      <c r="C3326" s="1"/>
      <c r="D3326" s="1"/>
    </row>
    <row r="3327" spans="1:4" x14ac:dyDescent="0.25">
      <c r="A3327" s="1"/>
      <c r="B3327" s="1"/>
      <c r="C3327" s="1"/>
      <c r="D3327" s="1"/>
    </row>
    <row r="3328" spans="1:4" x14ac:dyDescent="0.25">
      <c r="A3328" s="1"/>
      <c r="B3328" s="1"/>
      <c r="C3328" s="1"/>
      <c r="D3328" s="1"/>
    </row>
    <row r="3329" spans="1:4" x14ac:dyDescent="0.25">
      <c r="A3329" s="1"/>
      <c r="B3329" s="1"/>
      <c r="C3329" s="1"/>
      <c r="D3329" s="1"/>
    </row>
    <row r="3330" spans="1:4" x14ac:dyDescent="0.25">
      <c r="A3330" s="1"/>
      <c r="B3330" s="1"/>
      <c r="C3330" s="1"/>
      <c r="D3330" s="1"/>
    </row>
    <row r="3331" spans="1:4" x14ac:dyDescent="0.25">
      <c r="A3331" s="1"/>
      <c r="B3331" s="1"/>
      <c r="C3331" s="1"/>
      <c r="D3331" s="1"/>
    </row>
    <row r="3332" spans="1:4" x14ac:dyDescent="0.25">
      <c r="A3332" s="1"/>
      <c r="B3332" s="1"/>
      <c r="C3332" s="1"/>
      <c r="D3332" s="1"/>
    </row>
    <row r="3333" spans="1:4" x14ac:dyDescent="0.25">
      <c r="A3333" s="1"/>
      <c r="B3333" s="1"/>
      <c r="C3333" s="1"/>
      <c r="D3333" s="1"/>
    </row>
    <row r="3334" spans="1:4" x14ac:dyDescent="0.25">
      <c r="A3334" s="1"/>
      <c r="B3334" s="1"/>
      <c r="C3334" s="1"/>
      <c r="D3334" s="1"/>
    </row>
    <row r="3335" spans="1:4" x14ac:dyDescent="0.25">
      <c r="A3335" s="1"/>
      <c r="B3335" s="1"/>
      <c r="C3335" s="1"/>
      <c r="D3335" s="1"/>
    </row>
    <row r="3336" spans="1:4" x14ac:dyDescent="0.25">
      <c r="A3336" s="1"/>
      <c r="B3336" s="1"/>
      <c r="C3336" s="1"/>
      <c r="D3336" s="1"/>
    </row>
    <row r="3337" spans="1:4" x14ac:dyDescent="0.25">
      <c r="A3337" s="1"/>
      <c r="B3337" s="1"/>
      <c r="C3337" s="1"/>
      <c r="D3337" s="1"/>
    </row>
    <row r="3338" spans="1:4" x14ac:dyDescent="0.25">
      <c r="A3338" s="1"/>
      <c r="B3338" s="1"/>
      <c r="C3338" s="1"/>
      <c r="D3338" s="1"/>
    </row>
    <row r="3339" spans="1:4" x14ac:dyDescent="0.25">
      <c r="A3339" s="1"/>
      <c r="B3339" s="1"/>
      <c r="C3339" s="1"/>
      <c r="D3339" s="1"/>
    </row>
    <row r="3340" spans="1:4" x14ac:dyDescent="0.25">
      <c r="A3340" s="1"/>
      <c r="B3340" s="1"/>
      <c r="C3340" s="1"/>
      <c r="D3340" s="1"/>
    </row>
    <row r="3341" spans="1:4" x14ac:dyDescent="0.25">
      <c r="A3341" s="1"/>
      <c r="B3341" s="1"/>
      <c r="C3341" s="1"/>
      <c r="D3341" s="1"/>
    </row>
    <row r="3342" spans="1:4" x14ac:dyDescent="0.25">
      <c r="A3342" s="1"/>
      <c r="B3342" s="1"/>
      <c r="C3342" s="1"/>
      <c r="D3342" s="1"/>
    </row>
    <row r="3343" spans="1:4" x14ac:dyDescent="0.25">
      <c r="A3343" s="1"/>
      <c r="B3343" s="1"/>
      <c r="C3343" s="1"/>
      <c r="D3343" s="1"/>
    </row>
    <row r="3344" spans="1:4" x14ac:dyDescent="0.25">
      <c r="A3344" s="1"/>
      <c r="B3344" s="1"/>
      <c r="C3344" s="1"/>
      <c r="D3344" s="1"/>
    </row>
    <row r="3345" spans="1:4" x14ac:dyDescent="0.25">
      <c r="A3345" s="1"/>
      <c r="B3345" s="1"/>
      <c r="C3345" s="1"/>
      <c r="D3345" s="1"/>
    </row>
    <row r="3346" spans="1:4" x14ac:dyDescent="0.25">
      <c r="A3346" s="1"/>
      <c r="B3346" s="1"/>
      <c r="C3346" s="1"/>
      <c r="D3346" s="1"/>
    </row>
    <row r="3347" spans="1:4" x14ac:dyDescent="0.25">
      <c r="A3347" s="1"/>
      <c r="B3347" s="1"/>
      <c r="C3347" s="1"/>
      <c r="D3347" s="1"/>
    </row>
    <row r="3348" spans="1:4" x14ac:dyDescent="0.25">
      <c r="A3348" s="1"/>
      <c r="B3348" s="1"/>
      <c r="C3348" s="1"/>
      <c r="D3348" s="1"/>
    </row>
    <row r="3349" spans="1:4" x14ac:dyDescent="0.25">
      <c r="A3349" s="1"/>
      <c r="B3349" s="1"/>
      <c r="C3349" s="1"/>
      <c r="D3349" s="1"/>
    </row>
    <row r="3350" spans="1:4" x14ac:dyDescent="0.25">
      <c r="A3350" s="1"/>
      <c r="B3350" s="1"/>
      <c r="C3350" s="1"/>
      <c r="D3350" s="1"/>
    </row>
    <row r="3351" spans="1:4" x14ac:dyDescent="0.25">
      <c r="A3351" s="1"/>
      <c r="B3351" s="1"/>
      <c r="C3351" s="1"/>
      <c r="D3351" s="1"/>
    </row>
    <row r="3352" spans="1:4" x14ac:dyDescent="0.25">
      <c r="A3352" s="1"/>
      <c r="B3352" s="1"/>
      <c r="C3352" s="1"/>
      <c r="D3352" s="1"/>
    </row>
    <row r="3353" spans="1:4" x14ac:dyDescent="0.25">
      <c r="A3353" s="1"/>
      <c r="B3353" s="1"/>
      <c r="C3353" s="1"/>
      <c r="D3353" s="1"/>
    </row>
    <row r="3354" spans="1:4" x14ac:dyDescent="0.25">
      <c r="A3354" s="1"/>
      <c r="B3354" s="1"/>
      <c r="C3354" s="1"/>
      <c r="D3354" s="1"/>
    </row>
    <row r="3355" spans="1:4" x14ac:dyDescent="0.25">
      <c r="A3355" s="1"/>
      <c r="B3355" s="1"/>
      <c r="C3355" s="1"/>
      <c r="D3355" s="1"/>
    </row>
    <row r="3356" spans="1:4" x14ac:dyDescent="0.25">
      <c r="A3356" s="1"/>
      <c r="B3356" s="1"/>
      <c r="C3356" s="1"/>
      <c r="D3356" s="1"/>
    </row>
    <row r="3357" spans="1:4" x14ac:dyDescent="0.25">
      <c r="A3357" s="1"/>
      <c r="B3357" s="1"/>
      <c r="C3357" s="1"/>
      <c r="D3357" s="1"/>
    </row>
    <row r="3358" spans="1:4" x14ac:dyDescent="0.25">
      <c r="A3358" s="1"/>
      <c r="B3358" s="1"/>
      <c r="C3358" s="1"/>
      <c r="D3358" s="1"/>
    </row>
    <row r="3359" spans="1:4" x14ac:dyDescent="0.25">
      <c r="A3359" s="1"/>
      <c r="B3359" s="1"/>
      <c r="C3359" s="1"/>
      <c r="D3359" s="1"/>
    </row>
    <row r="3360" spans="1:4" x14ac:dyDescent="0.25">
      <c r="A3360" s="1"/>
      <c r="B3360" s="1"/>
      <c r="C3360" s="1"/>
      <c r="D3360" s="1"/>
    </row>
    <row r="3361" spans="1:4" x14ac:dyDescent="0.25">
      <c r="A3361" s="1"/>
      <c r="B3361" s="1"/>
      <c r="C3361" s="1"/>
      <c r="D3361" s="1"/>
    </row>
    <row r="3362" spans="1:4" x14ac:dyDescent="0.25">
      <c r="A3362" s="1"/>
      <c r="B3362" s="1"/>
      <c r="C3362" s="1"/>
      <c r="D3362" s="1"/>
    </row>
    <row r="3363" spans="1:4" x14ac:dyDescent="0.25">
      <c r="A3363" s="1"/>
      <c r="B3363" s="1"/>
      <c r="C3363" s="1"/>
      <c r="D3363" s="1"/>
    </row>
    <row r="3364" spans="1:4" x14ac:dyDescent="0.25">
      <c r="A3364" s="1"/>
      <c r="B3364" s="1"/>
      <c r="C3364" s="1"/>
      <c r="D3364" s="1"/>
    </row>
    <row r="3365" spans="1:4" x14ac:dyDescent="0.25">
      <c r="A3365" s="1"/>
      <c r="B3365" s="1"/>
      <c r="C3365" s="1"/>
      <c r="D3365" s="1"/>
    </row>
    <row r="3366" spans="1:4" x14ac:dyDescent="0.25">
      <c r="A3366" s="1"/>
      <c r="B3366" s="1"/>
      <c r="C3366" s="1"/>
      <c r="D3366" s="1"/>
    </row>
    <row r="3367" spans="1:4" x14ac:dyDescent="0.25">
      <c r="A3367" s="1"/>
      <c r="B3367" s="1"/>
      <c r="C3367" s="1"/>
      <c r="D3367" s="1"/>
    </row>
    <row r="3368" spans="1:4" x14ac:dyDescent="0.25">
      <c r="A3368" s="1"/>
      <c r="B3368" s="1"/>
      <c r="C3368" s="1"/>
      <c r="D3368" s="1"/>
    </row>
    <row r="3369" spans="1:4" x14ac:dyDescent="0.25">
      <c r="A3369" s="1"/>
      <c r="B3369" s="1"/>
      <c r="C3369" s="1"/>
      <c r="D3369" s="1"/>
    </row>
    <row r="3370" spans="1:4" x14ac:dyDescent="0.25">
      <c r="A3370" s="1"/>
      <c r="B3370" s="1"/>
      <c r="C3370" s="1"/>
      <c r="D3370" s="1"/>
    </row>
    <row r="3371" spans="1:4" x14ac:dyDescent="0.25">
      <c r="A3371" s="1"/>
      <c r="B3371" s="1"/>
      <c r="C3371" s="1"/>
      <c r="D3371" s="1"/>
    </row>
    <row r="3372" spans="1:4" x14ac:dyDescent="0.25">
      <c r="A3372" s="1"/>
      <c r="B3372" s="1"/>
      <c r="C3372" s="1"/>
      <c r="D3372" s="1"/>
    </row>
    <row r="3373" spans="1:4" x14ac:dyDescent="0.25">
      <c r="A3373" s="1"/>
      <c r="B3373" s="1"/>
      <c r="C3373" s="1"/>
      <c r="D3373" s="1"/>
    </row>
    <row r="3374" spans="1:4" x14ac:dyDescent="0.25">
      <c r="A3374" s="1"/>
      <c r="B3374" s="1"/>
      <c r="C3374" s="1"/>
      <c r="D3374" s="1"/>
    </row>
    <row r="3375" spans="1:4" x14ac:dyDescent="0.25">
      <c r="A3375" s="1"/>
      <c r="B3375" s="1"/>
      <c r="C3375" s="1"/>
      <c r="D3375" s="1"/>
    </row>
    <row r="3376" spans="1:4" x14ac:dyDescent="0.25">
      <c r="A3376" s="1"/>
      <c r="B3376" s="1"/>
      <c r="C3376" s="1"/>
      <c r="D3376" s="1"/>
    </row>
    <row r="3377" spans="1:4" x14ac:dyDescent="0.25">
      <c r="A3377" s="1"/>
      <c r="B3377" s="1"/>
      <c r="C3377" s="1"/>
      <c r="D3377" s="1"/>
    </row>
    <row r="3378" spans="1:4" x14ac:dyDescent="0.25">
      <c r="A3378" s="1"/>
      <c r="B3378" s="1"/>
      <c r="C3378" s="1"/>
      <c r="D3378" s="1"/>
    </row>
    <row r="3379" spans="1:4" x14ac:dyDescent="0.25">
      <c r="A3379" s="1"/>
      <c r="B3379" s="1"/>
      <c r="C3379" s="1"/>
      <c r="D3379" s="1"/>
    </row>
    <row r="3380" spans="1:4" x14ac:dyDescent="0.25">
      <c r="A3380" s="1"/>
      <c r="B3380" s="1"/>
      <c r="C3380" s="1"/>
      <c r="D3380" s="1"/>
    </row>
    <row r="3381" spans="1:4" x14ac:dyDescent="0.25">
      <c r="A3381" s="1"/>
      <c r="B3381" s="1"/>
      <c r="C3381" s="1"/>
      <c r="D3381" s="1"/>
    </row>
    <row r="3382" spans="1:4" x14ac:dyDescent="0.25">
      <c r="A3382" s="1"/>
      <c r="B3382" s="1"/>
      <c r="C3382" s="1"/>
      <c r="D3382" s="1"/>
    </row>
    <row r="3383" spans="1:4" x14ac:dyDescent="0.25">
      <c r="A3383" s="1"/>
      <c r="B3383" s="1"/>
      <c r="C3383" s="1"/>
      <c r="D3383" s="1"/>
    </row>
    <row r="3384" spans="1:4" x14ac:dyDescent="0.25">
      <c r="A3384" s="1"/>
      <c r="B3384" s="1"/>
      <c r="C3384" s="1"/>
      <c r="D3384" s="1"/>
    </row>
    <row r="3385" spans="1:4" x14ac:dyDescent="0.25">
      <c r="A3385" s="1"/>
      <c r="B3385" s="1"/>
      <c r="C3385" s="1"/>
      <c r="D3385" s="1"/>
    </row>
    <row r="3386" spans="1:4" x14ac:dyDescent="0.25">
      <c r="A3386" s="1"/>
      <c r="B3386" s="1"/>
      <c r="C3386" s="1"/>
      <c r="D3386" s="1"/>
    </row>
    <row r="3387" spans="1:4" x14ac:dyDescent="0.25">
      <c r="A3387" s="1"/>
      <c r="B3387" s="1"/>
      <c r="C3387" s="1"/>
      <c r="D3387" s="1"/>
    </row>
    <row r="3388" spans="1:4" x14ac:dyDescent="0.25">
      <c r="A3388" s="1"/>
      <c r="B3388" s="1"/>
      <c r="C3388" s="1"/>
      <c r="D3388" s="1"/>
    </row>
    <row r="3389" spans="1:4" x14ac:dyDescent="0.25">
      <c r="A3389" s="1"/>
      <c r="B3389" s="1"/>
      <c r="C3389" s="1"/>
      <c r="D3389" s="1"/>
    </row>
    <row r="3390" spans="1:4" x14ac:dyDescent="0.25">
      <c r="A3390" s="1"/>
      <c r="B3390" s="1"/>
      <c r="C3390" s="1"/>
      <c r="D3390" s="1"/>
    </row>
    <row r="3391" spans="1:4" x14ac:dyDescent="0.25">
      <c r="A3391" s="1"/>
      <c r="B3391" s="1"/>
      <c r="C3391" s="1"/>
      <c r="D3391" s="1"/>
    </row>
    <row r="3392" spans="1:4" x14ac:dyDescent="0.25">
      <c r="A3392" s="1"/>
      <c r="B3392" s="1"/>
      <c r="C3392" s="1"/>
      <c r="D3392" s="1"/>
    </row>
    <row r="3393" spans="1:4" x14ac:dyDescent="0.25">
      <c r="A3393" s="1"/>
      <c r="B3393" s="1"/>
      <c r="C3393" s="1"/>
      <c r="D3393" s="1"/>
    </row>
    <row r="3394" spans="1:4" x14ac:dyDescent="0.25">
      <c r="A3394" s="1"/>
      <c r="B3394" s="1"/>
      <c r="C3394" s="1"/>
      <c r="D3394" s="1"/>
    </row>
    <row r="3395" spans="1:4" x14ac:dyDescent="0.25">
      <c r="A3395" s="1"/>
      <c r="B3395" s="1"/>
      <c r="C3395" s="1"/>
      <c r="D3395" s="1"/>
    </row>
    <row r="3396" spans="1:4" x14ac:dyDescent="0.25">
      <c r="A3396" s="1"/>
      <c r="B3396" s="1"/>
      <c r="C3396" s="1"/>
      <c r="D3396" s="1"/>
    </row>
    <row r="3397" spans="1:4" x14ac:dyDescent="0.25">
      <c r="A3397" s="1"/>
      <c r="B3397" s="1"/>
      <c r="C3397" s="1"/>
      <c r="D3397" s="1"/>
    </row>
    <row r="3398" spans="1:4" x14ac:dyDescent="0.25">
      <c r="A3398" s="1"/>
      <c r="B3398" s="1"/>
      <c r="C3398" s="1"/>
      <c r="D3398" s="1"/>
    </row>
    <row r="3399" spans="1:4" x14ac:dyDescent="0.25">
      <c r="A3399" s="1"/>
      <c r="B3399" s="1"/>
      <c r="C3399" s="1"/>
      <c r="D3399" s="1"/>
    </row>
    <row r="3400" spans="1:4" x14ac:dyDescent="0.25">
      <c r="A3400" s="1"/>
      <c r="B3400" s="1"/>
      <c r="C3400" s="1"/>
      <c r="D3400" s="1"/>
    </row>
    <row r="3401" spans="1:4" x14ac:dyDescent="0.25">
      <c r="A3401" s="1"/>
      <c r="B3401" s="1"/>
      <c r="C3401" s="1"/>
      <c r="D3401" s="1"/>
    </row>
    <row r="3402" spans="1:4" x14ac:dyDescent="0.25">
      <c r="A3402" s="1"/>
      <c r="B3402" s="1"/>
      <c r="C3402" s="1"/>
      <c r="D3402" s="1"/>
    </row>
    <row r="3403" spans="1:4" x14ac:dyDescent="0.25">
      <c r="A3403" s="1"/>
      <c r="B3403" s="1"/>
      <c r="C3403" s="1"/>
      <c r="D3403" s="1"/>
    </row>
    <row r="3404" spans="1:4" x14ac:dyDescent="0.25">
      <c r="A3404" s="1"/>
      <c r="B3404" s="1"/>
      <c r="C3404" s="1"/>
      <c r="D3404" s="1"/>
    </row>
    <row r="3405" spans="1:4" x14ac:dyDescent="0.25">
      <c r="A3405" s="1"/>
      <c r="B3405" s="1"/>
      <c r="C3405" s="1"/>
      <c r="D3405" s="1"/>
    </row>
    <row r="3406" spans="1:4" x14ac:dyDescent="0.25">
      <c r="A3406" s="1"/>
      <c r="B3406" s="1"/>
      <c r="C3406" s="1"/>
      <c r="D3406" s="1"/>
    </row>
    <row r="3407" spans="1:4" x14ac:dyDescent="0.25">
      <c r="A3407" s="1"/>
      <c r="B3407" s="1"/>
      <c r="C3407" s="1"/>
      <c r="D3407" s="1"/>
    </row>
    <row r="3408" spans="1:4" x14ac:dyDescent="0.25">
      <c r="A3408" s="1"/>
      <c r="B3408" s="1"/>
      <c r="C3408" s="1"/>
      <c r="D3408" s="1"/>
    </row>
    <row r="3409" spans="1:4" x14ac:dyDescent="0.25">
      <c r="A3409" s="1"/>
      <c r="B3409" s="1"/>
      <c r="C3409" s="1"/>
      <c r="D3409" s="1"/>
    </row>
    <row r="3410" spans="1:4" x14ac:dyDescent="0.25">
      <c r="A3410" s="1"/>
      <c r="B3410" s="1"/>
      <c r="C3410" s="1"/>
      <c r="D3410" s="1"/>
    </row>
    <row r="3411" spans="1:4" x14ac:dyDescent="0.25">
      <c r="A3411" s="1"/>
      <c r="B3411" s="1"/>
      <c r="C3411" s="1"/>
      <c r="D3411" s="1"/>
    </row>
    <row r="3412" spans="1:4" x14ac:dyDescent="0.25">
      <c r="A3412" s="1"/>
      <c r="B3412" s="1"/>
      <c r="C3412" s="1"/>
      <c r="D3412" s="1"/>
    </row>
    <row r="3413" spans="1:4" x14ac:dyDescent="0.25">
      <c r="A3413" s="1"/>
      <c r="B3413" s="1"/>
      <c r="C3413" s="1"/>
      <c r="D3413" s="1"/>
    </row>
    <row r="3414" spans="1:4" x14ac:dyDescent="0.25">
      <c r="A3414" s="1"/>
      <c r="B3414" s="1"/>
      <c r="C3414" s="1"/>
      <c r="D3414" s="1"/>
    </row>
    <row r="3415" spans="1:4" x14ac:dyDescent="0.25">
      <c r="A3415" s="1"/>
      <c r="B3415" s="1"/>
      <c r="C3415" s="1"/>
      <c r="D3415" s="1"/>
    </row>
    <row r="3416" spans="1:4" x14ac:dyDescent="0.25">
      <c r="A3416" s="1"/>
      <c r="B3416" s="1"/>
      <c r="C3416" s="1"/>
      <c r="D3416" s="1"/>
    </row>
    <row r="3417" spans="1:4" x14ac:dyDescent="0.25">
      <c r="A3417" s="1"/>
      <c r="B3417" s="1"/>
      <c r="C3417" s="1"/>
      <c r="D3417" s="1"/>
    </row>
    <row r="3418" spans="1:4" x14ac:dyDescent="0.25">
      <c r="A3418" s="1"/>
      <c r="B3418" s="1"/>
      <c r="C3418" s="1"/>
      <c r="D3418" s="1"/>
    </row>
    <row r="3419" spans="1:4" x14ac:dyDescent="0.25">
      <c r="A3419" s="1"/>
      <c r="B3419" s="1"/>
      <c r="C3419" s="1"/>
      <c r="D3419" s="1"/>
    </row>
    <row r="3420" spans="1:4" x14ac:dyDescent="0.25">
      <c r="A3420" s="1"/>
      <c r="B3420" s="1"/>
      <c r="C3420" s="1"/>
      <c r="D3420" s="1"/>
    </row>
    <row r="3421" spans="1:4" x14ac:dyDescent="0.25">
      <c r="A3421" s="1"/>
      <c r="B3421" s="1"/>
      <c r="C3421" s="1"/>
      <c r="D3421" s="1"/>
    </row>
    <row r="3422" spans="1:4" x14ac:dyDescent="0.25">
      <c r="A3422" s="1"/>
      <c r="B3422" s="1"/>
      <c r="C3422" s="1"/>
      <c r="D3422" s="1"/>
    </row>
    <row r="3423" spans="1:4" x14ac:dyDescent="0.25">
      <c r="A3423" s="1"/>
      <c r="B3423" s="1"/>
      <c r="C3423" s="1"/>
      <c r="D3423" s="1"/>
    </row>
    <row r="3424" spans="1:4" x14ac:dyDescent="0.25">
      <c r="A3424" s="1"/>
      <c r="B3424" s="1"/>
      <c r="C3424" s="1"/>
      <c r="D3424" s="1"/>
    </row>
    <row r="3425" spans="1:4" x14ac:dyDescent="0.25">
      <c r="A3425" s="1"/>
      <c r="B3425" s="1"/>
      <c r="C3425" s="1"/>
      <c r="D3425" s="1"/>
    </row>
    <row r="3426" spans="1:4" x14ac:dyDescent="0.25">
      <c r="A3426" s="1"/>
      <c r="B3426" s="1"/>
      <c r="C3426" s="1"/>
      <c r="D3426" s="1"/>
    </row>
    <row r="3427" spans="1:4" x14ac:dyDescent="0.25">
      <c r="A3427" s="1"/>
      <c r="B3427" s="1"/>
      <c r="C3427" s="1"/>
      <c r="D3427" s="1"/>
    </row>
    <row r="3428" spans="1:4" x14ac:dyDescent="0.25">
      <c r="A3428" s="1"/>
      <c r="B3428" s="1"/>
      <c r="C3428" s="1"/>
      <c r="D3428" s="1"/>
    </row>
    <row r="3429" spans="1:4" x14ac:dyDescent="0.25">
      <c r="A3429" s="1"/>
      <c r="B3429" s="1"/>
      <c r="C3429" s="1"/>
      <c r="D3429" s="1"/>
    </row>
    <row r="3430" spans="1:4" x14ac:dyDescent="0.25">
      <c r="A3430" s="1"/>
      <c r="B3430" s="1"/>
      <c r="C3430" s="1"/>
      <c r="D3430" s="1"/>
    </row>
    <row r="3431" spans="1:4" x14ac:dyDescent="0.25">
      <c r="A3431" s="1"/>
      <c r="B3431" s="1"/>
      <c r="C3431" s="1"/>
      <c r="D3431" s="1"/>
    </row>
    <row r="3432" spans="1:4" x14ac:dyDescent="0.25">
      <c r="A3432" s="1"/>
      <c r="B3432" s="1"/>
      <c r="C3432" s="1"/>
      <c r="D3432" s="1"/>
    </row>
    <row r="3433" spans="1:4" x14ac:dyDescent="0.25">
      <c r="A3433" s="1"/>
      <c r="B3433" s="1"/>
      <c r="C3433" s="1"/>
      <c r="D3433" s="1"/>
    </row>
    <row r="3434" spans="1:4" x14ac:dyDescent="0.25">
      <c r="A3434" s="1"/>
      <c r="B3434" s="1"/>
      <c r="C3434" s="1"/>
      <c r="D3434" s="1"/>
    </row>
    <row r="3435" spans="1:4" x14ac:dyDescent="0.25">
      <c r="A3435" s="1"/>
      <c r="B3435" s="1"/>
      <c r="C3435" s="1"/>
      <c r="D3435" s="1"/>
    </row>
    <row r="3436" spans="1:4" x14ac:dyDescent="0.25">
      <c r="A3436" s="1"/>
      <c r="B3436" s="1"/>
      <c r="C3436" s="1"/>
      <c r="D3436" s="1"/>
    </row>
    <row r="3437" spans="1:4" x14ac:dyDescent="0.25">
      <c r="A3437" s="1"/>
      <c r="B3437" s="1"/>
      <c r="C3437" s="1"/>
      <c r="D3437" s="1"/>
    </row>
    <row r="3438" spans="1:4" x14ac:dyDescent="0.25">
      <c r="A3438" s="1"/>
      <c r="B3438" s="1"/>
      <c r="C3438" s="1"/>
      <c r="D3438" s="1"/>
    </row>
    <row r="3439" spans="1:4" x14ac:dyDescent="0.25">
      <c r="A3439" s="1"/>
      <c r="B3439" s="1"/>
      <c r="C3439" s="1"/>
      <c r="D3439" s="1"/>
    </row>
    <row r="3440" spans="1:4" x14ac:dyDescent="0.25">
      <c r="A3440" s="1"/>
      <c r="B3440" s="1"/>
      <c r="C3440" s="1"/>
      <c r="D3440" s="1"/>
    </row>
    <row r="3441" spans="1:4" x14ac:dyDescent="0.25">
      <c r="A3441" s="1"/>
      <c r="B3441" s="1"/>
      <c r="C3441" s="1"/>
      <c r="D3441" s="1"/>
    </row>
    <row r="3442" spans="1:4" x14ac:dyDescent="0.25">
      <c r="A3442" s="1"/>
      <c r="B3442" s="1"/>
      <c r="C3442" s="1"/>
      <c r="D3442" s="1"/>
    </row>
    <row r="3443" spans="1:4" x14ac:dyDescent="0.25">
      <c r="A3443" s="1"/>
      <c r="B3443" s="1"/>
      <c r="C3443" s="1"/>
      <c r="D3443" s="1"/>
    </row>
    <row r="3444" spans="1:4" x14ac:dyDescent="0.25">
      <c r="A3444" s="1"/>
      <c r="B3444" s="1"/>
      <c r="C3444" s="1"/>
      <c r="D3444" s="1"/>
    </row>
    <row r="3445" spans="1:4" x14ac:dyDescent="0.25">
      <c r="A3445" s="1"/>
      <c r="B3445" s="1"/>
      <c r="C3445" s="1"/>
      <c r="D3445" s="1"/>
    </row>
    <row r="3446" spans="1:4" x14ac:dyDescent="0.25">
      <c r="A3446" s="1"/>
      <c r="B3446" s="1"/>
      <c r="C3446" s="1"/>
      <c r="D3446" s="1"/>
    </row>
    <row r="3447" spans="1:4" x14ac:dyDescent="0.25">
      <c r="A3447" s="1"/>
      <c r="B3447" s="1"/>
      <c r="C3447" s="1"/>
      <c r="D3447" s="1"/>
    </row>
    <row r="3448" spans="1:4" x14ac:dyDescent="0.25">
      <c r="A3448" s="1"/>
      <c r="B3448" s="1"/>
      <c r="C3448" s="1"/>
      <c r="D3448" s="1"/>
    </row>
    <row r="3449" spans="1:4" x14ac:dyDescent="0.25">
      <c r="A3449" s="1"/>
      <c r="B3449" s="1"/>
      <c r="C3449" s="1"/>
      <c r="D3449" s="1"/>
    </row>
    <row r="3450" spans="1:4" x14ac:dyDescent="0.25">
      <c r="A3450" s="1"/>
      <c r="B3450" s="1"/>
      <c r="C3450" s="1"/>
      <c r="D3450" s="1"/>
    </row>
    <row r="3451" spans="1:4" x14ac:dyDescent="0.25">
      <c r="A3451" s="1"/>
      <c r="B3451" s="1"/>
      <c r="C3451" s="1"/>
      <c r="D3451" s="1"/>
    </row>
    <row r="3452" spans="1:4" x14ac:dyDescent="0.25">
      <c r="A3452" s="1"/>
      <c r="B3452" s="1"/>
      <c r="C3452" s="1"/>
      <c r="D3452" s="1"/>
    </row>
    <row r="3453" spans="1:4" x14ac:dyDescent="0.25">
      <c r="A3453" s="1"/>
      <c r="B3453" s="1"/>
      <c r="C3453" s="1"/>
      <c r="D3453" s="1"/>
    </row>
    <row r="3454" spans="1:4" x14ac:dyDescent="0.25">
      <c r="A3454" s="1"/>
      <c r="B3454" s="1"/>
      <c r="C3454" s="1"/>
      <c r="D3454" s="1"/>
    </row>
    <row r="3455" spans="1:4" x14ac:dyDescent="0.25">
      <c r="A3455" s="1"/>
      <c r="B3455" s="1"/>
      <c r="C3455" s="1"/>
      <c r="D3455" s="1"/>
    </row>
    <row r="3456" spans="1:4" x14ac:dyDescent="0.25">
      <c r="A3456" s="1"/>
      <c r="B3456" s="1"/>
      <c r="C3456" s="1"/>
      <c r="D3456" s="1"/>
    </row>
    <row r="3457" spans="1:4" x14ac:dyDescent="0.25">
      <c r="A3457" s="1"/>
      <c r="B3457" s="1"/>
      <c r="C3457" s="1"/>
      <c r="D3457" s="1"/>
    </row>
    <row r="3458" spans="1:4" x14ac:dyDescent="0.25">
      <c r="A3458" s="1"/>
      <c r="B3458" s="1"/>
      <c r="C3458" s="1"/>
      <c r="D3458" s="1"/>
    </row>
    <row r="3459" spans="1:4" x14ac:dyDescent="0.25">
      <c r="A3459" s="1"/>
      <c r="B3459" s="1"/>
      <c r="C3459" s="1"/>
      <c r="D3459" s="1"/>
    </row>
    <row r="3460" spans="1:4" x14ac:dyDescent="0.25">
      <c r="A3460" s="1"/>
      <c r="B3460" s="1"/>
      <c r="C3460" s="1"/>
      <c r="D3460" s="1"/>
    </row>
    <row r="3461" spans="1:4" x14ac:dyDescent="0.25">
      <c r="A3461" s="1"/>
      <c r="B3461" s="1"/>
      <c r="C3461" s="1"/>
      <c r="D3461" s="1"/>
    </row>
    <row r="3462" spans="1:4" x14ac:dyDescent="0.25">
      <c r="A3462" s="1"/>
      <c r="B3462" s="1"/>
      <c r="C3462" s="1"/>
      <c r="D3462" s="1"/>
    </row>
    <row r="3463" spans="1:4" x14ac:dyDescent="0.25">
      <c r="A3463" s="1"/>
      <c r="B3463" s="1"/>
      <c r="C3463" s="1"/>
      <c r="D3463" s="1"/>
    </row>
    <row r="3464" spans="1:4" x14ac:dyDescent="0.25">
      <c r="A3464" s="1"/>
      <c r="B3464" s="1"/>
      <c r="C3464" s="1"/>
      <c r="D3464" s="1"/>
    </row>
    <row r="3465" spans="1:4" x14ac:dyDescent="0.25">
      <c r="A3465" s="1"/>
      <c r="B3465" s="1"/>
      <c r="C3465" s="1"/>
      <c r="D3465" s="1"/>
    </row>
    <row r="3466" spans="1:4" x14ac:dyDescent="0.25">
      <c r="A3466" s="1"/>
      <c r="B3466" s="1"/>
      <c r="C3466" s="1"/>
      <c r="D3466" s="1"/>
    </row>
    <row r="3467" spans="1:4" x14ac:dyDescent="0.25">
      <c r="A3467" s="1"/>
      <c r="B3467" s="1"/>
      <c r="C3467" s="1"/>
      <c r="D3467" s="1"/>
    </row>
    <row r="3468" spans="1:4" x14ac:dyDescent="0.25">
      <c r="A3468" s="1"/>
      <c r="B3468" s="1"/>
      <c r="C3468" s="1"/>
      <c r="D3468" s="1"/>
    </row>
    <row r="3469" spans="1:4" x14ac:dyDescent="0.25">
      <c r="A3469" s="1"/>
      <c r="B3469" s="1"/>
      <c r="C3469" s="1"/>
      <c r="D3469" s="1"/>
    </row>
    <row r="3470" spans="1:4" x14ac:dyDescent="0.25">
      <c r="A3470" s="1"/>
      <c r="B3470" s="1"/>
      <c r="C3470" s="1"/>
      <c r="D3470" s="1"/>
    </row>
    <row r="3471" spans="1:4" x14ac:dyDescent="0.25">
      <c r="A3471" s="1"/>
      <c r="B3471" s="1"/>
      <c r="C3471" s="1"/>
      <c r="D3471" s="1"/>
    </row>
    <row r="3472" spans="1:4" x14ac:dyDescent="0.25">
      <c r="A3472" s="1"/>
      <c r="B3472" s="1"/>
      <c r="C3472" s="1"/>
      <c r="D3472" s="1"/>
    </row>
    <row r="3473" spans="1:4" x14ac:dyDescent="0.25">
      <c r="A3473" s="1"/>
      <c r="B3473" s="1"/>
      <c r="C3473" s="1"/>
      <c r="D3473" s="1"/>
    </row>
    <row r="3474" spans="1:4" x14ac:dyDescent="0.25">
      <c r="A3474" s="1"/>
      <c r="B3474" s="1"/>
      <c r="C3474" s="1"/>
      <c r="D3474" s="1"/>
    </row>
    <row r="3475" spans="1:4" x14ac:dyDescent="0.25">
      <c r="A3475" s="1"/>
      <c r="B3475" s="1"/>
      <c r="C3475" s="1"/>
      <c r="D3475" s="1"/>
    </row>
    <row r="3476" spans="1:4" x14ac:dyDescent="0.25">
      <c r="A3476" s="1"/>
      <c r="B3476" s="1"/>
      <c r="C3476" s="1"/>
      <c r="D3476" s="1"/>
    </row>
    <row r="3477" spans="1:4" x14ac:dyDescent="0.25">
      <c r="A3477" s="1"/>
      <c r="B3477" s="1"/>
      <c r="C3477" s="1"/>
      <c r="D3477" s="1"/>
    </row>
    <row r="3478" spans="1:4" x14ac:dyDescent="0.25">
      <c r="A3478" s="1"/>
      <c r="B3478" s="1"/>
      <c r="C3478" s="1"/>
      <c r="D3478" s="1"/>
    </row>
    <row r="3479" spans="1:4" x14ac:dyDescent="0.25">
      <c r="A3479" s="1"/>
      <c r="B3479" s="1"/>
      <c r="C3479" s="1"/>
      <c r="D3479" s="1"/>
    </row>
    <row r="3480" spans="1:4" x14ac:dyDescent="0.25">
      <c r="A3480" s="1"/>
      <c r="B3480" s="1"/>
      <c r="C3480" s="1"/>
      <c r="D3480" s="1"/>
    </row>
    <row r="3481" spans="1:4" x14ac:dyDescent="0.25">
      <c r="A3481" s="1"/>
      <c r="B3481" s="1"/>
      <c r="C3481" s="1"/>
      <c r="D3481" s="1"/>
    </row>
    <row r="3482" spans="1:4" x14ac:dyDescent="0.25">
      <c r="A3482" s="1"/>
      <c r="B3482" s="1"/>
      <c r="C3482" s="1"/>
      <c r="D3482" s="1"/>
    </row>
    <row r="3483" spans="1:4" x14ac:dyDescent="0.25">
      <c r="A3483" s="1"/>
      <c r="B3483" s="1"/>
      <c r="C3483" s="1"/>
      <c r="D3483" s="1"/>
    </row>
    <row r="3484" spans="1:4" x14ac:dyDescent="0.25">
      <c r="A3484" s="1"/>
      <c r="B3484" s="1"/>
      <c r="C3484" s="1"/>
      <c r="D3484" s="1"/>
    </row>
    <row r="3485" spans="1:4" x14ac:dyDescent="0.25">
      <c r="A3485" s="1"/>
      <c r="B3485" s="1"/>
      <c r="C3485" s="1"/>
      <c r="D3485" s="1"/>
    </row>
    <row r="3486" spans="1:4" x14ac:dyDescent="0.25">
      <c r="A3486" s="1"/>
      <c r="B3486" s="1"/>
      <c r="C3486" s="1"/>
      <c r="D3486" s="1"/>
    </row>
    <row r="3487" spans="1:4" x14ac:dyDescent="0.25">
      <c r="A3487" s="1"/>
      <c r="B3487" s="1"/>
      <c r="C3487" s="1"/>
      <c r="D3487" s="1"/>
    </row>
    <row r="3488" spans="1:4" x14ac:dyDescent="0.25">
      <c r="A3488" s="1"/>
      <c r="B3488" s="1"/>
      <c r="C3488" s="1"/>
      <c r="D3488" s="1"/>
    </row>
    <row r="3489" spans="1:4" x14ac:dyDescent="0.25">
      <c r="A3489" s="1"/>
      <c r="B3489" s="1"/>
      <c r="C3489" s="1"/>
      <c r="D3489" s="1"/>
    </row>
    <row r="3490" spans="1:4" x14ac:dyDescent="0.25">
      <c r="A3490" s="1"/>
      <c r="B3490" s="1"/>
      <c r="C3490" s="1"/>
      <c r="D3490" s="1"/>
    </row>
    <row r="3491" spans="1:4" x14ac:dyDescent="0.25">
      <c r="A3491" s="1"/>
      <c r="B3491" s="1"/>
      <c r="C3491" s="1"/>
      <c r="D3491" s="1"/>
    </row>
    <row r="3492" spans="1:4" x14ac:dyDescent="0.25">
      <c r="A3492" s="1"/>
      <c r="B3492" s="1"/>
      <c r="C3492" s="1"/>
      <c r="D3492" s="1"/>
    </row>
    <row r="3493" spans="1:4" x14ac:dyDescent="0.25">
      <c r="A3493" s="1"/>
      <c r="B3493" s="1"/>
      <c r="C3493" s="1"/>
      <c r="D3493" s="1"/>
    </row>
    <row r="3494" spans="1:4" x14ac:dyDescent="0.25">
      <c r="A3494" s="1"/>
      <c r="B3494" s="1"/>
      <c r="C3494" s="1"/>
      <c r="D3494" s="1"/>
    </row>
    <row r="3495" spans="1:4" x14ac:dyDescent="0.25">
      <c r="A3495" s="1"/>
      <c r="B3495" s="1"/>
      <c r="C3495" s="1"/>
      <c r="D3495" s="1"/>
    </row>
    <row r="3496" spans="1:4" x14ac:dyDescent="0.25">
      <c r="A3496" s="1"/>
      <c r="B3496" s="1"/>
      <c r="C3496" s="1"/>
      <c r="D3496" s="1"/>
    </row>
    <row r="3497" spans="1:4" x14ac:dyDescent="0.25">
      <c r="A3497" s="1"/>
      <c r="B3497" s="1"/>
      <c r="C3497" s="1"/>
      <c r="D3497" s="1"/>
    </row>
    <row r="3498" spans="1:4" x14ac:dyDescent="0.25">
      <c r="A3498" s="1"/>
      <c r="B3498" s="1"/>
      <c r="C3498" s="1"/>
      <c r="D3498" s="1"/>
    </row>
    <row r="3499" spans="1:4" x14ac:dyDescent="0.25">
      <c r="A3499" s="1"/>
      <c r="B3499" s="1"/>
      <c r="C3499" s="1"/>
      <c r="D3499" s="1"/>
    </row>
    <row r="3500" spans="1:4" x14ac:dyDescent="0.25">
      <c r="A3500" s="1"/>
      <c r="B3500" s="1"/>
      <c r="C3500" s="1"/>
      <c r="D3500" s="1"/>
    </row>
    <row r="3501" spans="1:4" x14ac:dyDescent="0.25">
      <c r="A3501" s="1"/>
      <c r="B3501" s="1"/>
      <c r="C3501" s="1"/>
      <c r="D3501" s="1"/>
    </row>
    <row r="3502" spans="1:4" x14ac:dyDescent="0.25">
      <c r="A3502" s="1"/>
      <c r="B3502" s="1"/>
      <c r="C3502" s="1"/>
      <c r="D3502" s="1"/>
    </row>
    <row r="3503" spans="1:4" x14ac:dyDescent="0.25">
      <c r="A3503" s="1"/>
      <c r="B3503" s="1"/>
      <c r="C3503" s="1"/>
      <c r="D3503" s="1"/>
    </row>
    <row r="3504" spans="1:4" x14ac:dyDescent="0.25">
      <c r="A3504" s="1"/>
      <c r="B3504" s="1"/>
      <c r="C3504" s="1"/>
      <c r="D3504" s="1"/>
    </row>
    <row r="3505" spans="1:4" x14ac:dyDescent="0.25">
      <c r="A3505" s="1"/>
      <c r="B3505" s="1"/>
      <c r="C3505" s="1"/>
      <c r="D3505" s="1"/>
    </row>
    <row r="3506" spans="1:4" x14ac:dyDescent="0.25">
      <c r="A3506" s="1"/>
      <c r="B3506" s="1"/>
      <c r="C3506" s="1"/>
      <c r="D3506" s="1"/>
    </row>
    <row r="3507" spans="1:4" x14ac:dyDescent="0.25">
      <c r="A3507" s="1"/>
      <c r="B3507" s="1"/>
      <c r="C3507" s="1"/>
      <c r="D3507" s="1"/>
    </row>
    <row r="3508" spans="1:4" x14ac:dyDescent="0.25">
      <c r="A3508" s="1"/>
      <c r="B3508" s="1"/>
      <c r="C3508" s="1"/>
      <c r="D3508" s="1"/>
    </row>
    <row r="3509" spans="1:4" x14ac:dyDescent="0.25">
      <c r="A3509" s="1"/>
      <c r="B3509" s="1"/>
      <c r="C3509" s="1"/>
      <c r="D3509" s="1"/>
    </row>
    <row r="3510" spans="1:4" x14ac:dyDescent="0.25">
      <c r="A3510" s="1"/>
      <c r="B3510" s="1"/>
      <c r="C3510" s="1"/>
      <c r="D3510" s="1"/>
    </row>
    <row r="3511" spans="1:4" x14ac:dyDescent="0.25">
      <c r="A3511" s="1"/>
      <c r="B3511" s="1"/>
      <c r="C3511" s="1"/>
      <c r="D3511" s="1"/>
    </row>
    <row r="3512" spans="1:4" x14ac:dyDescent="0.25">
      <c r="A3512" s="1"/>
      <c r="B3512" s="1"/>
      <c r="C3512" s="1"/>
      <c r="D3512" s="1"/>
    </row>
    <row r="3513" spans="1:4" x14ac:dyDescent="0.25">
      <c r="A3513" s="1"/>
      <c r="B3513" s="1"/>
      <c r="C3513" s="1"/>
      <c r="D3513" s="1"/>
    </row>
    <row r="3514" spans="1:4" x14ac:dyDescent="0.25">
      <c r="A3514" s="1"/>
      <c r="B3514" s="1"/>
      <c r="C3514" s="1"/>
      <c r="D3514" s="1"/>
    </row>
    <row r="3515" spans="1:4" x14ac:dyDescent="0.25">
      <c r="A3515" s="1"/>
      <c r="B3515" s="1"/>
      <c r="C3515" s="1"/>
      <c r="D3515" s="1"/>
    </row>
    <row r="3516" spans="1:4" x14ac:dyDescent="0.25">
      <c r="A3516" s="1"/>
      <c r="B3516" s="1"/>
      <c r="C3516" s="1"/>
      <c r="D3516" s="1"/>
    </row>
    <row r="3517" spans="1:4" x14ac:dyDescent="0.25">
      <c r="A3517" s="1"/>
      <c r="B3517" s="1"/>
      <c r="C3517" s="1"/>
      <c r="D3517" s="1"/>
    </row>
    <row r="3518" spans="1:4" x14ac:dyDescent="0.25">
      <c r="A3518" s="1"/>
      <c r="B3518" s="1"/>
      <c r="C3518" s="1"/>
      <c r="D3518" s="1"/>
    </row>
    <row r="3519" spans="1:4" x14ac:dyDescent="0.25">
      <c r="A3519" s="1"/>
      <c r="B3519" s="1"/>
      <c r="C3519" s="1"/>
      <c r="D3519" s="1"/>
    </row>
    <row r="3520" spans="1:4" x14ac:dyDescent="0.25">
      <c r="A3520" s="1"/>
      <c r="B3520" s="1"/>
      <c r="C3520" s="1"/>
      <c r="D3520" s="1"/>
    </row>
    <row r="3521" spans="1:4" x14ac:dyDescent="0.25">
      <c r="A3521" s="1"/>
      <c r="B3521" s="1"/>
      <c r="C3521" s="1"/>
      <c r="D3521" s="1"/>
    </row>
    <row r="3522" spans="1:4" x14ac:dyDescent="0.25">
      <c r="A3522" s="1"/>
      <c r="B3522" s="1"/>
      <c r="C3522" s="1"/>
      <c r="D3522" s="1"/>
    </row>
    <row r="3523" spans="1:4" x14ac:dyDescent="0.25">
      <c r="A3523" s="1"/>
      <c r="B3523" s="1"/>
      <c r="C3523" s="1"/>
      <c r="D3523" s="1"/>
    </row>
    <row r="3524" spans="1:4" x14ac:dyDescent="0.25">
      <c r="A3524" s="1"/>
      <c r="B3524" s="1"/>
      <c r="C3524" s="1"/>
      <c r="D3524" s="1"/>
    </row>
    <row r="3525" spans="1:4" x14ac:dyDescent="0.25">
      <c r="A3525" s="1"/>
      <c r="B3525" s="1"/>
      <c r="C3525" s="1"/>
      <c r="D3525" s="1"/>
    </row>
    <row r="3526" spans="1:4" x14ac:dyDescent="0.25">
      <c r="A3526" s="1"/>
      <c r="B3526" s="1"/>
      <c r="C3526" s="1"/>
      <c r="D3526" s="1"/>
    </row>
    <row r="3527" spans="1:4" x14ac:dyDescent="0.25">
      <c r="A3527" s="1"/>
      <c r="B3527" s="1"/>
      <c r="C3527" s="1"/>
      <c r="D3527" s="1"/>
    </row>
    <row r="3528" spans="1:4" x14ac:dyDescent="0.25">
      <c r="A3528" s="1"/>
      <c r="B3528" s="1"/>
      <c r="C3528" s="1"/>
      <c r="D3528" s="1"/>
    </row>
    <row r="3529" spans="1:4" x14ac:dyDescent="0.25">
      <c r="A3529" s="1"/>
      <c r="B3529" s="1"/>
      <c r="C3529" s="1"/>
      <c r="D3529" s="1"/>
    </row>
    <row r="3530" spans="1:4" x14ac:dyDescent="0.25">
      <c r="A3530" s="1"/>
      <c r="B3530" s="1"/>
      <c r="C3530" s="1"/>
      <c r="D3530" s="1"/>
    </row>
    <row r="3531" spans="1:4" x14ac:dyDescent="0.25">
      <c r="A3531" s="1"/>
      <c r="B3531" s="1"/>
      <c r="C3531" s="1"/>
      <c r="D3531" s="1"/>
    </row>
    <row r="3532" spans="1:4" x14ac:dyDescent="0.25">
      <c r="A3532" s="1"/>
      <c r="B3532" s="1"/>
      <c r="C3532" s="1"/>
      <c r="D3532" s="1"/>
    </row>
    <row r="3533" spans="1:4" x14ac:dyDescent="0.25">
      <c r="A3533" s="1"/>
      <c r="B3533" s="1"/>
      <c r="C3533" s="1"/>
      <c r="D3533" s="1"/>
    </row>
    <row r="3534" spans="1:4" x14ac:dyDescent="0.25">
      <c r="A3534" s="1"/>
      <c r="B3534" s="1"/>
      <c r="C3534" s="1"/>
      <c r="D3534" s="1"/>
    </row>
    <row r="3535" spans="1:4" x14ac:dyDescent="0.25">
      <c r="A3535" s="1"/>
      <c r="B3535" s="1"/>
      <c r="C3535" s="1"/>
      <c r="D3535" s="1"/>
    </row>
    <row r="3536" spans="1:4" x14ac:dyDescent="0.25">
      <c r="A3536" s="1"/>
      <c r="B3536" s="1"/>
      <c r="C3536" s="1"/>
      <c r="D3536" s="1"/>
    </row>
    <row r="3537" spans="1:4" x14ac:dyDescent="0.25">
      <c r="A3537" s="1"/>
      <c r="B3537" s="1"/>
      <c r="C3537" s="1"/>
      <c r="D3537" s="1"/>
    </row>
    <row r="3538" spans="1:4" x14ac:dyDescent="0.25">
      <c r="A3538" s="1"/>
      <c r="B3538" s="1"/>
      <c r="C3538" s="1"/>
      <c r="D3538" s="1"/>
    </row>
    <row r="3539" spans="1:4" x14ac:dyDescent="0.25">
      <c r="A3539" s="1"/>
      <c r="B3539" s="1"/>
      <c r="C3539" s="1"/>
      <c r="D3539" s="1"/>
    </row>
    <row r="3540" spans="1:4" x14ac:dyDescent="0.25">
      <c r="A3540" s="1"/>
      <c r="B3540" s="1"/>
      <c r="C3540" s="1"/>
      <c r="D3540" s="1"/>
    </row>
    <row r="3541" spans="1:4" x14ac:dyDescent="0.25">
      <c r="A3541" s="1"/>
      <c r="B3541" s="1"/>
      <c r="C3541" s="1"/>
      <c r="D3541" s="1"/>
    </row>
    <row r="3542" spans="1:4" x14ac:dyDescent="0.25">
      <c r="A3542" s="1"/>
      <c r="B3542" s="1"/>
      <c r="C3542" s="1"/>
      <c r="D3542" s="1"/>
    </row>
    <row r="3543" spans="1:4" x14ac:dyDescent="0.25">
      <c r="A3543" s="1"/>
      <c r="B3543" s="1"/>
      <c r="C3543" s="1"/>
      <c r="D3543" s="1"/>
    </row>
    <row r="3544" spans="1:4" x14ac:dyDescent="0.25">
      <c r="A3544" s="1"/>
      <c r="B3544" s="1"/>
      <c r="C3544" s="1"/>
      <c r="D3544" s="1"/>
    </row>
    <row r="3545" spans="1:4" x14ac:dyDescent="0.25">
      <c r="A3545" s="1"/>
      <c r="B3545" s="1"/>
      <c r="C3545" s="1"/>
      <c r="D3545" s="1"/>
    </row>
    <row r="3546" spans="1:4" x14ac:dyDescent="0.25">
      <c r="A3546" s="1"/>
      <c r="B3546" s="1"/>
      <c r="C3546" s="1"/>
      <c r="D3546" s="1"/>
    </row>
    <row r="3547" spans="1:4" x14ac:dyDescent="0.25">
      <c r="A3547" s="1"/>
      <c r="B3547" s="1"/>
      <c r="C3547" s="1"/>
      <c r="D3547" s="1"/>
    </row>
    <row r="3548" spans="1:4" x14ac:dyDescent="0.25">
      <c r="A3548" s="1"/>
      <c r="B3548" s="1"/>
      <c r="C3548" s="1"/>
      <c r="D3548" s="1"/>
    </row>
    <row r="3549" spans="1:4" x14ac:dyDescent="0.25">
      <c r="A3549" s="1"/>
      <c r="B3549" s="1"/>
      <c r="C3549" s="1"/>
      <c r="D3549" s="1"/>
    </row>
    <row r="3550" spans="1:4" x14ac:dyDescent="0.25">
      <c r="A3550" s="1"/>
      <c r="B3550" s="1"/>
      <c r="C3550" s="1"/>
      <c r="D3550" s="1"/>
    </row>
    <row r="3551" spans="1:4" x14ac:dyDescent="0.25">
      <c r="A3551" s="1"/>
      <c r="B3551" s="1"/>
      <c r="C3551" s="1"/>
      <c r="D3551" s="1"/>
    </row>
    <row r="3552" spans="1:4" x14ac:dyDescent="0.25">
      <c r="A3552" s="1"/>
      <c r="B3552" s="1"/>
      <c r="C3552" s="1"/>
      <c r="D3552" s="1"/>
    </row>
    <row r="3553" spans="1:4" x14ac:dyDescent="0.25">
      <c r="A3553" s="1"/>
      <c r="B3553" s="1"/>
      <c r="C3553" s="1"/>
      <c r="D3553" s="1"/>
    </row>
    <row r="3554" spans="1:4" x14ac:dyDescent="0.25">
      <c r="A3554" s="1"/>
      <c r="B3554" s="1"/>
      <c r="C3554" s="1"/>
      <c r="D3554" s="1"/>
    </row>
    <row r="3555" spans="1:4" x14ac:dyDescent="0.25">
      <c r="A3555" s="1"/>
      <c r="B3555" s="1"/>
      <c r="C3555" s="1"/>
      <c r="D3555" s="1"/>
    </row>
    <row r="3556" spans="1:4" x14ac:dyDescent="0.25">
      <c r="A3556" s="1"/>
      <c r="B3556" s="1"/>
      <c r="C3556" s="1"/>
      <c r="D3556" s="1"/>
    </row>
    <row r="3557" spans="1:4" x14ac:dyDescent="0.25">
      <c r="A3557" s="1"/>
      <c r="B3557" s="1"/>
      <c r="C3557" s="1"/>
      <c r="D3557" s="1"/>
    </row>
    <row r="3558" spans="1:4" x14ac:dyDescent="0.25">
      <c r="A3558" s="1"/>
      <c r="B3558" s="1"/>
      <c r="C3558" s="1"/>
      <c r="D3558" s="1"/>
    </row>
    <row r="3559" spans="1:4" x14ac:dyDescent="0.25">
      <c r="A3559" s="1"/>
      <c r="B3559" s="1"/>
      <c r="C3559" s="1"/>
      <c r="D3559" s="1"/>
    </row>
    <row r="3560" spans="1:4" x14ac:dyDescent="0.25">
      <c r="A3560" s="1"/>
      <c r="B3560" s="1"/>
      <c r="C3560" s="1"/>
      <c r="D3560" s="1"/>
    </row>
    <row r="3561" spans="1:4" x14ac:dyDescent="0.25">
      <c r="A3561" s="1"/>
      <c r="B3561" s="1"/>
      <c r="C3561" s="1"/>
      <c r="D3561" s="1"/>
    </row>
    <row r="3562" spans="1:4" x14ac:dyDescent="0.25">
      <c r="A3562" s="1"/>
      <c r="B3562" s="1"/>
      <c r="C3562" s="1"/>
      <c r="D3562" s="1"/>
    </row>
    <row r="3563" spans="1:4" x14ac:dyDescent="0.25">
      <c r="A3563" s="1"/>
      <c r="B3563" s="1"/>
      <c r="C3563" s="1"/>
      <c r="D3563" s="1"/>
    </row>
    <row r="3564" spans="1:4" x14ac:dyDescent="0.25">
      <c r="A3564" s="1"/>
      <c r="B3564" s="1"/>
      <c r="C3564" s="1"/>
      <c r="D3564" s="1"/>
    </row>
    <row r="3565" spans="1:4" x14ac:dyDescent="0.25">
      <c r="A3565" s="1"/>
      <c r="B3565" s="1"/>
      <c r="C3565" s="1"/>
      <c r="D3565" s="1"/>
    </row>
    <row r="3566" spans="1:4" x14ac:dyDescent="0.25">
      <c r="A3566" s="1"/>
      <c r="B3566" s="1"/>
      <c r="C3566" s="1"/>
      <c r="D3566" s="1"/>
    </row>
    <row r="3567" spans="1:4" x14ac:dyDescent="0.25">
      <c r="A3567" s="1"/>
      <c r="B3567" s="1"/>
      <c r="C3567" s="1"/>
      <c r="D3567" s="1"/>
    </row>
    <row r="3568" spans="1:4" x14ac:dyDescent="0.25">
      <c r="A3568" s="1"/>
      <c r="B3568" s="1"/>
      <c r="C3568" s="1"/>
      <c r="D3568" s="1"/>
    </row>
    <row r="3569" spans="1:4" x14ac:dyDescent="0.25">
      <c r="A3569" s="1"/>
      <c r="B3569" s="1"/>
      <c r="C3569" s="1"/>
      <c r="D3569" s="1"/>
    </row>
    <row r="3570" spans="1:4" x14ac:dyDescent="0.25">
      <c r="A3570" s="1"/>
      <c r="B3570" s="1"/>
      <c r="C3570" s="1"/>
      <c r="D3570" s="1"/>
    </row>
    <row r="3571" spans="1:4" x14ac:dyDescent="0.25">
      <c r="A3571" s="1"/>
      <c r="B3571" s="1"/>
      <c r="C3571" s="1"/>
      <c r="D3571" s="1"/>
    </row>
    <row r="3572" spans="1:4" x14ac:dyDescent="0.25">
      <c r="A3572" s="1"/>
      <c r="B3572" s="1"/>
      <c r="C3572" s="1"/>
      <c r="D3572" s="1"/>
    </row>
    <row r="3573" spans="1:4" x14ac:dyDescent="0.25">
      <c r="A3573" s="1"/>
      <c r="B3573" s="1"/>
      <c r="C3573" s="1"/>
      <c r="D3573" s="1"/>
    </row>
    <row r="3574" spans="1:4" x14ac:dyDescent="0.25">
      <c r="A3574" s="1"/>
      <c r="B3574" s="1"/>
      <c r="C3574" s="1"/>
      <c r="D3574" s="1"/>
    </row>
    <row r="3575" spans="1:4" x14ac:dyDescent="0.25">
      <c r="A3575" s="1"/>
      <c r="B3575" s="1"/>
      <c r="C3575" s="1"/>
      <c r="D3575" s="1"/>
    </row>
    <row r="3576" spans="1:4" x14ac:dyDescent="0.25">
      <c r="A3576" s="1"/>
      <c r="B3576" s="1"/>
      <c r="C3576" s="1"/>
      <c r="D3576" s="1"/>
    </row>
    <row r="3577" spans="1:4" x14ac:dyDescent="0.25">
      <c r="A3577" s="1"/>
      <c r="B3577" s="1"/>
      <c r="C3577" s="1"/>
      <c r="D3577" s="1"/>
    </row>
    <row r="3578" spans="1:4" x14ac:dyDescent="0.25">
      <c r="A3578" s="1"/>
      <c r="B3578" s="1"/>
      <c r="C3578" s="1"/>
      <c r="D3578" s="1"/>
    </row>
    <row r="3579" spans="1:4" x14ac:dyDescent="0.25">
      <c r="A3579" s="1"/>
      <c r="B3579" s="1"/>
      <c r="C3579" s="1"/>
      <c r="D3579" s="1"/>
    </row>
    <row r="3580" spans="1:4" x14ac:dyDescent="0.25">
      <c r="A3580" s="1"/>
      <c r="B3580" s="1"/>
      <c r="C3580" s="1"/>
      <c r="D3580" s="1"/>
    </row>
    <row r="3581" spans="1:4" x14ac:dyDescent="0.25">
      <c r="A3581" s="1"/>
      <c r="B3581" s="1"/>
      <c r="C3581" s="1"/>
      <c r="D3581" s="1"/>
    </row>
    <row r="3582" spans="1:4" x14ac:dyDescent="0.25">
      <c r="A3582" s="1"/>
      <c r="B3582" s="1"/>
      <c r="C3582" s="1"/>
      <c r="D3582" s="1"/>
    </row>
    <row r="3583" spans="1:4" x14ac:dyDescent="0.25">
      <c r="A3583" s="1"/>
      <c r="B3583" s="1"/>
      <c r="C3583" s="1"/>
      <c r="D3583" s="1"/>
    </row>
    <row r="3584" spans="1:4" x14ac:dyDescent="0.25">
      <c r="A3584" s="1"/>
      <c r="B3584" s="1"/>
      <c r="C3584" s="1"/>
      <c r="D3584" s="1"/>
    </row>
    <row r="3585" spans="1:4" x14ac:dyDescent="0.25">
      <c r="A3585" s="1"/>
      <c r="B3585" s="1"/>
      <c r="C3585" s="1"/>
      <c r="D3585" s="1"/>
    </row>
    <row r="3586" spans="1:4" x14ac:dyDescent="0.25">
      <c r="A3586" s="1"/>
      <c r="B3586" s="1"/>
      <c r="C3586" s="1"/>
      <c r="D3586" s="1"/>
    </row>
    <row r="3587" spans="1:4" x14ac:dyDescent="0.25">
      <c r="A3587" s="1"/>
      <c r="B3587" s="1"/>
      <c r="C3587" s="1"/>
      <c r="D3587" s="1"/>
    </row>
    <row r="3588" spans="1:4" x14ac:dyDescent="0.25">
      <c r="A3588" s="1"/>
      <c r="B3588" s="1"/>
      <c r="C3588" s="1"/>
      <c r="D3588" s="1"/>
    </row>
    <row r="3589" spans="1:4" x14ac:dyDescent="0.25">
      <c r="A3589" s="1"/>
      <c r="B3589" s="1"/>
      <c r="C3589" s="1"/>
      <c r="D3589" s="1"/>
    </row>
    <row r="3590" spans="1:4" x14ac:dyDescent="0.25">
      <c r="A3590" s="1"/>
      <c r="B3590" s="1"/>
      <c r="C3590" s="1"/>
      <c r="D3590" s="1"/>
    </row>
    <row r="3591" spans="1:4" x14ac:dyDescent="0.25">
      <c r="A3591" s="1"/>
      <c r="B3591" s="1"/>
      <c r="C3591" s="1"/>
      <c r="D3591" s="1"/>
    </row>
    <row r="3592" spans="1:4" x14ac:dyDescent="0.25">
      <c r="A3592" s="1"/>
      <c r="B3592" s="1"/>
      <c r="C3592" s="1"/>
      <c r="D3592" s="1"/>
    </row>
    <row r="3593" spans="1:4" x14ac:dyDescent="0.25">
      <c r="A3593" s="1"/>
      <c r="B3593" s="1"/>
      <c r="C3593" s="1"/>
      <c r="D3593" s="1"/>
    </row>
    <row r="3594" spans="1:4" x14ac:dyDescent="0.25">
      <c r="A3594" s="1"/>
      <c r="B3594" s="1"/>
      <c r="C3594" s="1"/>
      <c r="D3594" s="1"/>
    </row>
    <row r="3595" spans="1:4" x14ac:dyDescent="0.25">
      <c r="A3595" s="1"/>
      <c r="B3595" s="1"/>
      <c r="C3595" s="1"/>
      <c r="D3595" s="1"/>
    </row>
    <row r="3596" spans="1:4" x14ac:dyDescent="0.25">
      <c r="A3596" s="1"/>
      <c r="B3596" s="1"/>
      <c r="C3596" s="1"/>
      <c r="D3596" s="1"/>
    </row>
    <row r="3597" spans="1:4" x14ac:dyDescent="0.25">
      <c r="A3597" s="1"/>
      <c r="B3597" s="1"/>
      <c r="C3597" s="1"/>
      <c r="D3597" s="1"/>
    </row>
    <row r="3598" spans="1:4" x14ac:dyDescent="0.25">
      <c r="A3598" s="1"/>
      <c r="B3598" s="1"/>
      <c r="C3598" s="1"/>
      <c r="D3598" s="1"/>
    </row>
    <row r="3599" spans="1:4" x14ac:dyDescent="0.25">
      <c r="A3599" s="1"/>
      <c r="B3599" s="1"/>
      <c r="C3599" s="1"/>
      <c r="D3599" s="1"/>
    </row>
    <row r="3600" spans="1:4" x14ac:dyDescent="0.25">
      <c r="A3600" s="1"/>
      <c r="B3600" s="1"/>
      <c r="C3600" s="1"/>
      <c r="D3600" s="1"/>
    </row>
    <row r="3601" spans="1:4" x14ac:dyDescent="0.25">
      <c r="A3601" s="1"/>
      <c r="B3601" s="1"/>
      <c r="C3601" s="1"/>
      <c r="D3601" s="1"/>
    </row>
    <row r="3602" spans="1:4" x14ac:dyDescent="0.25">
      <c r="A3602" s="1"/>
      <c r="B3602" s="1"/>
      <c r="C3602" s="1"/>
      <c r="D3602" s="1"/>
    </row>
    <row r="3603" spans="1:4" x14ac:dyDescent="0.25">
      <c r="A3603" s="1"/>
      <c r="B3603" s="1"/>
      <c r="C3603" s="1"/>
      <c r="D3603" s="1"/>
    </row>
    <row r="3604" spans="1:4" x14ac:dyDescent="0.25">
      <c r="A3604" s="1"/>
      <c r="B3604" s="1"/>
      <c r="C3604" s="1"/>
      <c r="D3604" s="1"/>
    </row>
    <row r="3605" spans="1:4" x14ac:dyDescent="0.25">
      <c r="A3605" s="1"/>
      <c r="B3605" s="1"/>
      <c r="C3605" s="1"/>
      <c r="D3605" s="1"/>
    </row>
    <row r="3606" spans="1:4" x14ac:dyDescent="0.25">
      <c r="A3606" s="1"/>
      <c r="B3606" s="1"/>
      <c r="C3606" s="1"/>
      <c r="D3606" s="1"/>
    </row>
    <row r="3607" spans="1:4" x14ac:dyDescent="0.25">
      <c r="A3607" s="1"/>
      <c r="B3607" s="1"/>
      <c r="C3607" s="1"/>
      <c r="D3607" s="1"/>
    </row>
    <row r="3608" spans="1:4" x14ac:dyDescent="0.25">
      <c r="A3608" s="1"/>
      <c r="B3608" s="1"/>
      <c r="C3608" s="1"/>
      <c r="D3608" s="1"/>
    </row>
    <row r="3609" spans="1:4" x14ac:dyDescent="0.25">
      <c r="A3609" s="1"/>
      <c r="B3609" s="1"/>
      <c r="C3609" s="1"/>
      <c r="D3609" s="1"/>
    </row>
    <row r="3610" spans="1:4" x14ac:dyDescent="0.25">
      <c r="A3610" s="1"/>
      <c r="B3610" s="1"/>
      <c r="C3610" s="1"/>
      <c r="D3610" s="1"/>
    </row>
    <row r="3611" spans="1:4" x14ac:dyDescent="0.25">
      <c r="A3611" s="1"/>
      <c r="B3611" s="1"/>
      <c r="C3611" s="1"/>
      <c r="D3611" s="1"/>
    </row>
    <row r="3612" spans="1:4" x14ac:dyDescent="0.25">
      <c r="A3612" s="1"/>
      <c r="B3612" s="1"/>
      <c r="C3612" s="1"/>
      <c r="D3612" s="1"/>
    </row>
    <row r="3613" spans="1:4" x14ac:dyDescent="0.25">
      <c r="A3613" s="1"/>
      <c r="B3613" s="1"/>
      <c r="C3613" s="1"/>
      <c r="D3613" s="1"/>
    </row>
    <row r="3614" spans="1:4" x14ac:dyDescent="0.25">
      <c r="A3614" s="1"/>
      <c r="B3614" s="1"/>
      <c r="C3614" s="1"/>
      <c r="D3614" s="1"/>
    </row>
    <row r="3615" spans="1:4" x14ac:dyDescent="0.25">
      <c r="A3615" s="1"/>
      <c r="B3615" s="1"/>
      <c r="C3615" s="1"/>
      <c r="D3615" s="1"/>
    </row>
    <row r="3616" spans="1:4" x14ac:dyDescent="0.25">
      <c r="A3616" s="1"/>
      <c r="B3616" s="1"/>
      <c r="C3616" s="1"/>
      <c r="D3616" s="1"/>
    </row>
    <row r="3617" spans="1:4" x14ac:dyDescent="0.25">
      <c r="A3617" s="1"/>
      <c r="B3617" s="1"/>
      <c r="C3617" s="1"/>
      <c r="D3617" s="1"/>
    </row>
    <row r="3618" spans="1:4" x14ac:dyDescent="0.25">
      <c r="A3618" s="1"/>
      <c r="B3618" s="1"/>
      <c r="C3618" s="1"/>
      <c r="D3618" s="1"/>
    </row>
    <row r="3619" spans="1:4" x14ac:dyDescent="0.25">
      <c r="A3619" s="1"/>
      <c r="B3619" s="1"/>
      <c r="C3619" s="1"/>
      <c r="D3619" s="1"/>
    </row>
    <row r="3620" spans="1:4" x14ac:dyDescent="0.25">
      <c r="A3620" s="1"/>
      <c r="B3620" s="1"/>
      <c r="C3620" s="1"/>
      <c r="D3620" s="1"/>
    </row>
    <row r="3621" spans="1:4" x14ac:dyDescent="0.25">
      <c r="A3621" s="1"/>
      <c r="B3621" s="1"/>
      <c r="C3621" s="1"/>
      <c r="D3621" s="1"/>
    </row>
    <row r="3622" spans="1:4" x14ac:dyDescent="0.25">
      <c r="A3622" s="1"/>
      <c r="B3622" s="1"/>
      <c r="C3622" s="1"/>
      <c r="D3622" s="1"/>
    </row>
    <row r="3623" spans="1:4" x14ac:dyDescent="0.25">
      <c r="A3623" s="1"/>
      <c r="B3623" s="1"/>
      <c r="C3623" s="1"/>
      <c r="D3623" s="1"/>
    </row>
    <row r="3624" spans="1:4" x14ac:dyDescent="0.25">
      <c r="A3624" s="1"/>
      <c r="B3624" s="1"/>
      <c r="C3624" s="1"/>
      <c r="D3624" s="1"/>
    </row>
    <row r="3625" spans="1:4" x14ac:dyDescent="0.25">
      <c r="A3625" s="1"/>
      <c r="B3625" s="1"/>
      <c r="C3625" s="1"/>
      <c r="D3625" s="1"/>
    </row>
    <row r="3626" spans="1:4" x14ac:dyDescent="0.25">
      <c r="A3626" s="1"/>
      <c r="B3626" s="1"/>
      <c r="C3626" s="1"/>
      <c r="D3626" s="1"/>
    </row>
    <row r="3627" spans="1:4" x14ac:dyDescent="0.25">
      <c r="A3627" s="1"/>
      <c r="B3627" s="1"/>
      <c r="C3627" s="1"/>
      <c r="D3627" s="1"/>
    </row>
    <row r="3628" spans="1:4" x14ac:dyDescent="0.25">
      <c r="A3628" s="1"/>
      <c r="B3628" s="1"/>
      <c r="C3628" s="1"/>
      <c r="D3628" s="1"/>
    </row>
    <row r="3629" spans="1:4" x14ac:dyDescent="0.25">
      <c r="A3629" s="1"/>
      <c r="B3629" s="1"/>
      <c r="C3629" s="1"/>
      <c r="D3629" s="1"/>
    </row>
    <row r="3630" spans="1:4" x14ac:dyDescent="0.25">
      <c r="A3630" s="1"/>
      <c r="B3630" s="1"/>
      <c r="C3630" s="1"/>
      <c r="D3630" s="1"/>
    </row>
    <row r="3631" spans="1:4" x14ac:dyDescent="0.25">
      <c r="A3631" s="1"/>
      <c r="B3631" s="1"/>
      <c r="C3631" s="1"/>
      <c r="D3631" s="1"/>
    </row>
    <row r="3632" spans="1:4" x14ac:dyDescent="0.25">
      <c r="A3632" s="1"/>
      <c r="B3632" s="1"/>
      <c r="C3632" s="1"/>
      <c r="D3632" s="1"/>
    </row>
    <row r="3633" spans="1:4" x14ac:dyDescent="0.25">
      <c r="A3633" s="1"/>
      <c r="B3633" s="1"/>
      <c r="C3633" s="1"/>
      <c r="D3633" s="1"/>
    </row>
    <row r="3634" spans="1:4" x14ac:dyDescent="0.25">
      <c r="A3634" s="1"/>
      <c r="B3634" s="1"/>
      <c r="C3634" s="1"/>
      <c r="D3634" s="1"/>
    </row>
    <row r="3635" spans="1:4" x14ac:dyDescent="0.25">
      <c r="A3635" s="1"/>
      <c r="B3635" s="1"/>
      <c r="C3635" s="1"/>
      <c r="D3635" s="1"/>
    </row>
    <row r="3636" spans="1:4" x14ac:dyDescent="0.25">
      <c r="A3636" s="1"/>
      <c r="B3636" s="1"/>
      <c r="C3636" s="1"/>
      <c r="D3636" s="1"/>
    </row>
    <row r="3637" spans="1:4" x14ac:dyDescent="0.25">
      <c r="A3637" s="1"/>
      <c r="B3637" s="1"/>
      <c r="C3637" s="1"/>
      <c r="D3637" s="1"/>
    </row>
    <row r="3638" spans="1:4" x14ac:dyDescent="0.25">
      <c r="A3638" s="1"/>
      <c r="B3638" s="1"/>
      <c r="C3638" s="1"/>
      <c r="D3638" s="1"/>
    </row>
    <row r="3639" spans="1:4" x14ac:dyDescent="0.25">
      <c r="A3639" s="1"/>
      <c r="B3639" s="1"/>
      <c r="C3639" s="1"/>
      <c r="D3639" s="1"/>
    </row>
    <row r="3640" spans="1:4" x14ac:dyDescent="0.25">
      <c r="A3640" s="1"/>
      <c r="B3640" s="1"/>
      <c r="C3640" s="1"/>
      <c r="D3640" s="1"/>
    </row>
    <row r="3641" spans="1:4" x14ac:dyDescent="0.25">
      <c r="A3641" s="1"/>
      <c r="B3641" s="1"/>
      <c r="C3641" s="1"/>
      <c r="D3641" s="1"/>
    </row>
    <row r="3642" spans="1:4" x14ac:dyDescent="0.25">
      <c r="A3642" s="1"/>
      <c r="B3642" s="1"/>
      <c r="C3642" s="1"/>
      <c r="D3642" s="1"/>
    </row>
    <row r="3643" spans="1:4" x14ac:dyDescent="0.25">
      <c r="A3643" s="1"/>
      <c r="B3643" s="1"/>
      <c r="C3643" s="1"/>
      <c r="D3643" s="1"/>
    </row>
    <row r="3644" spans="1:4" x14ac:dyDescent="0.25">
      <c r="A3644" s="1"/>
      <c r="B3644" s="1"/>
      <c r="C3644" s="1"/>
      <c r="D3644" s="1"/>
    </row>
    <row r="3645" spans="1:4" x14ac:dyDescent="0.25">
      <c r="A3645" s="1"/>
      <c r="B3645" s="1"/>
      <c r="C3645" s="1"/>
      <c r="D3645" s="1"/>
    </row>
    <row r="3646" spans="1:4" x14ac:dyDescent="0.25">
      <c r="A3646" s="1"/>
      <c r="B3646" s="1"/>
      <c r="C3646" s="1"/>
      <c r="D3646" s="1"/>
    </row>
    <row r="3647" spans="1:4" x14ac:dyDescent="0.25">
      <c r="A3647" s="1"/>
      <c r="B3647" s="1"/>
      <c r="C3647" s="1"/>
      <c r="D3647" s="1"/>
    </row>
    <row r="3648" spans="1:4" x14ac:dyDescent="0.25">
      <c r="A3648" s="1"/>
      <c r="B3648" s="1"/>
      <c r="C3648" s="1"/>
      <c r="D3648" s="1"/>
    </row>
    <row r="3649" spans="1:4" x14ac:dyDescent="0.25">
      <c r="A3649" s="1"/>
      <c r="B3649" s="1"/>
      <c r="C3649" s="1"/>
      <c r="D3649" s="1"/>
    </row>
    <row r="3650" spans="1:4" x14ac:dyDescent="0.25">
      <c r="A3650" s="1"/>
      <c r="B3650" s="1"/>
      <c r="C3650" s="1"/>
      <c r="D3650" s="1"/>
    </row>
    <row r="3651" spans="1:4" x14ac:dyDescent="0.25">
      <c r="A3651" s="1"/>
      <c r="B3651" s="1"/>
      <c r="C3651" s="1"/>
      <c r="D3651" s="1"/>
    </row>
    <row r="3652" spans="1:4" x14ac:dyDescent="0.25">
      <c r="A3652" s="1"/>
      <c r="B3652" s="1"/>
      <c r="C3652" s="1"/>
      <c r="D3652" s="1"/>
    </row>
    <row r="3653" spans="1:4" x14ac:dyDescent="0.25">
      <c r="A3653" s="1"/>
      <c r="B3653" s="1"/>
      <c r="C3653" s="1"/>
      <c r="D3653" s="1"/>
    </row>
    <row r="3654" spans="1:4" x14ac:dyDescent="0.25">
      <c r="A3654" s="1"/>
      <c r="B3654" s="1"/>
      <c r="C3654" s="1"/>
      <c r="D3654" s="1"/>
    </row>
    <row r="3655" spans="1:4" x14ac:dyDescent="0.25">
      <c r="A3655" s="1"/>
      <c r="B3655" s="1"/>
      <c r="C3655" s="1"/>
      <c r="D3655" s="1"/>
    </row>
    <row r="3656" spans="1:4" x14ac:dyDescent="0.25">
      <c r="A3656" s="1"/>
      <c r="B3656" s="1"/>
      <c r="C3656" s="1"/>
      <c r="D3656" s="1"/>
    </row>
    <row r="3657" spans="1:4" x14ac:dyDescent="0.25">
      <c r="A3657" s="1"/>
      <c r="B3657" s="1"/>
      <c r="C3657" s="1"/>
      <c r="D3657" s="1"/>
    </row>
    <row r="3658" spans="1:4" x14ac:dyDescent="0.25">
      <c r="A3658" s="1"/>
      <c r="B3658" s="1"/>
      <c r="C3658" s="1"/>
      <c r="D3658" s="1"/>
    </row>
    <row r="3659" spans="1:4" x14ac:dyDescent="0.25">
      <c r="A3659" s="1"/>
      <c r="B3659" s="1"/>
      <c r="C3659" s="1"/>
      <c r="D3659" s="1"/>
    </row>
    <row r="3660" spans="1:4" x14ac:dyDescent="0.25">
      <c r="A3660" s="1"/>
      <c r="B3660" s="1"/>
      <c r="C3660" s="1"/>
      <c r="D3660" s="1"/>
    </row>
    <row r="3661" spans="1:4" x14ac:dyDescent="0.25">
      <c r="A3661" s="1"/>
      <c r="B3661" s="1"/>
      <c r="C3661" s="1"/>
      <c r="D3661" s="1"/>
    </row>
    <row r="3662" spans="1:4" x14ac:dyDescent="0.25">
      <c r="A3662" s="1"/>
      <c r="B3662" s="1"/>
      <c r="C3662" s="1"/>
      <c r="D3662" s="1"/>
    </row>
    <row r="3663" spans="1:4" x14ac:dyDescent="0.25">
      <c r="A3663" s="1"/>
      <c r="B3663" s="1"/>
      <c r="C3663" s="1"/>
      <c r="D3663" s="1"/>
    </row>
    <row r="3664" spans="1:4" x14ac:dyDescent="0.25">
      <c r="A3664" s="1"/>
      <c r="B3664" s="1"/>
      <c r="C3664" s="1"/>
      <c r="D3664" s="1"/>
    </row>
    <row r="3665" spans="1:4" x14ac:dyDescent="0.25">
      <c r="A3665" s="1"/>
      <c r="B3665" s="1"/>
      <c r="C3665" s="1"/>
      <c r="D3665" s="1"/>
    </row>
    <row r="3666" spans="1:4" x14ac:dyDescent="0.25">
      <c r="A3666" s="1"/>
      <c r="B3666" s="1"/>
      <c r="C3666" s="1"/>
      <c r="D3666" s="1"/>
    </row>
    <row r="3667" spans="1:4" x14ac:dyDescent="0.25">
      <c r="A3667" s="1"/>
      <c r="B3667" s="1"/>
      <c r="C3667" s="1"/>
      <c r="D3667" s="1"/>
    </row>
    <row r="3668" spans="1:4" x14ac:dyDescent="0.25">
      <c r="A3668" s="1"/>
      <c r="B3668" s="1"/>
      <c r="C3668" s="1"/>
      <c r="D3668" s="1"/>
    </row>
    <row r="3669" spans="1:4" x14ac:dyDescent="0.25">
      <c r="A3669" s="1"/>
      <c r="B3669" s="1"/>
      <c r="C3669" s="1"/>
      <c r="D3669" s="1"/>
    </row>
    <row r="3670" spans="1:4" x14ac:dyDescent="0.25">
      <c r="A3670" s="1"/>
      <c r="B3670" s="1"/>
      <c r="C3670" s="1"/>
      <c r="D3670" s="1"/>
    </row>
    <row r="3671" spans="1:4" x14ac:dyDescent="0.25">
      <c r="A3671" s="1"/>
      <c r="B3671" s="1"/>
      <c r="C3671" s="1"/>
      <c r="D3671" s="1"/>
    </row>
    <row r="3672" spans="1:4" x14ac:dyDescent="0.25">
      <c r="A3672" s="1"/>
      <c r="B3672" s="1"/>
      <c r="C3672" s="1"/>
      <c r="D3672" s="1"/>
    </row>
    <row r="3673" spans="1:4" x14ac:dyDescent="0.25">
      <c r="A3673" s="1"/>
      <c r="B3673" s="1"/>
      <c r="C3673" s="1"/>
      <c r="D3673" s="1"/>
    </row>
    <row r="3674" spans="1:4" x14ac:dyDescent="0.25">
      <c r="A3674" s="1"/>
      <c r="B3674" s="1"/>
      <c r="C3674" s="1"/>
      <c r="D3674" s="1"/>
    </row>
    <row r="3675" spans="1:4" x14ac:dyDescent="0.25">
      <c r="A3675" s="1"/>
      <c r="B3675" s="1"/>
      <c r="C3675" s="1"/>
      <c r="D3675" s="1"/>
    </row>
    <row r="3676" spans="1:4" x14ac:dyDescent="0.25">
      <c r="A3676" s="1"/>
      <c r="B3676" s="1"/>
      <c r="C3676" s="1"/>
      <c r="D3676" s="1"/>
    </row>
    <row r="3677" spans="1:4" x14ac:dyDescent="0.25">
      <c r="A3677" s="1"/>
      <c r="B3677" s="1"/>
      <c r="C3677" s="1"/>
      <c r="D3677" s="1"/>
    </row>
    <row r="3678" spans="1:4" x14ac:dyDescent="0.25">
      <c r="A3678" s="1"/>
      <c r="B3678" s="1"/>
      <c r="C3678" s="1"/>
      <c r="D3678" s="1"/>
    </row>
    <row r="3679" spans="1:4" x14ac:dyDescent="0.25">
      <c r="A3679" s="1"/>
      <c r="B3679" s="1"/>
      <c r="C3679" s="1"/>
      <c r="D3679" s="1"/>
    </row>
    <row r="3680" spans="1:4" x14ac:dyDescent="0.25">
      <c r="A3680" s="1"/>
      <c r="B3680" s="1"/>
      <c r="C3680" s="1"/>
      <c r="D3680" s="1"/>
    </row>
    <row r="3681" spans="1:4" x14ac:dyDescent="0.25">
      <c r="A3681" s="1"/>
      <c r="B3681" s="1"/>
      <c r="C3681" s="1"/>
      <c r="D3681" s="1"/>
    </row>
    <row r="3682" spans="1:4" x14ac:dyDescent="0.25">
      <c r="A3682" s="1"/>
      <c r="B3682" s="1"/>
      <c r="C3682" s="1"/>
      <c r="D3682" s="1"/>
    </row>
    <row r="3683" spans="1:4" x14ac:dyDescent="0.25">
      <c r="A3683" s="1"/>
      <c r="B3683" s="1"/>
      <c r="C3683" s="1"/>
      <c r="D3683" s="1"/>
    </row>
    <row r="3684" spans="1:4" x14ac:dyDescent="0.25">
      <c r="A3684" s="1"/>
      <c r="B3684" s="1"/>
      <c r="C3684" s="1"/>
      <c r="D3684" s="1"/>
    </row>
    <row r="3685" spans="1:4" x14ac:dyDescent="0.25">
      <c r="A3685" s="1"/>
      <c r="B3685" s="1"/>
      <c r="C3685" s="1"/>
      <c r="D3685" s="1"/>
    </row>
    <row r="3686" spans="1:4" x14ac:dyDescent="0.25">
      <c r="A3686" s="1"/>
      <c r="B3686" s="1"/>
      <c r="C3686" s="1"/>
      <c r="D3686" s="1"/>
    </row>
    <row r="3687" spans="1:4" x14ac:dyDescent="0.25">
      <c r="A3687" s="1"/>
      <c r="B3687" s="1"/>
      <c r="C3687" s="1"/>
      <c r="D3687" s="1"/>
    </row>
    <row r="3688" spans="1:4" x14ac:dyDescent="0.25">
      <c r="A3688" s="1"/>
      <c r="B3688" s="1"/>
      <c r="C3688" s="1"/>
      <c r="D3688" s="1"/>
    </row>
    <row r="3689" spans="1:4" x14ac:dyDescent="0.25">
      <c r="A3689" s="1"/>
      <c r="B3689" s="1"/>
      <c r="C3689" s="1"/>
      <c r="D3689" s="1"/>
    </row>
    <row r="3690" spans="1:4" x14ac:dyDescent="0.25">
      <c r="A3690" s="1"/>
      <c r="B3690" s="1"/>
      <c r="C3690" s="1"/>
      <c r="D3690" s="1"/>
    </row>
    <row r="3691" spans="1:4" x14ac:dyDescent="0.25">
      <c r="A3691" s="1"/>
      <c r="B3691" s="1"/>
      <c r="C3691" s="1"/>
      <c r="D3691" s="1"/>
    </row>
    <row r="3692" spans="1:4" x14ac:dyDescent="0.25">
      <c r="A3692" s="1"/>
      <c r="B3692" s="1"/>
      <c r="C3692" s="1"/>
      <c r="D3692" s="1"/>
    </row>
    <row r="3693" spans="1:4" x14ac:dyDescent="0.25">
      <c r="A3693" s="1"/>
      <c r="B3693" s="1"/>
      <c r="C3693" s="1"/>
      <c r="D3693" s="1"/>
    </row>
    <row r="3694" spans="1:4" x14ac:dyDescent="0.25">
      <c r="A3694" s="1"/>
      <c r="B3694" s="1"/>
      <c r="C3694" s="1"/>
      <c r="D3694" s="1"/>
    </row>
    <row r="3695" spans="1:4" x14ac:dyDescent="0.25">
      <c r="A3695" s="1"/>
      <c r="B3695" s="1"/>
      <c r="C3695" s="1"/>
      <c r="D3695" s="1"/>
    </row>
    <row r="3696" spans="1:4" x14ac:dyDescent="0.25">
      <c r="A3696" s="1"/>
      <c r="B3696" s="1"/>
      <c r="C3696" s="1"/>
      <c r="D3696" s="1"/>
    </row>
    <row r="3697" spans="1:4" x14ac:dyDescent="0.25">
      <c r="A3697" s="1"/>
      <c r="B3697" s="1"/>
      <c r="C3697" s="1"/>
      <c r="D3697" s="1"/>
    </row>
    <row r="3698" spans="1:4" x14ac:dyDescent="0.25">
      <c r="A3698" s="1"/>
      <c r="B3698" s="1"/>
      <c r="C3698" s="1"/>
      <c r="D3698" s="1"/>
    </row>
    <row r="3699" spans="1:4" x14ac:dyDescent="0.25">
      <c r="A3699" s="1"/>
      <c r="B3699" s="1"/>
      <c r="C3699" s="1"/>
      <c r="D3699" s="1"/>
    </row>
    <row r="3700" spans="1:4" x14ac:dyDescent="0.25">
      <c r="A3700" s="1"/>
      <c r="B3700" s="1"/>
      <c r="C3700" s="1"/>
      <c r="D3700" s="1"/>
    </row>
    <row r="3701" spans="1:4" x14ac:dyDescent="0.25">
      <c r="A3701" s="1"/>
      <c r="B3701" s="1"/>
      <c r="C3701" s="1"/>
      <c r="D3701" s="1"/>
    </row>
    <row r="3702" spans="1:4" x14ac:dyDescent="0.25">
      <c r="A3702" s="1"/>
      <c r="B3702" s="1"/>
      <c r="C3702" s="1"/>
      <c r="D3702" s="1"/>
    </row>
    <row r="3703" spans="1:4" x14ac:dyDescent="0.25">
      <c r="A3703" s="1"/>
      <c r="B3703" s="1"/>
      <c r="C3703" s="1"/>
      <c r="D3703" s="1"/>
    </row>
    <row r="3704" spans="1:4" x14ac:dyDescent="0.25">
      <c r="A3704" s="1"/>
      <c r="B3704" s="1"/>
      <c r="C3704" s="1"/>
      <c r="D3704" s="1"/>
    </row>
    <row r="3705" spans="1:4" x14ac:dyDescent="0.25">
      <c r="A3705" s="1"/>
      <c r="B3705" s="1"/>
      <c r="C3705" s="1"/>
      <c r="D3705" s="1"/>
    </row>
    <row r="3706" spans="1:4" x14ac:dyDescent="0.25">
      <c r="A3706" s="1"/>
      <c r="B3706" s="1"/>
      <c r="C3706" s="1"/>
      <c r="D3706" s="1"/>
    </row>
    <row r="3707" spans="1:4" x14ac:dyDescent="0.25">
      <c r="A3707" s="1"/>
      <c r="B3707" s="1"/>
      <c r="C3707" s="1"/>
      <c r="D3707" s="1"/>
    </row>
    <row r="3708" spans="1:4" x14ac:dyDescent="0.25">
      <c r="A3708" s="1"/>
      <c r="B3708" s="1"/>
      <c r="C3708" s="1"/>
      <c r="D3708" s="1"/>
    </row>
    <row r="3709" spans="1:4" x14ac:dyDescent="0.25">
      <c r="A3709" s="1"/>
      <c r="B3709" s="1"/>
      <c r="C3709" s="1"/>
      <c r="D3709" s="1"/>
    </row>
    <row r="3710" spans="1:4" x14ac:dyDescent="0.25">
      <c r="A3710" s="1"/>
      <c r="B3710" s="1"/>
      <c r="C3710" s="1"/>
      <c r="D3710" s="1"/>
    </row>
    <row r="3711" spans="1:4" x14ac:dyDescent="0.25">
      <c r="A3711" s="1"/>
      <c r="B3711" s="1"/>
      <c r="C3711" s="1"/>
      <c r="D3711" s="1"/>
    </row>
    <row r="3712" spans="1:4" x14ac:dyDescent="0.25">
      <c r="A3712" s="1"/>
      <c r="B3712" s="1"/>
      <c r="C3712" s="1"/>
      <c r="D3712" s="1"/>
    </row>
    <row r="3713" spans="1:4" x14ac:dyDescent="0.25">
      <c r="A3713" s="1"/>
      <c r="B3713" s="1"/>
      <c r="C3713" s="1"/>
      <c r="D3713" s="1"/>
    </row>
    <row r="3714" spans="1:4" x14ac:dyDescent="0.25">
      <c r="A3714" s="1"/>
      <c r="B3714" s="1"/>
      <c r="C3714" s="1"/>
      <c r="D3714" s="1"/>
    </row>
    <row r="3715" spans="1:4" x14ac:dyDescent="0.25">
      <c r="A3715" s="1"/>
      <c r="B3715" s="1"/>
      <c r="C3715" s="1"/>
      <c r="D3715" s="1"/>
    </row>
    <row r="3716" spans="1:4" x14ac:dyDescent="0.25">
      <c r="A3716" s="1"/>
      <c r="B3716" s="1"/>
      <c r="C3716" s="1"/>
      <c r="D3716" s="1"/>
    </row>
    <row r="3717" spans="1:4" x14ac:dyDescent="0.25">
      <c r="A3717" s="1"/>
      <c r="B3717" s="1"/>
      <c r="C3717" s="1"/>
      <c r="D3717" s="1"/>
    </row>
    <row r="3718" spans="1:4" x14ac:dyDescent="0.25">
      <c r="A3718" s="1"/>
      <c r="B3718" s="1"/>
      <c r="C3718" s="1"/>
      <c r="D3718" s="1"/>
    </row>
    <row r="3719" spans="1:4" x14ac:dyDescent="0.25">
      <c r="A3719" s="1"/>
      <c r="B3719" s="1"/>
      <c r="C3719" s="1"/>
      <c r="D3719" s="1"/>
    </row>
    <row r="3720" spans="1:4" x14ac:dyDescent="0.25">
      <c r="A3720" s="1"/>
      <c r="B3720" s="1"/>
      <c r="C3720" s="1"/>
      <c r="D3720" s="1"/>
    </row>
    <row r="3721" spans="1:4" x14ac:dyDescent="0.25">
      <c r="A3721" s="1"/>
      <c r="B3721" s="1"/>
      <c r="C3721" s="1"/>
      <c r="D3721" s="1"/>
    </row>
    <row r="3722" spans="1:4" x14ac:dyDescent="0.25">
      <c r="A3722" s="1"/>
      <c r="B3722" s="1"/>
      <c r="C3722" s="1"/>
      <c r="D3722" s="1"/>
    </row>
    <row r="3723" spans="1:4" x14ac:dyDescent="0.25">
      <c r="A3723" s="1"/>
      <c r="B3723" s="1"/>
      <c r="C3723" s="1"/>
      <c r="D3723" s="1"/>
    </row>
    <row r="3724" spans="1:4" x14ac:dyDescent="0.25">
      <c r="A3724" s="1"/>
      <c r="B3724" s="1"/>
      <c r="C3724" s="1"/>
      <c r="D3724" s="1"/>
    </row>
    <row r="3725" spans="1:4" x14ac:dyDescent="0.25">
      <c r="A3725" s="1"/>
      <c r="B3725" s="1"/>
      <c r="C3725" s="1"/>
      <c r="D3725" s="1"/>
    </row>
    <row r="3726" spans="1:4" x14ac:dyDescent="0.25">
      <c r="A3726" s="1"/>
      <c r="B3726" s="1"/>
      <c r="C3726" s="1"/>
      <c r="D3726" s="1"/>
    </row>
    <row r="3727" spans="1:4" x14ac:dyDescent="0.25">
      <c r="A3727" s="1"/>
      <c r="B3727" s="1"/>
      <c r="C3727" s="1"/>
      <c r="D3727" s="1"/>
    </row>
    <row r="3728" spans="1:4" x14ac:dyDescent="0.25">
      <c r="A3728" s="1"/>
      <c r="B3728" s="1"/>
      <c r="C3728" s="1"/>
      <c r="D3728" s="1"/>
    </row>
    <row r="3729" spans="1:4" x14ac:dyDescent="0.25">
      <c r="A3729" s="1"/>
      <c r="B3729" s="1"/>
      <c r="C3729" s="1"/>
      <c r="D3729" s="1"/>
    </row>
    <row r="3730" spans="1:4" x14ac:dyDescent="0.25">
      <c r="A3730" s="1"/>
      <c r="B3730" s="1"/>
      <c r="C3730" s="1"/>
      <c r="D3730" s="1"/>
    </row>
    <row r="3731" spans="1:4" x14ac:dyDescent="0.25">
      <c r="A3731" s="1"/>
      <c r="B3731" s="1"/>
      <c r="C3731" s="1"/>
      <c r="D3731" s="1"/>
    </row>
    <row r="3732" spans="1:4" x14ac:dyDescent="0.25">
      <c r="A3732" s="1"/>
      <c r="B3732" s="1"/>
      <c r="C3732" s="1"/>
      <c r="D3732" s="1"/>
    </row>
    <row r="3733" spans="1:4" x14ac:dyDescent="0.25">
      <c r="A3733" s="1"/>
      <c r="B3733" s="1"/>
      <c r="C3733" s="1"/>
      <c r="D3733" s="1"/>
    </row>
    <row r="3734" spans="1:4" x14ac:dyDescent="0.25">
      <c r="A3734" s="1"/>
      <c r="B3734" s="1"/>
      <c r="C3734" s="1"/>
      <c r="D3734" s="1"/>
    </row>
    <row r="3735" spans="1:4" x14ac:dyDescent="0.25">
      <c r="A3735" s="1"/>
      <c r="B3735" s="1"/>
      <c r="C3735" s="1"/>
      <c r="D3735" s="1"/>
    </row>
    <row r="3736" spans="1:4" x14ac:dyDescent="0.25">
      <c r="A3736" s="1"/>
      <c r="B3736" s="1"/>
      <c r="C3736" s="1"/>
      <c r="D3736" s="1"/>
    </row>
    <row r="3737" spans="1:4" x14ac:dyDescent="0.25">
      <c r="A3737" s="1"/>
      <c r="B3737" s="1"/>
      <c r="C3737" s="1"/>
      <c r="D3737" s="1"/>
    </row>
    <row r="3738" spans="1:4" x14ac:dyDescent="0.25">
      <c r="A3738" s="1"/>
      <c r="B3738" s="1"/>
      <c r="C3738" s="1"/>
      <c r="D3738" s="1"/>
    </row>
    <row r="3739" spans="1:4" x14ac:dyDescent="0.25">
      <c r="A3739" s="1"/>
      <c r="B3739" s="1"/>
      <c r="C3739" s="1"/>
      <c r="D3739" s="1"/>
    </row>
    <row r="3740" spans="1:4" x14ac:dyDescent="0.25">
      <c r="A3740" s="1"/>
      <c r="B3740" s="1"/>
      <c r="C3740" s="1"/>
      <c r="D3740" s="1"/>
    </row>
    <row r="3741" spans="1:4" x14ac:dyDescent="0.25">
      <c r="A3741" s="1"/>
      <c r="B3741" s="1"/>
      <c r="C3741" s="1"/>
      <c r="D3741" s="1"/>
    </row>
    <row r="3742" spans="1:4" x14ac:dyDescent="0.25">
      <c r="A3742" s="1"/>
      <c r="B3742" s="1"/>
      <c r="C3742" s="1"/>
      <c r="D3742" s="1"/>
    </row>
    <row r="3743" spans="1:4" x14ac:dyDescent="0.25">
      <c r="A3743" s="1"/>
      <c r="B3743" s="1"/>
      <c r="C3743" s="1"/>
      <c r="D3743" s="1"/>
    </row>
    <row r="3744" spans="1:4" x14ac:dyDescent="0.25">
      <c r="A3744" s="1"/>
      <c r="B3744" s="1"/>
      <c r="C3744" s="1"/>
      <c r="D3744" s="1"/>
    </row>
    <row r="3745" spans="1:4" x14ac:dyDescent="0.25">
      <c r="A3745" s="1"/>
      <c r="B3745" s="1"/>
      <c r="C3745" s="1"/>
      <c r="D3745" s="1"/>
    </row>
    <row r="3746" spans="1:4" x14ac:dyDescent="0.25">
      <c r="A3746" s="1"/>
      <c r="B3746" s="1"/>
      <c r="C3746" s="1"/>
      <c r="D3746" s="1"/>
    </row>
    <row r="3747" spans="1:4" x14ac:dyDescent="0.25">
      <c r="A3747" s="1"/>
      <c r="B3747" s="1"/>
      <c r="C3747" s="1"/>
      <c r="D3747" s="1"/>
    </row>
    <row r="3748" spans="1:4" x14ac:dyDescent="0.25">
      <c r="A3748" s="1"/>
      <c r="B3748" s="1"/>
      <c r="C3748" s="1"/>
      <c r="D3748" s="1"/>
    </row>
    <row r="3749" spans="1:4" x14ac:dyDescent="0.25">
      <c r="A3749" s="1"/>
      <c r="B3749" s="1"/>
      <c r="C3749" s="1"/>
      <c r="D3749" s="1"/>
    </row>
    <row r="3750" spans="1:4" x14ac:dyDescent="0.25">
      <c r="A3750" s="1"/>
      <c r="B3750" s="1"/>
      <c r="C3750" s="1"/>
      <c r="D3750" s="1"/>
    </row>
    <row r="3751" spans="1:4" x14ac:dyDescent="0.25">
      <c r="A3751" s="1"/>
      <c r="B3751" s="1"/>
      <c r="C3751" s="1"/>
      <c r="D3751" s="1"/>
    </row>
    <row r="3752" spans="1:4" x14ac:dyDescent="0.25">
      <c r="A3752" s="1"/>
      <c r="B3752" s="1"/>
      <c r="C3752" s="1"/>
      <c r="D3752" s="1"/>
    </row>
    <row r="3753" spans="1:4" x14ac:dyDescent="0.25">
      <c r="A3753" s="1"/>
      <c r="B3753" s="1"/>
      <c r="C3753" s="1"/>
      <c r="D3753" s="1"/>
    </row>
    <row r="3754" spans="1:4" x14ac:dyDescent="0.25">
      <c r="A3754" s="1"/>
      <c r="B3754" s="1"/>
      <c r="C3754" s="1"/>
      <c r="D3754" s="1"/>
    </row>
    <row r="3755" spans="1:4" x14ac:dyDescent="0.25">
      <c r="A3755" s="1"/>
      <c r="B3755" s="1"/>
      <c r="C3755" s="1"/>
      <c r="D3755" s="1"/>
    </row>
    <row r="3756" spans="1:4" x14ac:dyDescent="0.25">
      <c r="A3756" s="1"/>
      <c r="B3756" s="1"/>
      <c r="C3756" s="1"/>
      <c r="D3756" s="1"/>
    </row>
    <row r="3757" spans="1:4" x14ac:dyDescent="0.25">
      <c r="A3757" s="1"/>
      <c r="B3757" s="1"/>
      <c r="C3757" s="1"/>
      <c r="D3757" s="1"/>
    </row>
    <row r="3758" spans="1:4" x14ac:dyDescent="0.25">
      <c r="A3758" s="1"/>
      <c r="B3758" s="1"/>
      <c r="C3758" s="1"/>
      <c r="D3758" s="1"/>
    </row>
    <row r="3759" spans="1:4" x14ac:dyDescent="0.25">
      <c r="A3759" s="1"/>
      <c r="B3759" s="1"/>
      <c r="C3759" s="1"/>
      <c r="D3759" s="1"/>
    </row>
    <row r="3760" spans="1:4" x14ac:dyDescent="0.25">
      <c r="A3760" s="1"/>
      <c r="B3760" s="1"/>
      <c r="C3760" s="1"/>
      <c r="D3760" s="1"/>
    </row>
    <row r="3761" spans="1:4" x14ac:dyDescent="0.25">
      <c r="A3761" s="1"/>
      <c r="B3761" s="1"/>
      <c r="C3761" s="1"/>
      <c r="D3761" s="1"/>
    </row>
    <row r="3762" spans="1:4" x14ac:dyDescent="0.25">
      <c r="A3762" s="1"/>
      <c r="B3762" s="1"/>
      <c r="C3762" s="1"/>
      <c r="D3762" s="1"/>
    </row>
    <row r="3763" spans="1:4" x14ac:dyDescent="0.25">
      <c r="A3763" s="1"/>
      <c r="B3763" s="1"/>
      <c r="C3763" s="1"/>
      <c r="D3763" s="1"/>
    </row>
    <row r="3764" spans="1:4" x14ac:dyDescent="0.25">
      <c r="A3764" s="1"/>
      <c r="B3764" s="1"/>
      <c r="C3764" s="1"/>
      <c r="D3764" s="1"/>
    </row>
    <row r="3765" spans="1:4" x14ac:dyDescent="0.25">
      <c r="A3765" s="1"/>
      <c r="B3765" s="1"/>
      <c r="C3765" s="1"/>
      <c r="D3765" s="1"/>
    </row>
    <row r="3766" spans="1:4" x14ac:dyDescent="0.25">
      <c r="A3766" s="1"/>
      <c r="B3766" s="1"/>
      <c r="C3766" s="1"/>
      <c r="D3766" s="1"/>
    </row>
    <row r="3767" spans="1:4" x14ac:dyDescent="0.25">
      <c r="A3767" s="1"/>
      <c r="B3767" s="1"/>
      <c r="C3767" s="1"/>
      <c r="D3767" s="1"/>
    </row>
    <row r="3768" spans="1:4" x14ac:dyDescent="0.25">
      <c r="A3768" s="1"/>
      <c r="B3768" s="1"/>
      <c r="C3768" s="1"/>
      <c r="D3768" s="1"/>
    </row>
    <row r="3769" spans="1:4" x14ac:dyDescent="0.25">
      <c r="A3769" s="1"/>
      <c r="B3769" s="1"/>
      <c r="C3769" s="1"/>
      <c r="D3769" s="1"/>
    </row>
    <row r="3770" spans="1:4" x14ac:dyDescent="0.25">
      <c r="A3770" s="1"/>
      <c r="B3770" s="1"/>
      <c r="C3770" s="1"/>
      <c r="D3770" s="1"/>
    </row>
    <row r="3771" spans="1:4" x14ac:dyDescent="0.25">
      <c r="A3771" s="1"/>
      <c r="B3771" s="1"/>
      <c r="C3771" s="1"/>
      <c r="D3771" s="1"/>
    </row>
    <row r="3772" spans="1:4" x14ac:dyDescent="0.25">
      <c r="A3772" s="1"/>
      <c r="B3772" s="1"/>
      <c r="C3772" s="1"/>
      <c r="D3772" s="1"/>
    </row>
    <row r="3773" spans="1:4" x14ac:dyDescent="0.25">
      <c r="A3773" s="1"/>
      <c r="B3773" s="1"/>
      <c r="C3773" s="1"/>
      <c r="D3773" s="1"/>
    </row>
    <row r="3774" spans="1:4" x14ac:dyDescent="0.25">
      <c r="A3774" s="1"/>
      <c r="B3774" s="1"/>
      <c r="C3774" s="1"/>
      <c r="D3774" s="1"/>
    </row>
    <row r="3775" spans="1:4" x14ac:dyDescent="0.25">
      <c r="A3775" s="1"/>
      <c r="B3775" s="1"/>
      <c r="C3775" s="1"/>
      <c r="D3775" s="1"/>
    </row>
    <row r="3776" spans="1:4" x14ac:dyDescent="0.25">
      <c r="A3776" s="1"/>
      <c r="B3776" s="1"/>
      <c r="C3776" s="1"/>
      <c r="D3776" s="1"/>
    </row>
    <row r="3777" spans="1:4" x14ac:dyDescent="0.25">
      <c r="A3777" s="1"/>
      <c r="B3777" s="1"/>
      <c r="C3777" s="1"/>
      <c r="D3777" s="1"/>
    </row>
    <row r="3778" spans="1:4" x14ac:dyDescent="0.25">
      <c r="A3778" s="1"/>
      <c r="B3778" s="1"/>
      <c r="C3778" s="1"/>
      <c r="D3778" s="1"/>
    </row>
    <row r="3779" spans="1:4" x14ac:dyDescent="0.25">
      <c r="A3779" s="1"/>
      <c r="B3779" s="1"/>
      <c r="C3779" s="1"/>
      <c r="D3779" s="1"/>
    </row>
    <row r="3780" spans="1:4" x14ac:dyDescent="0.25">
      <c r="A3780" s="1"/>
      <c r="B3780" s="1"/>
      <c r="C3780" s="1"/>
      <c r="D3780" s="1"/>
    </row>
    <row r="3781" spans="1:4" x14ac:dyDescent="0.25">
      <c r="A3781" s="1"/>
      <c r="B3781" s="1"/>
      <c r="C3781" s="1"/>
      <c r="D3781" s="1"/>
    </row>
    <row r="3782" spans="1:4" x14ac:dyDescent="0.25">
      <c r="A3782" s="1"/>
      <c r="B3782" s="1"/>
      <c r="C3782" s="1"/>
      <c r="D3782" s="1"/>
    </row>
    <row r="3783" spans="1:4" x14ac:dyDescent="0.25">
      <c r="A3783" s="1"/>
      <c r="B3783" s="1"/>
      <c r="C3783" s="1"/>
      <c r="D3783" s="1"/>
    </row>
    <row r="3784" spans="1:4" x14ac:dyDescent="0.25">
      <c r="A3784" s="1"/>
      <c r="B3784" s="1"/>
      <c r="C3784" s="1"/>
      <c r="D3784" s="1"/>
    </row>
    <row r="3785" spans="1:4" x14ac:dyDescent="0.25">
      <c r="A3785" s="1"/>
      <c r="B3785" s="1"/>
      <c r="C3785" s="1"/>
      <c r="D3785" s="1"/>
    </row>
    <row r="3786" spans="1:4" x14ac:dyDescent="0.25">
      <c r="A3786" s="1"/>
      <c r="B3786" s="1"/>
      <c r="C3786" s="1"/>
      <c r="D3786" s="1"/>
    </row>
    <row r="3787" spans="1:4" x14ac:dyDescent="0.25">
      <c r="A3787" s="1"/>
      <c r="B3787" s="1"/>
      <c r="C3787" s="1"/>
      <c r="D3787" s="1"/>
    </row>
    <row r="3788" spans="1:4" x14ac:dyDescent="0.25">
      <c r="A3788" s="1"/>
      <c r="B3788" s="1"/>
      <c r="C3788" s="1"/>
      <c r="D3788" s="1"/>
    </row>
    <row r="3789" spans="1:4" x14ac:dyDescent="0.25">
      <c r="A3789" s="1"/>
      <c r="B3789" s="1"/>
      <c r="C3789" s="1"/>
      <c r="D3789" s="1"/>
    </row>
    <row r="3790" spans="1:4" x14ac:dyDescent="0.25">
      <c r="A3790" s="1"/>
      <c r="B3790" s="1"/>
      <c r="C3790" s="1"/>
      <c r="D3790" s="1"/>
    </row>
    <row r="3791" spans="1:4" x14ac:dyDescent="0.25">
      <c r="A3791" s="1"/>
      <c r="B3791" s="1"/>
      <c r="C3791" s="1"/>
      <c r="D3791" s="1"/>
    </row>
    <row r="3792" spans="1:4" x14ac:dyDescent="0.25">
      <c r="A3792" s="1"/>
      <c r="B3792" s="1"/>
      <c r="C3792" s="1"/>
      <c r="D3792" s="1"/>
    </row>
    <row r="3793" spans="1:4" x14ac:dyDescent="0.25">
      <c r="A3793" s="1"/>
      <c r="B3793" s="1"/>
      <c r="C3793" s="1"/>
      <c r="D3793" s="1"/>
    </row>
    <row r="3794" spans="1:4" x14ac:dyDescent="0.25">
      <c r="A3794" s="1"/>
      <c r="B3794" s="1"/>
      <c r="C3794" s="1"/>
      <c r="D3794" s="1"/>
    </row>
    <row r="3795" spans="1:4" x14ac:dyDescent="0.25">
      <c r="A3795" s="1"/>
      <c r="B3795" s="1"/>
      <c r="C3795" s="1"/>
      <c r="D3795" s="1"/>
    </row>
    <row r="3796" spans="1:4" x14ac:dyDescent="0.25">
      <c r="A3796" s="1"/>
      <c r="B3796" s="1"/>
      <c r="C3796" s="1"/>
      <c r="D3796" s="1"/>
    </row>
    <row r="3797" spans="1:4" x14ac:dyDescent="0.25">
      <c r="A3797" s="1"/>
      <c r="B3797" s="1"/>
      <c r="C3797" s="1"/>
      <c r="D3797" s="1"/>
    </row>
    <row r="3798" spans="1:4" x14ac:dyDescent="0.25">
      <c r="A3798" s="1"/>
      <c r="B3798" s="1"/>
      <c r="C3798" s="1"/>
      <c r="D3798" s="1"/>
    </row>
    <row r="3799" spans="1:4" x14ac:dyDescent="0.25">
      <c r="A3799" s="1"/>
      <c r="B3799" s="1"/>
      <c r="C3799" s="1"/>
      <c r="D3799" s="1"/>
    </row>
    <row r="3800" spans="1:4" x14ac:dyDescent="0.25">
      <c r="A3800" s="1"/>
      <c r="B3800" s="1"/>
      <c r="C3800" s="1"/>
      <c r="D3800" s="1"/>
    </row>
    <row r="3801" spans="1:4" x14ac:dyDescent="0.25">
      <c r="A3801" s="1"/>
      <c r="B3801" s="1"/>
      <c r="C3801" s="1"/>
      <c r="D3801" s="1"/>
    </row>
    <row r="3802" spans="1:4" x14ac:dyDescent="0.25">
      <c r="A3802" s="1"/>
      <c r="B3802" s="1"/>
      <c r="C3802" s="1"/>
      <c r="D3802" s="1"/>
    </row>
    <row r="3803" spans="1:4" x14ac:dyDescent="0.25">
      <c r="A3803" s="1"/>
      <c r="B3803" s="1"/>
      <c r="C3803" s="1"/>
      <c r="D3803" s="1"/>
    </row>
    <row r="3804" spans="1:4" x14ac:dyDescent="0.25">
      <c r="A3804" s="1"/>
      <c r="B3804" s="1"/>
      <c r="C3804" s="1"/>
      <c r="D3804" s="1"/>
    </row>
    <row r="3805" spans="1:4" x14ac:dyDescent="0.25">
      <c r="A3805" s="1"/>
      <c r="B3805" s="1"/>
      <c r="C3805" s="1"/>
      <c r="D3805" s="1"/>
    </row>
    <row r="3806" spans="1:4" x14ac:dyDescent="0.25">
      <c r="A3806" s="1"/>
      <c r="B3806" s="1"/>
      <c r="C3806" s="1"/>
      <c r="D3806" s="1"/>
    </row>
    <row r="3807" spans="1:4" x14ac:dyDescent="0.25">
      <c r="A3807" s="1"/>
      <c r="B3807" s="1"/>
      <c r="C3807" s="1"/>
      <c r="D3807" s="1"/>
    </row>
    <row r="3808" spans="1:4" x14ac:dyDescent="0.25">
      <c r="A3808" s="1"/>
      <c r="B3808" s="1"/>
      <c r="C3808" s="1"/>
      <c r="D3808" s="1"/>
    </row>
    <row r="3809" spans="1:4" x14ac:dyDescent="0.25">
      <c r="A3809" s="1"/>
      <c r="B3809" s="1"/>
      <c r="C3809" s="1"/>
      <c r="D3809" s="1"/>
    </row>
    <row r="3810" spans="1:4" x14ac:dyDescent="0.25">
      <c r="A3810" s="1"/>
      <c r="B3810" s="1"/>
      <c r="C3810" s="1"/>
      <c r="D3810" s="1"/>
    </row>
    <row r="3811" spans="1:4" x14ac:dyDescent="0.25">
      <c r="A3811" s="1"/>
      <c r="B3811" s="1"/>
      <c r="C3811" s="1"/>
      <c r="D3811" s="1"/>
    </row>
    <row r="3812" spans="1:4" x14ac:dyDescent="0.25">
      <c r="A3812" s="1"/>
      <c r="B3812" s="1"/>
      <c r="C3812" s="1"/>
      <c r="D3812" s="1"/>
    </row>
    <row r="3813" spans="1:4" x14ac:dyDescent="0.25">
      <c r="A3813" s="1"/>
      <c r="B3813" s="1"/>
      <c r="C3813" s="1"/>
      <c r="D3813" s="1"/>
    </row>
    <row r="3814" spans="1:4" x14ac:dyDescent="0.25">
      <c r="A3814" s="1"/>
      <c r="B3814" s="1"/>
      <c r="C3814" s="1"/>
      <c r="D3814" s="1"/>
    </row>
    <row r="3815" spans="1:4" x14ac:dyDescent="0.25">
      <c r="A3815" s="1"/>
      <c r="B3815" s="1"/>
      <c r="C3815" s="1"/>
      <c r="D3815" s="1"/>
    </row>
    <row r="3816" spans="1:4" x14ac:dyDescent="0.25">
      <c r="A3816" s="1"/>
      <c r="B3816" s="1"/>
      <c r="C3816" s="1"/>
      <c r="D3816" s="1"/>
    </row>
    <row r="3817" spans="1:4" x14ac:dyDescent="0.25">
      <c r="A3817" s="1"/>
      <c r="B3817" s="1"/>
      <c r="C3817" s="1"/>
      <c r="D3817" s="1"/>
    </row>
    <row r="3818" spans="1:4" x14ac:dyDescent="0.25">
      <c r="A3818" s="1"/>
      <c r="B3818" s="1"/>
      <c r="C3818" s="1"/>
      <c r="D3818" s="1"/>
    </row>
    <row r="3819" spans="1:4" x14ac:dyDescent="0.25">
      <c r="A3819" s="1"/>
      <c r="B3819" s="1"/>
      <c r="C3819" s="1"/>
      <c r="D3819" s="1"/>
    </row>
    <row r="3820" spans="1:4" x14ac:dyDescent="0.25">
      <c r="A3820" s="1"/>
      <c r="B3820" s="1"/>
      <c r="C3820" s="1"/>
      <c r="D3820" s="1"/>
    </row>
    <row r="3821" spans="1:4" x14ac:dyDescent="0.25">
      <c r="A3821" s="1"/>
      <c r="B3821" s="1"/>
      <c r="C3821" s="1"/>
      <c r="D3821" s="1"/>
    </row>
    <row r="3822" spans="1:4" x14ac:dyDescent="0.25">
      <c r="A3822" s="1"/>
      <c r="B3822" s="1"/>
      <c r="C3822" s="1"/>
      <c r="D3822" s="1"/>
    </row>
    <row r="3823" spans="1:4" x14ac:dyDescent="0.25">
      <c r="A3823" s="1"/>
      <c r="B3823" s="1"/>
      <c r="C3823" s="1"/>
      <c r="D3823" s="1"/>
    </row>
    <row r="3824" spans="1:4" x14ac:dyDescent="0.25">
      <c r="A3824" s="1"/>
      <c r="B3824" s="1"/>
      <c r="C3824" s="1"/>
      <c r="D3824" s="1"/>
    </row>
    <row r="3825" spans="1:4" x14ac:dyDescent="0.25">
      <c r="A3825" s="1"/>
      <c r="B3825" s="1"/>
      <c r="C3825" s="1"/>
      <c r="D3825" s="1"/>
    </row>
    <row r="3826" spans="1:4" x14ac:dyDescent="0.25">
      <c r="A3826" s="1"/>
      <c r="B3826" s="1"/>
      <c r="C3826" s="1"/>
      <c r="D3826" s="1"/>
    </row>
    <row r="3827" spans="1:4" x14ac:dyDescent="0.25">
      <c r="A3827" s="1"/>
      <c r="B3827" s="1"/>
      <c r="C3827" s="1"/>
      <c r="D3827" s="1"/>
    </row>
    <row r="3828" spans="1:4" x14ac:dyDescent="0.25">
      <c r="A3828" s="1"/>
      <c r="B3828" s="1"/>
      <c r="C3828" s="1"/>
      <c r="D3828" s="1"/>
    </row>
    <row r="3829" spans="1:4" x14ac:dyDescent="0.25">
      <c r="A3829" s="1"/>
      <c r="B3829" s="1"/>
      <c r="C3829" s="1"/>
      <c r="D3829" s="1"/>
    </row>
    <row r="3830" spans="1:4" x14ac:dyDescent="0.25">
      <c r="A3830" s="1"/>
      <c r="B3830" s="1"/>
      <c r="C3830" s="1"/>
      <c r="D3830" s="1"/>
    </row>
    <row r="3831" spans="1:4" x14ac:dyDescent="0.25">
      <c r="A3831" s="1"/>
      <c r="B3831" s="1"/>
      <c r="C3831" s="1"/>
      <c r="D3831" s="1"/>
    </row>
    <row r="3832" spans="1:4" x14ac:dyDescent="0.25">
      <c r="A3832" s="1"/>
      <c r="B3832" s="1"/>
      <c r="C3832" s="1"/>
      <c r="D3832" s="1"/>
    </row>
    <row r="3833" spans="1:4" x14ac:dyDescent="0.25">
      <c r="A3833" s="1"/>
      <c r="B3833" s="1"/>
      <c r="C3833" s="1"/>
      <c r="D3833" s="1"/>
    </row>
    <row r="3834" spans="1:4" x14ac:dyDescent="0.25">
      <c r="A3834" s="1"/>
      <c r="B3834" s="1"/>
      <c r="C3834" s="1"/>
      <c r="D3834" s="1"/>
    </row>
    <row r="3835" spans="1:4" x14ac:dyDescent="0.25">
      <c r="A3835" s="1"/>
      <c r="B3835" s="1"/>
      <c r="C3835" s="1"/>
      <c r="D3835" s="1"/>
    </row>
    <row r="3836" spans="1:4" x14ac:dyDescent="0.25">
      <c r="A3836" s="1"/>
      <c r="B3836" s="1"/>
      <c r="C3836" s="1"/>
      <c r="D3836" s="1"/>
    </row>
    <row r="3837" spans="1:4" x14ac:dyDescent="0.25">
      <c r="A3837" s="1"/>
      <c r="B3837" s="1"/>
      <c r="C3837" s="1"/>
      <c r="D3837" s="1"/>
    </row>
    <row r="3838" spans="1:4" x14ac:dyDescent="0.25">
      <c r="A3838" s="1"/>
      <c r="B3838" s="1"/>
      <c r="C3838" s="1"/>
      <c r="D3838" s="1"/>
    </row>
    <row r="3839" spans="1:4" x14ac:dyDescent="0.25">
      <c r="A3839" s="1"/>
      <c r="B3839" s="1"/>
      <c r="C3839" s="1"/>
      <c r="D3839" s="1"/>
    </row>
    <row r="3840" spans="1:4" x14ac:dyDescent="0.25">
      <c r="A3840" s="1"/>
      <c r="B3840" s="1"/>
      <c r="C3840" s="1"/>
      <c r="D3840" s="1"/>
    </row>
    <row r="3841" spans="1:4" x14ac:dyDescent="0.25">
      <c r="A3841" s="1"/>
      <c r="B3841" s="1"/>
      <c r="C3841" s="1"/>
      <c r="D3841" s="1"/>
    </row>
    <row r="3842" spans="1:4" x14ac:dyDescent="0.25">
      <c r="A3842" s="1"/>
      <c r="B3842" s="1"/>
      <c r="C3842" s="1"/>
      <c r="D3842" s="1"/>
    </row>
    <row r="3843" spans="1:4" x14ac:dyDescent="0.25">
      <c r="A3843" s="1"/>
      <c r="B3843" s="1"/>
      <c r="C3843" s="1"/>
      <c r="D3843" s="1"/>
    </row>
    <row r="3844" spans="1:4" x14ac:dyDescent="0.25">
      <c r="A3844" s="1"/>
      <c r="B3844" s="1"/>
      <c r="C3844" s="1"/>
      <c r="D3844" s="1"/>
    </row>
    <row r="3845" spans="1:4" x14ac:dyDescent="0.25">
      <c r="A3845" s="1"/>
      <c r="B3845" s="1"/>
      <c r="C3845" s="1"/>
      <c r="D3845" s="1"/>
    </row>
    <row r="3846" spans="1:4" x14ac:dyDescent="0.25">
      <c r="A3846" s="1"/>
      <c r="B3846" s="1"/>
      <c r="C3846" s="1"/>
      <c r="D3846" s="1"/>
    </row>
    <row r="3847" spans="1:4" x14ac:dyDescent="0.25">
      <c r="A3847" s="1"/>
      <c r="B3847" s="1"/>
      <c r="C3847" s="1"/>
      <c r="D3847" s="1"/>
    </row>
    <row r="3848" spans="1:4" x14ac:dyDescent="0.25">
      <c r="A3848" s="1"/>
      <c r="B3848" s="1"/>
      <c r="C3848" s="1"/>
      <c r="D3848" s="1"/>
    </row>
    <row r="3849" spans="1:4" x14ac:dyDescent="0.25">
      <c r="A3849" s="1"/>
      <c r="B3849" s="1"/>
      <c r="C3849" s="1"/>
      <c r="D3849" s="1"/>
    </row>
    <row r="3850" spans="1:4" x14ac:dyDescent="0.25">
      <c r="A3850" s="1"/>
      <c r="B3850" s="1"/>
      <c r="C3850" s="1"/>
      <c r="D3850" s="1"/>
    </row>
    <row r="3851" spans="1:4" x14ac:dyDescent="0.25">
      <c r="A3851" s="1"/>
      <c r="B3851" s="1"/>
      <c r="C3851" s="1"/>
      <c r="D3851" s="1"/>
    </row>
    <row r="3852" spans="1:4" x14ac:dyDescent="0.25">
      <c r="A3852" s="1"/>
      <c r="B3852" s="1"/>
      <c r="C3852" s="1"/>
      <c r="D3852" s="1"/>
    </row>
    <row r="3853" spans="1:4" x14ac:dyDescent="0.25">
      <c r="A3853" s="1"/>
      <c r="B3853" s="1"/>
      <c r="C3853" s="1"/>
      <c r="D3853" s="1"/>
    </row>
    <row r="3854" spans="1:4" x14ac:dyDescent="0.25">
      <c r="A3854" s="1"/>
      <c r="B3854" s="1"/>
      <c r="C3854" s="1"/>
      <c r="D3854" s="1"/>
    </row>
    <row r="3855" spans="1:4" x14ac:dyDescent="0.25">
      <c r="A3855" s="1"/>
      <c r="B3855" s="1"/>
      <c r="C3855" s="1"/>
      <c r="D3855" s="1"/>
    </row>
    <row r="3856" spans="1:4" x14ac:dyDescent="0.25">
      <c r="A3856" s="1"/>
      <c r="B3856" s="1"/>
      <c r="C3856" s="1"/>
      <c r="D3856" s="1"/>
    </row>
    <row r="3857" spans="1:4" x14ac:dyDescent="0.25">
      <c r="A3857" s="1"/>
      <c r="B3857" s="1"/>
      <c r="C3857" s="1"/>
      <c r="D3857" s="1"/>
    </row>
    <row r="3858" spans="1:4" x14ac:dyDescent="0.25">
      <c r="A3858" s="1"/>
      <c r="B3858" s="1"/>
      <c r="C3858" s="1"/>
      <c r="D3858" s="1"/>
    </row>
    <row r="3859" spans="1:4" x14ac:dyDescent="0.25">
      <c r="A3859" s="1"/>
      <c r="B3859" s="1"/>
      <c r="C3859" s="1"/>
      <c r="D3859" s="1"/>
    </row>
    <row r="3860" spans="1:4" x14ac:dyDescent="0.25">
      <c r="A3860" s="1"/>
      <c r="B3860" s="1"/>
      <c r="C3860" s="1"/>
      <c r="D3860" s="1"/>
    </row>
    <row r="3861" spans="1:4" x14ac:dyDescent="0.25">
      <c r="A3861" s="1"/>
      <c r="B3861" s="1"/>
      <c r="C3861" s="1"/>
      <c r="D3861" s="1"/>
    </row>
    <row r="3862" spans="1:4" x14ac:dyDescent="0.25">
      <c r="A3862" s="1"/>
      <c r="B3862" s="1"/>
      <c r="C3862" s="1"/>
      <c r="D3862" s="1"/>
    </row>
    <row r="3863" spans="1:4" x14ac:dyDescent="0.25">
      <c r="A3863" s="1"/>
      <c r="B3863" s="1"/>
      <c r="C3863" s="1"/>
      <c r="D3863" s="1"/>
    </row>
    <row r="3864" spans="1:4" x14ac:dyDescent="0.25">
      <c r="A3864" s="1"/>
      <c r="B3864" s="1"/>
      <c r="C3864" s="1"/>
      <c r="D3864" s="1"/>
    </row>
    <row r="3865" spans="1:4" x14ac:dyDescent="0.25">
      <c r="A3865" s="1"/>
      <c r="B3865" s="1"/>
      <c r="C3865" s="1"/>
      <c r="D3865" s="1"/>
    </row>
    <row r="3866" spans="1:4" x14ac:dyDescent="0.25">
      <c r="A3866" s="1"/>
      <c r="B3866" s="1"/>
      <c r="C3866" s="1"/>
      <c r="D3866" s="1"/>
    </row>
    <row r="3867" spans="1:4" x14ac:dyDescent="0.25">
      <c r="A3867" s="1"/>
      <c r="B3867" s="1"/>
      <c r="C3867" s="1"/>
      <c r="D3867" s="1"/>
    </row>
    <row r="3868" spans="1:4" x14ac:dyDescent="0.25">
      <c r="A3868" s="1"/>
      <c r="B3868" s="1"/>
      <c r="C3868" s="1"/>
      <c r="D3868" s="1"/>
    </row>
    <row r="3869" spans="1:4" x14ac:dyDescent="0.25">
      <c r="A3869" s="1"/>
      <c r="B3869" s="1"/>
      <c r="C3869" s="1"/>
      <c r="D3869" s="1"/>
    </row>
    <row r="3870" spans="1:4" x14ac:dyDescent="0.25">
      <c r="A3870" s="1"/>
      <c r="B3870" s="1"/>
      <c r="C3870" s="1"/>
      <c r="D3870" s="1"/>
    </row>
    <row r="3871" spans="1:4" x14ac:dyDescent="0.25">
      <c r="A3871" s="1"/>
      <c r="B3871" s="1"/>
      <c r="C3871" s="1"/>
      <c r="D3871" s="1"/>
    </row>
    <row r="3872" spans="1:4" x14ac:dyDescent="0.25">
      <c r="A3872" s="1"/>
      <c r="B3872" s="1"/>
      <c r="C3872" s="1"/>
      <c r="D3872" s="1"/>
    </row>
    <row r="3873" spans="1:4" x14ac:dyDescent="0.25">
      <c r="A3873" s="1"/>
      <c r="B3873" s="1"/>
      <c r="C3873" s="1"/>
      <c r="D3873" s="1"/>
    </row>
    <row r="3874" spans="1:4" x14ac:dyDescent="0.25">
      <c r="A3874" s="1"/>
      <c r="B3874" s="1"/>
      <c r="C3874" s="1"/>
      <c r="D3874" s="1"/>
    </row>
    <row r="3875" spans="1:4" x14ac:dyDescent="0.25">
      <c r="A3875" s="1"/>
      <c r="B3875" s="1"/>
      <c r="C3875" s="1"/>
      <c r="D3875" s="1"/>
    </row>
    <row r="3876" spans="1:4" x14ac:dyDescent="0.25">
      <c r="A3876" s="1"/>
      <c r="B3876" s="1"/>
      <c r="C3876" s="1"/>
      <c r="D3876" s="1"/>
    </row>
    <row r="3877" spans="1:4" x14ac:dyDescent="0.25">
      <c r="A3877" s="1"/>
      <c r="B3877" s="1"/>
      <c r="C3877" s="1"/>
      <c r="D3877" s="1"/>
    </row>
    <row r="3878" spans="1:4" x14ac:dyDescent="0.25">
      <c r="A3878" s="1"/>
      <c r="B3878" s="1"/>
      <c r="C3878" s="1"/>
      <c r="D3878" s="1"/>
    </row>
    <row r="3879" spans="1:4" x14ac:dyDescent="0.25">
      <c r="A3879" s="1"/>
      <c r="B3879" s="1"/>
      <c r="C3879" s="1"/>
      <c r="D3879" s="1"/>
    </row>
    <row r="3880" spans="1:4" x14ac:dyDescent="0.25">
      <c r="A3880" s="1"/>
      <c r="B3880" s="1"/>
      <c r="C3880" s="1"/>
      <c r="D3880" s="1"/>
    </row>
    <row r="3881" spans="1:4" x14ac:dyDescent="0.25">
      <c r="A3881" s="1"/>
      <c r="B3881" s="1"/>
      <c r="C3881" s="1"/>
      <c r="D3881" s="1"/>
    </row>
    <row r="3882" spans="1:4" x14ac:dyDescent="0.25">
      <c r="A3882" s="1"/>
      <c r="B3882" s="1"/>
      <c r="C3882" s="1"/>
      <c r="D3882" s="1"/>
    </row>
    <row r="3883" spans="1:4" x14ac:dyDescent="0.25">
      <c r="A3883" s="1"/>
      <c r="B3883" s="1"/>
      <c r="C3883" s="1"/>
      <c r="D3883" s="1"/>
    </row>
    <row r="3884" spans="1:4" x14ac:dyDescent="0.25">
      <c r="A3884" s="1"/>
      <c r="B3884" s="1"/>
      <c r="C3884" s="1"/>
      <c r="D3884" s="1"/>
    </row>
    <row r="3885" spans="1:4" x14ac:dyDescent="0.25">
      <c r="A3885" s="1"/>
      <c r="B3885" s="1"/>
      <c r="C3885" s="1"/>
      <c r="D3885" s="1"/>
    </row>
    <row r="3886" spans="1:4" x14ac:dyDescent="0.25">
      <c r="A3886" s="1"/>
      <c r="B3886" s="1"/>
      <c r="C3886" s="1"/>
      <c r="D3886" s="1"/>
    </row>
    <row r="3887" spans="1:4" x14ac:dyDescent="0.25">
      <c r="A3887" s="1"/>
      <c r="B3887" s="1"/>
      <c r="C3887" s="1"/>
      <c r="D3887" s="1"/>
    </row>
    <row r="3888" spans="1:4" x14ac:dyDescent="0.25">
      <c r="A3888" s="1"/>
      <c r="B3888" s="1"/>
      <c r="C3888" s="1"/>
      <c r="D3888" s="1"/>
    </row>
    <row r="3889" spans="1:4" x14ac:dyDescent="0.25">
      <c r="A3889" s="1"/>
      <c r="B3889" s="1"/>
      <c r="C3889" s="1"/>
      <c r="D3889" s="1"/>
    </row>
    <row r="3890" spans="1:4" x14ac:dyDescent="0.25">
      <c r="A3890" s="1"/>
      <c r="B3890" s="1"/>
      <c r="C3890" s="1"/>
      <c r="D3890" s="1"/>
    </row>
    <row r="3891" spans="1:4" x14ac:dyDescent="0.25">
      <c r="A3891" s="1"/>
      <c r="B3891" s="1"/>
      <c r="C3891" s="1"/>
      <c r="D3891" s="1"/>
    </row>
    <row r="3892" spans="1:4" x14ac:dyDescent="0.25">
      <c r="A3892" s="1"/>
      <c r="B3892" s="1"/>
      <c r="C3892" s="1"/>
      <c r="D3892" s="1"/>
    </row>
    <row r="3893" spans="1:4" x14ac:dyDescent="0.25">
      <c r="A3893" s="1"/>
      <c r="B3893" s="1"/>
      <c r="C3893" s="1"/>
      <c r="D3893" s="1"/>
    </row>
    <row r="3894" spans="1:4" x14ac:dyDescent="0.25">
      <c r="A3894" s="1"/>
      <c r="B3894" s="1"/>
      <c r="C3894" s="1"/>
      <c r="D3894" s="1"/>
    </row>
    <row r="3895" spans="1:4" x14ac:dyDescent="0.25">
      <c r="A3895" s="1"/>
      <c r="B3895" s="1"/>
      <c r="C3895" s="1"/>
      <c r="D3895" s="1"/>
    </row>
    <row r="3896" spans="1:4" x14ac:dyDescent="0.25">
      <c r="A3896" s="1"/>
      <c r="B3896" s="1"/>
      <c r="C3896" s="1"/>
      <c r="D3896" s="1"/>
    </row>
    <row r="3897" spans="1:4" x14ac:dyDescent="0.25">
      <c r="A3897" s="1"/>
      <c r="B3897" s="1"/>
      <c r="C3897" s="1"/>
      <c r="D3897" s="1"/>
    </row>
    <row r="3898" spans="1:4" x14ac:dyDescent="0.25">
      <c r="A3898" s="1"/>
      <c r="B3898" s="1"/>
      <c r="C3898" s="1"/>
      <c r="D3898" s="1"/>
    </row>
    <row r="3899" spans="1:4" x14ac:dyDescent="0.25">
      <c r="A3899" s="1"/>
      <c r="B3899" s="1"/>
      <c r="C3899" s="1"/>
      <c r="D3899" s="1"/>
    </row>
    <row r="3900" spans="1:4" x14ac:dyDescent="0.25">
      <c r="A3900" s="1"/>
      <c r="B3900" s="1"/>
      <c r="C3900" s="1"/>
      <c r="D3900" s="1"/>
    </row>
    <row r="3901" spans="1:4" x14ac:dyDescent="0.25">
      <c r="A3901" s="1"/>
      <c r="B3901" s="1"/>
      <c r="C3901" s="1"/>
      <c r="D3901" s="1"/>
    </row>
    <row r="3902" spans="1:4" x14ac:dyDescent="0.25">
      <c r="A3902" s="1"/>
      <c r="B3902" s="1"/>
      <c r="C3902" s="1"/>
      <c r="D3902" s="1"/>
    </row>
    <row r="3903" spans="1:4" x14ac:dyDescent="0.25">
      <c r="A3903" s="1"/>
      <c r="B3903" s="1"/>
      <c r="C3903" s="1"/>
      <c r="D3903" s="1"/>
    </row>
    <row r="3904" spans="1:4" x14ac:dyDescent="0.25">
      <c r="A3904" s="1"/>
      <c r="B3904" s="1"/>
      <c r="C3904" s="1"/>
      <c r="D3904" s="1"/>
    </row>
    <row r="3905" spans="1:4" x14ac:dyDescent="0.25">
      <c r="A3905" s="1"/>
      <c r="B3905" s="1"/>
      <c r="C3905" s="1"/>
      <c r="D3905" s="1"/>
    </row>
    <row r="3906" spans="1:4" x14ac:dyDescent="0.25">
      <c r="A3906" s="1"/>
      <c r="B3906" s="1"/>
      <c r="C3906" s="1"/>
      <c r="D3906" s="1"/>
    </row>
    <row r="3907" spans="1:4" x14ac:dyDescent="0.25">
      <c r="A3907" s="1"/>
      <c r="B3907" s="1"/>
      <c r="C3907" s="1"/>
      <c r="D3907" s="1"/>
    </row>
    <row r="3908" spans="1:4" x14ac:dyDescent="0.25">
      <c r="A3908" s="1"/>
      <c r="B3908" s="1"/>
      <c r="C3908" s="1"/>
      <c r="D3908" s="1"/>
    </row>
    <row r="3909" spans="1:4" x14ac:dyDescent="0.25">
      <c r="A3909" s="1"/>
      <c r="B3909" s="1"/>
      <c r="C3909" s="1"/>
      <c r="D3909" s="1"/>
    </row>
    <row r="3910" spans="1:4" x14ac:dyDescent="0.25">
      <c r="A3910" s="1"/>
      <c r="B3910" s="1"/>
      <c r="C3910" s="1"/>
      <c r="D3910" s="1"/>
    </row>
    <row r="3911" spans="1:4" x14ac:dyDescent="0.25">
      <c r="A3911" s="1"/>
      <c r="B3911" s="1"/>
      <c r="C3911" s="1"/>
      <c r="D3911" s="1"/>
    </row>
    <row r="3912" spans="1:4" x14ac:dyDescent="0.25">
      <c r="A3912" s="1"/>
      <c r="B3912" s="1"/>
      <c r="C3912" s="1"/>
      <c r="D3912" s="1"/>
    </row>
    <row r="3913" spans="1:4" x14ac:dyDescent="0.25">
      <c r="A3913" s="1"/>
      <c r="B3913" s="1"/>
      <c r="C3913" s="1"/>
      <c r="D3913" s="1"/>
    </row>
    <row r="3914" spans="1:4" x14ac:dyDescent="0.25">
      <c r="A3914" s="1"/>
      <c r="B3914" s="1"/>
      <c r="C3914" s="1"/>
      <c r="D3914" s="1"/>
    </row>
    <row r="3915" spans="1:4" x14ac:dyDescent="0.25">
      <c r="A3915" s="1"/>
      <c r="B3915" s="1"/>
      <c r="C3915" s="1"/>
      <c r="D3915" s="1"/>
    </row>
    <row r="3916" spans="1:4" x14ac:dyDescent="0.25">
      <c r="A3916" s="1"/>
      <c r="B3916" s="1"/>
      <c r="C3916" s="1"/>
      <c r="D3916" s="1"/>
    </row>
    <row r="3917" spans="1:4" x14ac:dyDescent="0.25">
      <c r="A3917" s="1"/>
      <c r="B3917" s="1"/>
      <c r="C3917" s="1"/>
      <c r="D3917" s="1"/>
    </row>
    <row r="3918" spans="1:4" x14ac:dyDescent="0.25">
      <c r="A3918" s="1"/>
      <c r="B3918" s="1"/>
      <c r="C3918" s="1"/>
      <c r="D3918" s="1"/>
    </row>
    <row r="3919" spans="1:4" x14ac:dyDescent="0.25">
      <c r="A3919" s="1"/>
      <c r="B3919" s="1"/>
      <c r="C3919" s="1"/>
      <c r="D3919" s="1"/>
    </row>
    <row r="3920" spans="1:4" x14ac:dyDescent="0.25">
      <c r="A3920" s="1"/>
      <c r="B3920" s="1"/>
      <c r="C3920" s="1"/>
      <c r="D3920" s="1"/>
    </row>
    <row r="3921" spans="1:4" x14ac:dyDescent="0.25">
      <c r="A3921" s="1"/>
      <c r="B3921" s="1"/>
      <c r="C3921" s="1"/>
      <c r="D3921" s="1"/>
    </row>
    <row r="3922" spans="1:4" x14ac:dyDescent="0.25">
      <c r="A3922" s="1"/>
      <c r="B3922" s="1"/>
      <c r="C3922" s="1"/>
      <c r="D3922" s="1"/>
    </row>
    <row r="3923" spans="1:4" x14ac:dyDescent="0.25">
      <c r="A3923" s="1"/>
      <c r="B3923" s="1"/>
      <c r="C3923" s="1"/>
      <c r="D3923" s="1"/>
    </row>
    <row r="3924" spans="1:4" x14ac:dyDescent="0.25">
      <c r="A3924" s="1"/>
      <c r="B3924" s="1"/>
      <c r="C3924" s="1"/>
      <c r="D3924" s="1"/>
    </row>
    <row r="3925" spans="1:4" x14ac:dyDescent="0.25">
      <c r="A3925" s="1"/>
      <c r="B3925" s="1"/>
      <c r="C3925" s="1"/>
      <c r="D3925" s="1"/>
    </row>
    <row r="3926" spans="1:4" x14ac:dyDescent="0.25">
      <c r="A3926" s="1"/>
      <c r="B3926" s="1"/>
      <c r="C3926" s="1"/>
      <c r="D3926" s="1"/>
    </row>
    <row r="3927" spans="1:4" x14ac:dyDescent="0.25">
      <c r="A3927" s="1"/>
      <c r="B3927" s="1"/>
      <c r="C3927" s="1"/>
      <c r="D3927" s="1"/>
    </row>
    <row r="3928" spans="1:4" x14ac:dyDescent="0.25">
      <c r="A3928" s="1"/>
      <c r="B3928" s="1"/>
      <c r="C3928" s="1"/>
      <c r="D3928" s="1"/>
    </row>
    <row r="3929" spans="1:4" x14ac:dyDescent="0.25">
      <c r="A3929" s="1"/>
      <c r="B3929" s="1"/>
      <c r="C3929" s="1"/>
      <c r="D3929" s="1"/>
    </row>
    <row r="3930" spans="1:4" x14ac:dyDescent="0.25">
      <c r="A3930" s="1"/>
      <c r="B3930" s="1"/>
      <c r="C3930" s="1"/>
      <c r="D3930" s="1"/>
    </row>
    <row r="3931" spans="1:4" x14ac:dyDescent="0.25">
      <c r="A3931" s="1"/>
      <c r="B3931" s="1"/>
      <c r="C3931" s="1"/>
      <c r="D3931" s="1"/>
    </row>
    <row r="3932" spans="1:4" x14ac:dyDescent="0.25">
      <c r="A3932" s="1"/>
      <c r="B3932" s="1"/>
      <c r="C3932" s="1"/>
      <c r="D3932" s="1"/>
    </row>
    <row r="3933" spans="1:4" x14ac:dyDescent="0.25">
      <c r="A3933" s="1"/>
      <c r="B3933" s="1"/>
      <c r="C3933" s="1"/>
      <c r="D3933" s="1"/>
    </row>
    <row r="3934" spans="1:4" x14ac:dyDescent="0.25">
      <c r="A3934" s="1"/>
      <c r="B3934" s="1"/>
      <c r="C3934" s="1"/>
      <c r="D3934" s="1"/>
    </row>
    <row r="3935" spans="1:4" x14ac:dyDescent="0.25">
      <c r="A3935" s="1"/>
      <c r="B3935" s="1"/>
      <c r="C3935" s="1"/>
      <c r="D3935" s="1"/>
    </row>
    <row r="3936" spans="1:4" x14ac:dyDescent="0.25">
      <c r="A3936" s="1"/>
      <c r="B3936" s="1"/>
      <c r="C3936" s="1"/>
      <c r="D3936" s="1"/>
    </row>
    <row r="3937" spans="1:4" x14ac:dyDescent="0.25">
      <c r="A3937" s="1"/>
      <c r="B3937" s="1"/>
      <c r="C3937" s="1"/>
      <c r="D3937" s="1"/>
    </row>
    <row r="3938" spans="1:4" x14ac:dyDescent="0.25">
      <c r="A3938" s="1"/>
      <c r="B3938" s="1"/>
      <c r="C3938" s="1"/>
      <c r="D3938" s="1"/>
    </row>
    <row r="3939" spans="1:4" x14ac:dyDescent="0.25">
      <c r="A3939" s="1"/>
      <c r="B3939" s="1"/>
      <c r="C3939" s="1"/>
      <c r="D3939" s="1"/>
    </row>
    <row r="3940" spans="1:4" x14ac:dyDescent="0.25">
      <c r="A3940" s="1"/>
      <c r="B3940" s="1"/>
      <c r="C3940" s="1"/>
      <c r="D3940" s="1"/>
    </row>
    <row r="3941" spans="1:4" x14ac:dyDescent="0.25">
      <c r="A3941" s="1"/>
      <c r="B3941" s="1"/>
      <c r="C3941" s="1"/>
      <c r="D3941" s="1"/>
    </row>
    <row r="3942" spans="1:4" x14ac:dyDescent="0.25">
      <c r="A3942" s="1"/>
      <c r="B3942" s="1"/>
      <c r="C3942" s="1"/>
      <c r="D3942" s="1"/>
    </row>
    <row r="3943" spans="1:4" x14ac:dyDescent="0.25">
      <c r="A3943" s="1"/>
      <c r="B3943" s="1"/>
      <c r="C3943" s="1"/>
      <c r="D3943" s="1"/>
    </row>
    <row r="3944" spans="1:4" x14ac:dyDescent="0.25">
      <c r="A3944" s="1"/>
      <c r="B3944" s="1"/>
      <c r="C3944" s="1"/>
      <c r="D3944" s="1"/>
    </row>
    <row r="3945" spans="1:4" x14ac:dyDescent="0.25">
      <c r="A3945" s="1"/>
      <c r="B3945" s="1"/>
      <c r="C3945" s="1"/>
      <c r="D3945" s="1"/>
    </row>
    <row r="3946" spans="1:4" x14ac:dyDescent="0.25">
      <c r="A3946" s="1"/>
      <c r="B3946" s="1"/>
      <c r="C3946" s="1"/>
      <c r="D3946" s="1"/>
    </row>
    <row r="3947" spans="1:4" x14ac:dyDescent="0.25">
      <c r="A3947" s="1"/>
      <c r="B3947" s="1"/>
      <c r="C3947" s="1"/>
      <c r="D3947" s="1"/>
    </row>
    <row r="3948" spans="1:4" x14ac:dyDescent="0.25">
      <c r="A3948" s="1"/>
      <c r="B3948" s="1"/>
      <c r="C3948" s="1"/>
      <c r="D3948" s="1"/>
    </row>
    <row r="3949" spans="1:4" x14ac:dyDescent="0.25">
      <c r="A3949" s="1"/>
      <c r="B3949" s="1"/>
      <c r="C3949" s="1"/>
      <c r="D3949" s="1"/>
    </row>
    <row r="3950" spans="1:4" x14ac:dyDescent="0.25">
      <c r="A3950" s="1"/>
      <c r="B3950" s="1"/>
      <c r="C3950" s="1"/>
      <c r="D3950" s="1"/>
    </row>
    <row r="3951" spans="1:4" x14ac:dyDescent="0.25">
      <c r="A3951" s="1"/>
      <c r="B3951" s="1"/>
      <c r="C3951" s="1"/>
      <c r="D3951" s="1"/>
    </row>
    <row r="3952" spans="1:4" x14ac:dyDescent="0.25">
      <c r="A3952" s="1"/>
      <c r="B3952" s="1"/>
      <c r="C3952" s="1"/>
      <c r="D3952" s="1"/>
    </row>
    <row r="3953" spans="1:4" x14ac:dyDescent="0.25">
      <c r="A3953" s="1"/>
      <c r="B3953" s="1"/>
      <c r="C3953" s="1"/>
      <c r="D3953" s="1"/>
    </row>
    <row r="3954" spans="1:4" x14ac:dyDescent="0.25">
      <c r="A3954" s="1"/>
      <c r="B3954" s="1"/>
      <c r="C3954" s="1"/>
      <c r="D3954" s="1"/>
    </row>
    <row r="3955" spans="1:4" x14ac:dyDescent="0.25">
      <c r="A3955" s="1"/>
      <c r="B3955" s="1"/>
      <c r="C3955" s="1"/>
      <c r="D3955" s="1"/>
    </row>
    <row r="3956" spans="1:4" x14ac:dyDescent="0.25">
      <c r="A3956" s="1"/>
      <c r="B3956" s="1"/>
      <c r="C3956" s="1"/>
      <c r="D3956" s="1"/>
    </row>
    <row r="3957" spans="1:4" x14ac:dyDescent="0.25">
      <c r="A3957" s="1"/>
      <c r="B3957" s="1"/>
      <c r="C3957" s="1"/>
      <c r="D3957" s="1"/>
    </row>
    <row r="3958" spans="1:4" x14ac:dyDescent="0.25">
      <c r="A3958" s="1"/>
      <c r="B3958" s="1"/>
      <c r="C3958" s="1"/>
      <c r="D3958" s="1"/>
    </row>
    <row r="3959" spans="1:4" x14ac:dyDescent="0.25">
      <c r="A3959" s="1"/>
      <c r="B3959" s="1"/>
      <c r="C3959" s="1"/>
      <c r="D3959" s="1"/>
    </row>
    <row r="3960" spans="1:4" x14ac:dyDescent="0.25">
      <c r="A3960" s="1"/>
      <c r="B3960" s="1"/>
      <c r="C3960" s="1"/>
      <c r="D3960" s="1"/>
    </row>
    <row r="3961" spans="1:4" x14ac:dyDescent="0.25">
      <c r="A3961" s="1"/>
      <c r="B3961" s="1"/>
      <c r="C3961" s="1"/>
      <c r="D3961" s="1"/>
    </row>
    <row r="3962" spans="1:4" x14ac:dyDescent="0.25">
      <c r="A3962" s="1"/>
      <c r="B3962" s="1"/>
      <c r="C3962" s="1"/>
      <c r="D3962" s="1"/>
    </row>
    <row r="3963" spans="1:4" x14ac:dyDescent="0.25">
      <c r="A3963" s="1"/>
      <c r="B3963" s="1"/>
      <c r="C3963" s="1"/>
      <c r="D3963" s="1"/>
    </row>
    <row r="3964" spans="1:4" x14ac:dyDescent="0.25">
      <c r="A3964" s="1"/>
      <c r="B3964" s="1"/>
      <c r="C3964" s="1"/>
      <c r="D3964" s="1"/>
    </row>
    <row r="3965" spans="1:4" x14ac:dyDescent="0.25">
      <c r="A3965" s="1"/>
      <c r="B3965" s="1"/>
      <c r="C3965" s="1"/>
      <c r="D3965" s="1"/>
    </row>
    <row r="3966" spans="1:4" x14ac:dyDescent="0.25">
      <c r="A3966" s="1"/>
      <c r="B3966" s="1"/>
      <c r="C3966" s="1"/>
      <c r="D3966" s="1"/>
    </row>
    <row r="3967" spans="1:4" x14ac:dyDescent="0.25">
      <c r="A3967" s="1"/>
      <c r="B3967" s="1"/>
      <c r="C3967" s="1"/>
      <c r="D3967" s="1"/>
    </row>
    <row r="3968" spans="1:4" x14ac:dyDescent="0.25">
      <c r="A3968" s="1"/>
      <c r="B3968" s="1"/>
      <c r="C3968" s="1"/>
      <c r="D3968" s="1"/>
    </row>
    <row r="3969" spans="1:4" x14ac:dyDescent="0.25">
      <c r="A3969" s="1"/>
      <c r="B3969" s="1"/>
      <c r="C3969" s="1"/>
      <c r="D3969" s="1"/>
    </row>
    <row r="3970" spans="1:4" x14ac:dyDescent="0.25">
      <c r="A3970" s="1"/>
      <c r="B3970" s="1"/>
      <c r="C3970" s="1"/>
      <c r="D3970" s="1"/>
    </row>
    <row r="3971" spans="1:4" x14ac:dyDescent="0.25">
      <c r="A3971" s="1"/>
      <c r="B3971" s="1"/>
      <c r="C3971" s="1"/>
      <c r="D3971" s="1"/>
    </row>
    <row r="3972" spans="1:4" x14ac:dyDescent="0.25">
      <c r="A3972" s="1"/>
      <c r="B3972" s="1"/>
      <c r="C3972" s="1"/>
      <c r="D3972" s="1"/>
    </row>
    <row r="3973" spans="1:4" x14ac:dyDescent="0.25">
      <c r="A3973" s="1"/>
      <c r="B3973" s="1"/>
      <c r="C3973" s="1"/>
      <c r="D3973" s="1"/>
    </row>
    <row r="3974" spans="1:4" x14ac:dyDescent="0.25">
      <c r="A3974" s="1"/>
      <c r="B3974" s="1"/>
      <c r="C3974" s="1"/>
      <c r="D3974" s="1"/>
    </row>
    <row r="3975" spans="1:4" x14ac:dyDescent="0.25">
      <c r="A3975" s="1"/>
      <c r="B3975" s="1"/>
      <c r="C3975" s="1"/>
      <c r="D3975" s="1"/>
    </row>
    <row r="3976" spans="1:4" x14ac:dyDescent="0.25">
      <c r="A3976" s="1"/>
      <c r="B3976" s="1"/>
      <c r="C3976" s="1"/>
      <c r="D3976" s="1"/>
    </row>
    <row r="3977" spans="1:4" x14ac:dyDescent="0.25">
      <c r="A3977" s="1"/>
      <c r="B3977" s="1"/>
      <c r="C3977" s="1"/>
      <c r="D3977" s="1"/>
    </row>
    <row r="3978" spans="1:4" x14ac:dyDescent="0.25">
      <c r="A3978" s="1"/>
      <c r="B3978" s="1"/>
      <c r="C3978" s="1"/>
      <c r="D3978" s="1"/>
    </row>
    <row r="3979" spans="1:4" x14ac:dyDescent="0.25">
      <c r="A3979" s="1"/>
      <c r="B3979" s="1"/>
      <c r="C3979" s="1"/>
      <c r="D3979" s="1"/>
    </row>
    <row r="3980" spans="1:4" x14ac:dyDescent="0.25">
      <c r="A3980" s="1"/>
      <c r="B3980" s="1"/>
      <c r="C3980" s="1"/>
      <c r="D3980" s="1"/>
    </row>
    <row r="3981" spans="1:4" x14ac:dyDescent="0.25">
      <c r="A3981" s="1"/>
      <c r="B3981" s="1"/>
      <c r="C3981" s="1"/>
      <c r="D3981" s="1"/>
    </row>
    <row r="3982" spans="1:4" x14ac:dyDescent="0.25">
      <c r="A3982" s="1"/>
      <c r="B3982" s="1"/>
      <c r="C3982" s="1"/>
      <c r="D3982" s="1"/>
    </row>
    <row r="3983" spans="1:4" x14ac:dyDescent="0.25">
      <c r="A3983" s="1"/>
      <c r="B3983" s="1"/>
      <c r="C3983" s="1"/>
      <c r="D3983" s="1"/>
    </row>
    <row r="3984" spans="1:4" x14ac:dyDescent="0.25">
      <c r="A3984" s="1"/>
      <c r="B3984" s="1"/>
      <c r="C3984" s="1"/>
      <c r="D3984" s="1"/>
    </row>
    <row r="3985" spans="1:4" x14ac:dyDescent="0.25">
      <c r="A3985" s="1"/>
      <c r="B3985" s="1"/>
      <c r="C3985" s="1"/>
      <c r="D3985" s="1"/>
    </row>
    <row r="3986" spans="1:4" x14ac:dyDescent="0.25">
      <c r="A3986" s="1"/>
      <c r="B3986" s="1"/>
      <c r="C3986" s="1"/>
      <c r="D3986" s="1"/>
    </row>
    <row r="3987" spans="1:4" x14ac:dyDescent="0.25">
      <c r="A3987" s="1"/>
      <c r="B3987" s="1"/>
      <c r="C3987" s="1"/>
      <c r="D3987" s="1"/>
    </row>
    <row r="3988" spans="1:4" x14ac:dyDescent="0.25">
      <c r="A3988" s="1"/>
      <c r="B3988" s="1"/>
      <c r="C3988" s="1"/>
      <c r="D3988" s="1"/>
    </row>
    <row r="3989" spans="1:4" x14ac:dyDescent="0.25">
      <c r="A3989" s="1"/>
      <c r="B3989" s="1"/>
      <c r="C3989" s="1"/>
      <c r="D3989" s="1"/>
    </row>
    <row r="3990" spans="1:4" x14ac:dyDescent="0.25">
      <c r="A3990" s="1"/>
      <c r="B3990" s="1"/>
      <c r="C3990" s="1"/>
      <c r="D3990" s="1"/>
    </row>
    <row r="3991" spans="1:4" x14ac:dyDescent="0.25">
      <c r="A3991" s="1"/>
      <c r="B3991" s="1"/>
      <c r="C3991" s="1"/>
      <c r="D3991" s="1"/>
    </row>
    <row r="3992" spans="1:4" x14ac:dyDescent="0.25">
      <c r="A3992" s="1"/>
      <c r="B3992" s="1"/>
      <c r="C3992" s="1"/>
      <c r="D3992" s="1"/>
    </row>
    <row r="3993" spans="1:4" x14ac:dyDescent="0.25">
      <c r="A3993" s="1"/>
      <c r="B3993" s="1"/>
      <c r="C3993" s="1"/>
      <c r="D3993" s="1"/>
    </row>
    <row r="3994" spans="1:4" x14ac:dyDescent="0.25">
      <c r="A3994" s="1"/>
      <c r="B3994" s="1"/>
      <c r="C3994" s="1"/>
      <c r="D3994" s="1"/>
    </row>
    <row r="3995" spans="1:4" x14ac:dyDescent="0.25">
      <c r="A3995" s="1"/>
      <c r="B3995" s="1"/>
      <c r="C3995" s="1"/>
      <c r="D3995" s="1"/>
    </row>
    <row r="3996" spans="1:4" x14ac:dyDescent="0.25">
      <c r="A3996" s="1"/>
      <c r="B3996" s="1"/>
      <c r="C3996" s="1"/>
      <c r="D3996" s="1"/>
    </row>
    <row r="3997" spans="1:4" x14ac:dyDescent="0.25">
      <c r="A3997" s="1"/>
      <c r="B3997" s="1"/>
      <c r="C3997" s="1"/>
      <c r="D3997" s="1"/>
    </row>
    <row r="3998" spans="1:4" x14ac:dyDescent="0.25">
      <c r="A3998" s="1"/>
      <c r="B3998" s="1"/>
      <c r="C3998" s="1"/>
      <c r="D3998" s="1"/>
    </row>
    <row r="3999" spans="1:4" x14ac:dyDescent="0.25">
      <c r="A3999" s="1"/>
      <c r="B3999" s="1"/>
      <c r="C3999" s="1"/>
      <c r="D3999" s="1"/>
    </row>
    <row r="4000" spans="1:4" x14ac:dyDescent="0.25">
      <c r="A4000" s="1"/>
      <c r="B4000" s="1"/>
      <c r="C4000" s="1"/>
      <c r="D4000" s="1"/>
    </row>
    <row r="4001" spans="1:4" x14ac:dyDescent="0.25">
      <c r="A4001" s="1"/>
      <c r="B4001" s="1"/>
      <c r="C4001" s="1"/>
      <c r="D4001" s="1"/>
    </row>
    <row r="4002" spans="1:4" x14ac:dyDescent="0.25">
      <c r="A4002" s="1"/>
      <c r="B4002" s="1"/>
      <c r="C4002" s="1"/>
      <c r="D4002" s="1"/>
    </row>
    <row r="4003" spans="1:4" x14ac:dyDescent="0.25">
      <c r="A4003" s="1"/>
      <c r="B4003" s="1"/>
      <c r="C4003" s="1"/>
      <c r="D4003" s="1"/>
    </row>
    <row r="4004" spans="1:4" x14ac:dyDescent="0.25">
      <c r="A4004" s="1"/>
      <c r="B4004" s="1"/>
      <c r="C4004" s="1"/>
      <c r="D4004" s="1"/>
    </row>
    <row r="4005" spans="1:4" x14ac:dyDescent="0.25">
      <c r="A4005" s="1"/>
      <c r="B4005" s="1"/>
      <c r="C4005" s="1"/>
      <c r="D4005" s="1"/>
    </row>
    <row r="4006" spans="1:4" x14ac:dyDescent="0.25">
      <c r="A4006" s="1"/>
      <c r="B4006" s="1"/>
      <c r="C4006" s="1"/>
      <c r="D4006" s="1"/>
    </row>
    <row r="4007" spans="1:4" x14ac:dyDescent="0.25">
      <c r="A4007" s="1"/>
      <c r="B4007" s="1"/>
      <c r="C4007" s="1"/>
      <c r="D4007" s="1"/>
    </row>
    <row r="4008" spans="1:4" x14ac:dyDescent="0.25">
      <c r="A4008" s="1"/>
      <c r="B4008" s="1"/>
      <c r="C4008" s="1"/>
      <c r="D4008" s="1"/>
    </row>
    <row r="4009" spans="1:4" x14ac:dyDescent="0.25">
      <c r="A4009" s="1"/>
      <c r="B4009" s="1"/>
      <c r="C4009" s="1"/>
      <c r="D4009" s="1"/>
    </row>
    <row r="4010" spans="1:4" x14ac:dyDescent="0.25">
      <c r="A4010" s="1"/>
      <c r="B4010" s="1"/>
      <c r="C4010" s="1"/>
      <c r="D4010" s="1"/>
    </row>
    <row r="4011" spans="1:4" x14ac:dyDescent="0.25">
      <c r="A4011" s="1"/>
      <c r="B4011" s="1"/>
      <c r="C4011" s="1"/>
      <c r="D4011" s="1"/>
    </row>
    <row r="4012" spans="1:4" x14ac:dyDescent="0.25">
      <c r="A4012" s="1"/>
      <c r="B4012" s="1"/>
      <c r="C4012" s="1"/>
      <c r="D4012" s="1"/>
    </row>
    <row r="4013" spans="1:4" x14ac:dyDescent="0.25">
      <c r="A4013" s="1"/>
      <c r="B4013" s="1"/>
      <c r="C4013" s="1"/>
      <c r="D4013" s="1"/>
    </row>
    <row r="4014" spans="1:4" x14ac:dyDescent="0.25">
      <c r="A4014" s="1"/>
      <c r="B4014" s="1"/>
      <c r="C4014" s="1"/>
      <c r="D4014" s="1"/>
    </row>
    <row r="4015" spans="1:4" x14ac:dyDescent="0.25">
      <c r="A4015" s="1"/>
      <c r="B4015" s="1"/>
      <c r="C4015" s="1"/>
      <c r="D4015" s="1"/>
    </row>
    <row r="4016" spans="1:4" x14ac:dyDescent="0.25">
      <c r="A4016" s="1"/>
      <c r="B4016" s="1"/>
      <c r="C4016" s="1"/>
      <c r="D4016" s="1"/>
    </row>
    <row r="4017" spans="1:4" x14ac:dyDescent="0.25">
      <c r="A4017" s="1"/>
      <c r="B4017" s="1"/>
      <c r="C4017" s="1"/>
      <c r="D4017" s="1"/>
    </row>
    <row r="4018" spans="1:4" x14ac:dyDescent="0.25">
      <c r="A4018" s="1"/>
      <c r="B4018" s="1"/>
      <c r="C4018" s="1"/>
      <c r="D4018" s="1"/>
    </row>
    <row r="4019" spans="1:4" x14ac:dyDescent="0.25">
      <c r="A4019" s="1"/>
      <c r="B4019" s="1"/>
      <c r="C4019" s="1"/>
      <c r="D4019" s="1"/>
    </row>
    <row r="4020" spans="1:4" x14ac:dyDescent="0.25">
      <c r="A4020" s="1"/>
      <c r="B4020" s="1"/>
      <c r="C4020" s="1"/>
      <c r="D4020" s="1"/>
    </row>
    <row r="4021" spans="1:4" x14ac:dyDescent="0.25">
      <c r="A4021" s="1"/>
      <c r="B4021" s="1"/>
      <c r="C4021" s="1"/>
      <c r="D4021" s="1"/>
    </row>
    <row r="4022" spans="1:4" x14ac:dyDescent="0.25">
      <c r="A4022" s="1"/>
      <c r="B4022" s="1"/>
      <c r="C4022" s="1"/>
      <c r="D4022" s="1"/>
    </row>
    <row r="4023" spans="1:4" x14ac:dyDescent="0.25">
      <c r="A4023" s="1"/>
      <c r="B4023" s="1"/>
      <c r="C4023" s="1"/>
      <c r="D4023" s="1"/>
    </row>
    <row r="4024" spans="1:4" x14ac:dyDescent="0.25">
      <c r="A4024" s="1"/>
      <c r="B4024" s="1"/>
      <c r="C4024" s="1"/>
      <c r="D4024" s="1"/>
    </row>
    <row r="4025" spans="1:4" x14ac:dyDescent="0.25">
      <c r="A4025" s="1"/>
      <c r="B4025" s="1"/>
      <c r="C4025" s="1"/>
      <c r="D4025" s="1"/>
    </row>
    <row r="4026" spans="1:4" x14ac:dyDescent="0.25">
      <c r="A4026" s="1"/>
      <c r="B4026" s="1"/>
      <c r="C4026" s="1"/>
      <c r="D4026" s="1"/>
    </row>
    <row r="4027" spans="1:4" x14ac:dyDescent="0.25">
      <c r="A4027" s="1"/>
      <c r="B4027" s="1"/>
      <c r="C4027" s="1"/>
      <c r="D4027" s="1"/>
    </row>
    <row r="4028" spans="1:4" x14ac:dyDescent="0.25">
      <c r="A4028" s="1"/>
      <c r="B4028" s="1"/>
      <c r="C4028" s="1"/>
      <c r="D4028" s="1"/>
    </row>
    <row r="4029" spans="1:4" x14ac:dyDescent="0.25">
      <c r="A4029" s="1"/>
      <c r="B4029" s="1"/>
      <c r="C4029" s="1"/>
      <c r="D4029" s="1"/>
    </row>
    <row r="4030" spans="1:4" x14ac:dyDescent="0.25">
      <c r="A4030" s="1"/>
      <c r="B4030" s="1"/>
      <c r="C4030" s="1"/>
      <c r="D4030" s="1"/>
    </row>
    <row r="4031" spans="1:4" x14ac:dyDescent="0.25">
      <c r="A4031" s="1"/>
      <c r="B4031" s="1"/>
      <c r="C4031" s="1"/>
      <c r="D4031" s="1"/>
    </row>
    <row r="4032" spans="1:4" x14ac:dyDescent="0.25">
      <c r="A4032" s="1"/>
      <c r="B4032" s="1"/>
      <c r="C4032" s="1"/>
      <c r="D4032" s="1"/>
    </row>
    <row r="4033" spans="1:4" x14ac:dyDescent="0.25">
      <c r="A4033" s="1"/>
      <c r="B4033" s="1"/>
      <c r="C4033" s="1"/>
      <c r="D4033" s="1"/>
    </row>
    <row r="4034" spans="1:4" x14ac:dyDescent="0.25">
      <c r="A4034" s="1"/>
      <c r="B4034" s="1"/>
      <c r="C4034" s="1"/>
      <c r="D4034" s="1"/>
    </row>
    <row r="4035" spans="1:4" x14ac:dyDescent="0.25">
      <c r="A4035" s="1"/>
      <c r="B4035" s="1"/>
      <c r="C4035" s="1"/>
      <c r="D4035" s="1"/>
    </row>
    <row r="4036" spans="1:4" x14ac:dyDescent="0.25">
      <c r="A4036" s="1"/>
      <c r="B4036" s="1"/>
      <c r="C4036" s="1"/>
      <c r="D4036" s="1"/>
    </row>
    <row r="4037" spans="1:4" x14ac:dyDescent="0.25">
      <c r="A4037" s="1"/>
      <c r="B4037" s="1"/>
      <c r="C4037" s="1"/>
      <c r="D4037" s="1"/>
    </row>
    <row r="4038" spans="1:4" x14ac:dyDescent="0.25">
      <c r="A4038" s="1"/>
      <c r="B4038" s="1"/>
      <c r="C4038" s="1"/>
      <c r="D4038" s="1"/>
    </row>
    <row r="4039" spans="1:4" x14ac:dyDescent="0.25">
      <c r="A4039" s="1"/>
      <c r="B4039" s="1"/>
      <c r="C4039" s="1"/>
      <c r="D4039" s="1"/>
    </row>
    <row r="4040" spans="1:4" x14ac:dyDescent="0.25">
      <c r="A4040" s="1"/>
      <c r="B4040" s="1"/>
      <c r="C4040" s="1"/>
      <c r="D4040" s="1"/>
    </row>
    <row r="4041" spans="1:4" x14ac:dyDescent="0.25">
      <c r="A4041" s="1"/>
      <c r="B4041" s="1"/>
      <c r="C4041" s="1"/>
      <c r="D4041" s="1"/>
    </row>
    <row r="4042" spans="1:4" x14ac:dyDescent="0.25">
      <c r="A4042" s="1"/>
      <c r="B4042" s="1"/>
      <c r="C4042" s="1"/>
      <c r="D4042" s="1"/>
    </row>
    <row r="4043" spans="1:4" x14ac:dyDescent="0.25">
      <c r="A4043" s="1"/>
      <c r="B4043" s="1"/>
      <c r="C4043" s="1"/>
      <c r="D4043" s="1"/>
    </row>
    <row r="4044" spans="1:4" x14ac:dyDescent="0.25">
      <c r="A4044" s="1"/>
      <c r="B4044" s="1"/>
      <c r="C4044" s="1"/>
      <c r="D4044" s="1"/>
    </row>
    <row r="4045" spans="1:4" x14ac:dyDescent="0.25">
      <c r="A4045" s="1"/>
      <c r="B4045" s="1"/>
      <c r="C4045" s="1"/>
      <c r="D4045" s="1"/>
    </row>
    <row r="4046" spans="1:4" x14ac:dyDescent="0.25">
      <c r="A4046" s="1"/>
      <c r="B4046" s="1"/>
      <c r="C4046" s="1"/>
      <c r="D4046" s="1"/>
    </row>
    <row r="4047" spans="1:4" x14ac:dyDescent="0.25">
      <c r="A4047" s="1"/>
      <c r="B4047" s="1"/>
      <c r="C4047" s="1"/>
      <c r="D4047" s="1"/>
    </row>
    <row r="4048" spans="1:4" x14ac:dyDescent="0.25">
      <c r="A4048" s="1"/>
      <c r="B4048" s="1"/>
      <c r="C4048" s="1"/>
      <c r="D4048" s="1"/>
    </row>
    <row r="4049" spans="1:4" x14ac:dyDescent="0.25">
      <c r="A4049" s="1"/>
      <c r="B4049" s="1"/>
      <c r="C4049" s="1"/>
      <c r="D4049" s="1"/>
    </row>
    <row r="4050" spans="1:4" x14ac:dyDescent="0.25">
      <c r="A4050" s="1"/>
      <c r="B4050" s="1"/>
      <c r="C4050" s="1"/>
      <c r="D4050" s="1"/>
    </row>
    <row r="4051" spans="1:4" x14ac:dyDescent="0.25">
      <c r="A4051" s="1"/>
      <c r="B4051" s="1"/>
      <c r="C4051" s="1"/>
      <c r="D4051" s="1"/>
    </row>
    <row r="4052" spans="1:4" x14ac:dyDescent="0.25">
      <c r="A4052" s="1"/>
      <c r="B4052" s="1"/>
      <c r="C4052" s="1"/>
      <c r="D4052" s="1"/>
    </row>
    <row r="4053" spans="1:4" x14ac:dyDescent="0.25">
      <c r="A4053" s="1"/>
      <c r="B4053" s="1"/>
      <c r="C4053" s="1"/>
      <c r="D4053" s="1"/>
    </row>
    <row r="4054" spans="1:4" x14ac:dyDescent="0.25">
      <c r="A4054" s="1"/>
      <c r="B4054" s="1"/>
      <c r="C4054" s="1"/>
      <c r="D4054" s="1"/>
    </row>
    <row r="4055" spans="1:4" x14ac:dyDescent="0.25">
      <c r="A4055" s="1"/>
      <c r="B4055" s="1"/>
      <c r="C4055" s="1"/>
      <c r="D4055" s="1"/>
    </row>
    <row r="4056" spans="1:4" x14ac:dyDescent="0.25">
      <c r="A4056" s="1"/>
      <c r="B4056" s="1"/>
      <c r="C4056" s="1"/>
      <c r="D4056" s="1"/>
    </row>
    <row r="4057" spans="1:4" x14ac:dyDescent="0.25">
      <c r="A4057" s="1"/>
      <c r="B4057" s="1"/>
      <c r="C4057" s="1"/>
      <c r="D4057" s="1"/>
    </row>
    <row r="4058" spans="1:4" x14ac:dyDescent="0.25">
      <c r="A4058" s="1"/>
      <c r="B4058" s="1"/>
      <c r="C4058" s="1"/>
      <c r="D4058" s="1"/>
    </row>
    <row r="4059" spans="1:4" x14ac:dyDescent="0.25">
      <c r="A4059" s="1"/>
      <c r="B4059" s="1"/>
      <c r="C4059" s="1"/>
      <c r="D4059" s="1"/>
    </row>
    <row r="4060" spans="1:4" x14ac:dyDescent="0.25">
      <c r="A4060" s="1"/>
      <c r="B4060" s="1"/>
      <c r="C4060" s="1"/>
      <c r="D4060" s="1"/>
    </row>
    <row r="4061" spans="1:4" x14ac:dyDescent="0.25">
      <c r="A4061" s="1"/>
      <c r="B4061" s="1"/>
      <c r="C4061" s="1"/>
      <c r="D4061" s="1"/>
    </row>
    <row r="4062" spans="1:4" x14ac:dyDescent="0.25">
      <c r="A4062" s="1"/>
      <c r="B4062" s="1"/>
      <c r="C4062" s="1"/>
      <c r="D4062" s="1"/>
    </row>
    <row r="4063" spans="1:4" x14ac:dyDescent="0.25">
      <c r="A4063" s="1"/>
      <c r="B4063" s="1"/>
      <c r="C4063" s="1"/>
      <c r="D4063" s="1"/>
    </row>
    <row r="4064" spans="1:4" x14ac:dyDescent="0.25">
      <c r="A4064" s="1"/>
      <c r="B4064" s="1"/>
      <c r="C4064" s="1"/>
      <c r="D4064" s="1"/>
    </row>
    <row r="4065" spans="1:4" x14ac:dyDescent="0.25">
      <c r="A4065" s="1"/>
      <c r="B4065" s="1"/>
      <c r="C4065" s="1"/>
      <c r="D4065" s="1"/>
    </row>
    <row r="4066" spans="1:4" x14ac:dyDescent="0.25">
      <c r="A4066" s="1"/>
      <c r="B4066" s="1"/>
      <c r="C4066" s="1"/>
      <c r="D4066" s="1"/>
    </row>
    <row r="4067" spans="1:4" x14ac:dyDescent="0.25">
      <c r="A4067" s="1"/>
      <c r="B4067" s="1"/>
      <c r="C4067" s="1"/>
      <c r="D4067" s="1"/>
    </row>
    <row r="4068" spans="1:4" x14ac:dyDescent="0.25">
      <c r="A4068" s="1"/>
      <c r="B4068" s="1"/>
      <c r="C4068" s="1"/>
      <c r="D4068" s="1"/>
    </row>
    <row r="4069" spans="1:4" x14ac:dyDescent="0.25">
      <c r="A4069" s="1"/>
      <c r="B4069" s="1"/>
      <c r="C4069" s="1"/>
      <c r="D4069" s="1"/>
    </row>
    <row r="4070" spans="1:4" x14ac:dyDescent="0.25">
      <c r="A4070" s="1"/>
      <c r="B4070" s="1"/>
      <c r="C4070" s="1"/>
      <c r="D4070" s="1"/>
    </row>
    <row r="4071" spans="1:4" x14ac:dyDescent="0.25">
      <c r="A4071" s="1"/>
      <c r="B4071" s="1"/>
      <c r="C4071" s="1"/>
      <c r="D4071" s="1"/>
    </row>
    <row r="4072" spans="1:4" x14ac:dyDescent="0.25">
      <c r="A4072" s="1"/>
      <c r="B4072" s="1"/>
      <c r="C4072" s="1"/>
      <c r="D4072" s="1"/>
    </row>
    <row r="4073" spans="1:4" x14ac:dyDescent="0.25">
      <c r="A4073" s="1"/>
      <c r="B4073" s="1"/>
      <c r="C4073" s="1"/>
      <c r="D4073" s="1"/>
    </row>
    <row r="4074" spans="1:4" x14ac:dyDescent="0.25">
      <c r="A4074" s="1"/>
      <c r="B4074" s="1"/>
      <c r="C4074" s="1"/>
      <c r="D4074" s="1"/>
    </row>
    <row r="4075" spans="1:4" x14ac:dyDescent="0.25">
      <c r="A4075" s="1"/>
      <c r="B4075" s="1"/>
      <c r="C4075" s="1"/>
      <c r="D4075" s="1"/>
    </row>
    <row r="4076" spans="1:4" x14ac:dyDescent="0.25">
      <c r="A4076" s="1"/>
      <c r="B4076" s="1"/>
      <c r="C4076" s="1"/>
      <c r="D4076" s="1"/>
    </row>
    <row r="4077" spans="1:4" x14ac:dyDescent="0.25">
      <c r="A4077" s="1"/>
      <c r="B4077" s="1"/>
      <c r="C4077" s="1"/>
      <c r="D4077" s="1"/>
    </row>
    <row r="4078" spans="1:4" x14ac:dyDescent="0.25">
      <c r="A4078" s="1"/>
      <c r="B4078" s="1"/>
      <c r="C4078" s="1"/>
      <c r="D4078" s="1"/>
    </row>
    <row r="4079" spans="1:4" x14ac:dyDescent="0.25">
      <c r="A4079" s="1"/>
      <c r="B4079" s="1"/>
      <c r="C4079" s="1"/>
      <c r="D4079" s="1"/>
    </row>
    <row r="4080" spans="1:4" x14ac:dyDescent="0.25">
      <c r="A4080" s="1"/>
      <c r="B4080" s="1"/>
      <c r="C4080" s="1"/>
      <c r="D4080" s="1"/>
    </row>
    <row r="4081" spans="1:4" x14ac:dyDescent="0.25">
      <c r="A4081" s="1"/>
      <c r="B4081" s="1"/>
      <c r="C4081" s="1"/>
      <c r="D4081" s="1"/>
    </row>
    <row r="4082" spans="1:4" x14ac:dyDescent="0.25">
      <c r="A4082" s="1"/>
      <c r="B4082" s="1"/>
      <c r="C4082" s="1"/>
      <c r="D4082" s="1"/>
    </row>
    <row r="4083" spans="1:4" x14ac:dyDescent="0.25">
      <c r="A4083" s="1"/>
      <c r="B4083" s="1"/>
      <c r="C4083" s="1"/>
      <c r="D4083" s="1"/>
    </row>
    <row r="4084" spans="1:4" x14ac:dyDescent="0.25">
      <c r="A4084" s="1"/>
      <c r="B4084" s="1"/>
      <c r="C4084" s="1"/>
      <c r="D4084" s="1"/>
    </row>
    <row r="4085" spans="1:4" x14ac:dyDescent="0.25">
      <c r="A4085" s="1"/>
      <c r="B4085" s="1"/>
      <c r="C4085" s="1"/>
      <c r="D4085" s="1"/>
    </row>
    <row r="4086" spans="1:4" x14ac:dyDescent="0.25">
      <c r="A4086" s="1"/>
      <c r="B4086" s="1"/>
      <c r="C4086" s="1"/>
      <c r="D4086" s="1"/>
    </row>
    <row r="4087" spans="1:4" x14ac:dyDescent="0.25">
      <c r="A4087" s="1"/>
      <c r="B4087" s="1"/>
      <c r="C4087" s="1"/>
      <c r="D4087" s="1"/>
    </row>
    <row r="4088" spans="1:4" x14ac:dyDescent="0.25">
      <c r="A4088" s="1"/>
      <c r="B4088" s="1"/>
      <c r="C4088" s="1"/>
      <c r="D4088" s="1"/>
    </row>
    <row r="4089" spans="1:4" x14ac:dyDescent="0.25">
      <c r="A4089" s="1"/>
      <c r="B4089" s="1"/>
      <c r="C4089" s="1"/>
      <c r="D4089" s="1"/>
    </row>
    <row r="4090" spans="1:4" x14ac:dyDescent="0.25">
      <c r="A4090" s="1"/>
      <c r="B4090" s="1"/>
      <c r="C4090" s="1"/>
      <c r="D4090" s="1"/>
    </row>
    <row r="4091" spans="1:4" x14ac:dyDescent="0.25">
      <c r="A4091" s="1"/>
      <c r="B4091" s="1"/>
      <c r="C4091" s="1"/>
      <c r="D4091" s="1"/>
    </row>
    <row r="4092" spans="1:4" x14ac:dyDescent="0.25">
      <c r="A4092" s="1"/>
      <c r="B4092" s="1"/>
      <c r="C4092" s="1"/>
      <c r="D4092" s="1"/>
    </row>
    <row r="4093" spans="1:4" x14ac:dyDescent="0.25">
      <c r="A4093" s="1"/>
      <c r="B4093" s="1"/>
      <c r="C4093" s="1"/>
      <c r="D4093" s="1"/>
    </row>
    <row r="4094" spans="1:4" x14ac:dyDescent="0.25">
      <c r="A4094" s="1"/>
      <c r="B4094" s="1"/>
      <c r="C4094" s="1"/>
      <c r="D4094" s="1"/>
    </row>
    <row r="4095" spans="1:4" x14ac:dyDescent="0.25">
      <c r="A4095" s="1"/>
      <c r="B4095" s="1"/>
      <c r="C4095" s="1"/>
      <c r="D4095" s="1"/>
    </row>
    <row r="4096" spans="1:4" x14ac:dyDescent="0.25">
      <c r="A4096" s="1"/>
      <c r="B4096" s="1"/>
      <c r="C4096" s="1"/>
      <c r="D4096" s="1"/>
    </row>
    <row r="4097" spans="1:4" x14ac:dyDescent="0.25">
      <c r="A4097" s="1"/>
      <c r="B4097" s="1"/>
      <c r="C4097" s="1"/>
      <c r="D4097" s="1"/>
    </row>
    <row r="4098" spans="1:4" x14ac:dyDescent="0.25">
      <c r="A4098" s="1"/>
      <c r="B4098" s="1"/>
      <c r="C4098" s="1"/>
      <c r="D4098" s="1"/>
    </row>
    <row r="4099" spans="1:4" x14ac:dyDescent="0.25">
      <c r="A4099" s="1"/>
      <c r="B4099" s="1"/>
      <c r="C4099" s="1"/>
      <c r="D4099" s="1"/>
    </row>
    <row r="4100" spans="1:4" x14ac:dyDescent="0.25">
      <c r="A4100" s="1"/>
      <c r="B4100" s="1"/>
      <c r="C4100" s="1"/>
      <c r="D4100" s="1"/>
    </row>
    <row r="4101" spans="1:4" x14ac:dyDescent="0.25">
      <c r="A4101" s="1"/>
      <c r="B4101" s="1"/>
      <c r="C4101" s="1"/>
      <c r="D4101" s="1"/>
    </row>
    <row r="4102" spans="1:4" x14ac:dyDescent="0.25">
      <c r="A4102" s="1"/>
      <c r="B4102" s="1"/>
      <c r="C4102" s="1"/>
      <c r="D4102" s="1"/>
    </row>
    <row r="4103" spans="1:4" x14ac:dyDescent="0.25">
      <c r="A4103" s="1"/>
      <c r="B4103" s="1"/>
      <c r="C4103" s="1"/>
      <c r="D4103" s="1"/>
    </row>
    <row r="4104" spans="1:4" x14ac:dyDescent="0.25">
      <c r="A4104" s="1"/>
      <c r="B4104" s="1"/>
      <c r="C4104" s="1"/>
      <c r="D4104" s="1"/>
    </row>
    <row r="4105" spans="1:4" x14ac:dyDescent="0.25">
      <c r="A4105" s="1"/>
      <c r="B4105" s="1"/>
      <c r="C4105" s="1"/>
      <c r="D4105" s="1"/>
    </row>
    <row r="4106" spans="1:4" x14ac:dyDescent="0.25">
      <c r="A4106" s="1"/>
      <c r="B4106" s="1"/>
      <c r="C4106" s="1"/>
      <c r="D4106" s="1"/>
    </row>
    <row r="4107" spans="1:4" x14ac:dyDescent="0.25">
      <c r="A4107" s="1"/>
      <c r="B4107" s="1"/>
      <c r="C4107" s="1"/>
      <c r="D4107" s="1"/>
    </row>
    <row r="4108" spans="1:4" x14ac:dyDescent="0.25">
      <c r="A4108" s="1"/>
      <c r="B4108" s="1"/>
      <c r="C4108" s="1"/>
      <c r="D4108" s="1"/>
    </row>
    <row r="4109" spans="1:4" x14ac:dyDescent="0.25">
      <c r="A4109" s="1"/>
      <c r="B4109" s="1"/>
      <c r="C4109" s="1"/>
      <c r="D4109" s="1"/>
    </row>
    <row r="4110" spans="1:4" x14ac:dyDescent="0.25">
      <c r="A4110" s="1"/>
      <c r="B4110" s="1"/>
      <c r="C4110" s="1"/>
      <c r="D4110" s="1"/>
    </row>
    <row r="4111" spans="1:4" x14ac:dyDescent="0.25">
      <c r="A4111" s="1"/>
      <c r="B4111" s="1"/>
      <c r="C4111" s="1"/>
      <c r="D4111" s="1"/>
    </row>
    <row r="4112" spans="1:4" x14ac:dyDescent="0.25">
      <c r="A4112" s="1"/>
      <c r="B4112" s="1"/>
      <c r="C4112" s="1"/>
      <c r="D4112" s="1"/>
    </row>
    <row r="4113" spans="1:4" x14ac:dyDescent="0.25">
      <c r="A4113" s="1"/>
      <c r="B4113" s="1"/>
      <c r="C4113" s="1"/>
      <c r="D4113" s="1"/>
    </row>
    <row r="4114" spans="1:4" x14ac:dyDescent="0.25">
      <c r="A4114" s="1"/>
      <c r="B4114" s="1"/>
      <c r="C4114" s="1"/>
      <c r="D4114" s="1"/>
    </row>
    <row r="4115" spans="1:4" x14ac:dyDescent="0.25">
      <c r="A4115" s="1"/>
      <c r="B4115" s="1"/>
      <c r="C4115" s="1"/>
      <c r="D4115" s="1"/>
    </row>
    <row r="4116" spans="1:4" x14ac:dyDescent="0.25">
      <c r="A4116" s="1"/>
      <c r="B4116" s="1"/>
      <c r="C4116" s="1"/>
      <c r="D4116" s="1"/>
    </row>
    <row r="4117" spans="1:4" x14ac:dyDescent="0.25">
      <c r="A4117" s="1"/>
      <c r="B4117" s="1"/>
      <c r="C4117" s="1"/>
      <c r="D4117" s="1"/>
    </row>
    <row r="4118" spans="1:4" x14ac:dyDescent="0.25">
      <c r="A4118" s="1"/>
      <c r="B4118" s="1"/>
      <c r="C4118" s="1"/>
      <c r="D4118" s="1"/>
    </row>
    <row r="4119" spans="1:4" x14ac:dyDescent="0.25">
      <c r="A4119" s="1"/>
      <c r="B4119" s="1"/>
      <c r="C4119" s="1"/>
      <c r="D4119" s="1"/>
    </row>
    <row r="4120" spans="1:4" x14ac:dyDescent="0.25">
      <c r="A4120" s="1"/>
      <c r="B4120" s="1"/>
      <c r="C4120" s="1"/>
      <c r="D4120" s="1"/>
    </row>
    <row r="4121" spans="1:4" x14ac:dyDescent="0.25">
      <c r="A4121" s="1"/>
      <c r="B4121" s="1"/>
      <c r="C4121" s="1"/>
      <c r="D4121" s="1"/>
    </row>
    <row r="4122" spans="1:4" x14ac:dyDescent="0.25">
      <c r="A4122" s="1"/>
      <c r="B4122" s="1"/>
      <c r="C4122" s="1"/>
      <c r="D4122" s="1"/>
    </row>
    <row r="4123" spans="1:4" x14ac:dyDescent="0.25">
      <c r="A4123" s="1"/>
      <c r="B4123" s="1"/>
      <c r="C4123" s="1"/>
      <c r="D4123" s="1"/>
    </row>
    <row r="4124" spans="1:4" x14ac:dyDescent="0.25">
      <c r="A4124" s="1"/>
      <c r="B4124" s="1"/>
      <c r="C4124" s="1"/>
      <c r="D4124" s="1"/>
    </row>
    <row r="4125" spans="1:4" x14ac:dyDescent="0.25">
      <c r="A4125" s="1"/>
      <c r="B4125" s="1"/>
      <c r="C4125" s="1"/>
      <c r="D4125" s="1"/>
    </row>
    <row r="4126" spans="1:4" x14ac:dyDescent="0.25">
      <c r="A4126" s="1"/>
      <c r="B4126" s="1"/>
      <c r="C4126" s="1"/>
      <c r="D4126" s="1"/>
    </row>
    <row r="4127" spans="1:4" x14ac:dyDescent="0.25">
      <c r="A4127" s="1"/>
      <c r="B4127" s="1"/>
      <c r="C4127" s="1"/>
      <c r="D4127" s="1"/>
    </row>
    <row r="4128" spans="1:4" x14ac:dyDescent="0.25">
      <c r="A4128" s="1"/>
      <c r="B4128" s="1"/>
      <c r="C4128" s="1"/>
      <c r="D4128" s="1"/>
    </row>
    <row r="4129" spans="1:4" x14ac:dyDescent="0.25">
      <c r="A4129" s="1"/>
      <c r="B4129" s="1"/>
      <c r="C4129" s="1"/>
      <c r="D4129" s="1"/>
    </row>
    <row r="4130" spans="1:4" x14ac:dyDescent="0.25">
      <c r="A4130" s="1"/>
      <c r="B4130" s="1"/>
      <c r="C4130" s="1"/>
      <c r="D4130" s="1"/>
    </row>
    <row r="4131" spans="1:4" x14ac:dyDescent="0.25">
      <c r="A4131" s="1"/>
      <c r="B4131" s="1"/>
      <c r="C4131" s="1"/>
      <c r="D4131" s="1"/>
    </row>
    <row r="4132" spans="1:4" x14ac:dyDescent="0.25">
      <c r="A4132" s="1"/>
      <c r="B4132" s="1"/>
      <c r="C4132" s="1"/>
      <c r="D4132" s="1"/>
    </row>
    <row r="4133" spans="1:4" x14ac:dyDescent="0.25">
      <c r="A4133" s="1"/>
      <c r="B4133" s="1"/>
      <c r="C4133" s="1"/>
      <c r="D4133" s="1"/>
    </row>
    <row r="4134" spans="1:4" x14ac:dyDescent="0.25">
      <c r="A4134" s="1"/>
      <c r="B4134" s="1"/>
      <c r="C4134" s="1"/>
      <c r="D4134" s="1"/>
    </row>
    <row r="4135" spans="1:4" x14ac:dyDescent="0.25">
      <c r="A4135" s="1"/>
      <c r="B4135" s="1"/>
      <c r="C4135" s="1"/>
      <c r="D4135" s="1"/>
    </row>
    <row r="4136" spans="1:4" x14ac:dyDescent="0.25">
      <c r="A4136" s="1"/>
      <c r="B4136" s="1"/>
      <c r="C4136" s="1"/>
      <c r="D4136" s="1"/>
    </row>
    <row r="4137" spans="1:4" x14ac:dyDescent="0.25">
      <c r="A4137" s="1"/>
      <c r="B4137" s="1"/>
      <c r="C4137" s="1"/>
      <c r="D4137" s="1"/>
    </row>
    <row r="4138" spans="1:4" x14ac:dyDescent="0.25">
      <c r="A4138" s="1"/>
      <c r="B4138" s="1"/>
      <c r="C4138" s="1"/>
      <c r="D4138" s="1"/>
    </row>
    <row r="4139" spans="1:4" x14ac:dyDescent="0.25">
      <c r="A4139" s="1"/>
      <c r="B4139" s="1"/>
      <c r="C4139" s="1"/>
      <c r="D4139" s="1"/>
    </row>
    <row r="4140" spans="1:4" x14ac:dyDescent="0.25">
      <c r="A4140" s="1"/>
      <c r="B4140" s="1"/>
      <c r="C4140" s="1"/>
      <c r="D4140" s="1"/>
    </row>
    <row r="4141" spans="1:4" x14ac:dyDescent="0.25">
      <c r="A4141" s="1"/>
      <c r="B4141" s="1"/>
      <c r="C4141" s="1"/>
      <c r="D4141" s="1"/>
    </row>
    <row r="4142" spans="1:4" x14ac:dyDescent="0.25">
      <c r="A4142" s="1"/>
      <c r="B4142" s="1"/>
      <c r="C4142" s="1"/>
      <c r="D4142" s="1"/>
    </row>
    <row r="4143" spans="1:4" x14ac:dyDescent="0.25">
      <c r="A4143" s="1"/>
      <c r="B4143" s="1"/>
      <c r="C4143" s="1"/>
      <c r="D4143" s="1"/>
    </row>
    <row r="4144" spans="1:4" x14ac:dyDescent="0.25">
      <c r="A4144" s="1"/>
      <c r="B4144" s="1"/>
      <c r="C4144" s="1"/>
      <c r="D4144" s="1"/>
    </row>
    <row r="4145" spans="1:4" x14ac:dyDescent="0.25">
      <c r="A4145" s="1"/>
      <c r="B4145" s="1"/>
      <c r="C4145" s="1"/>
      <c r="D4145" s="1"/>
    </row>
    <row r="4146" spans="1:4" x14ac:dyDescent="0.25">
      <c r="A4146" s="1"/>
      <c r="B4146" s="1"/>
      <c r="C4146" s="1"/>
      <c r="D4146" s="1"/>
    </row>
    <row r="4147" spans="1:4" x14ac:dyDescent="0.25">
      <c r="A4147" s="1"/>
      <c r="B4147" s="1"/>
      <c r="C4147" s="1"/>
      <c r="D4147" s="1"/>
    </row>
    <row r="4148" spans="1:4" x14ac:dyDescent="0.25">
      <c r="A4148" s="1"/>
      <c r="B4148" s="1"/>
      <c r="C4148" s="1"/>
      <c r="D4148" s="1"/>
    </row>
    <row r="4149" spans="1:4" x14ac:dyDescent="0.25">
      <c r="A4149" s="1"/>
      <c r="B4149" s="1"/>
      <c r="C4149" s="1"/>
      <c r="D4149" s="1"/>
    </row>
    <row r="4150" spans="1:4" x14ac:dyDescent="0.25">
      <c r="A4150" s="1"/>
      <c r="B4150" s="1"/>
      <c r="C4150" s="1"/>
      <c r="D4150" s="1"/>
    </row>
    <row r="4151" spans="1:4" x14ac:dyDescent="0.25">
      <c r="A4151" s="1"/>
      <c r="B4151" s="1"/>
      <c r="C4151" s="1"/>
      <c r="D4151" s="1"/>
    </row>
    <row r="4152" spans="1:4" x14ac:dyDescent="0.25">
      <c r="A4152" s="1"/>
      <c r="B4152" s="1"/>
      <c r="C4152" s="1"/>
      <c r="D4152" s="1"/>
    </row>
    <row r="4153" spans="1:4" x14ac:dyDescent="0.25">
      <c r="A4153" s="1"/>
      <c r="B4153" s="1"/>
      <c r="C4153" s="1"/>
      <c r="D4153" s="1"/>
    </row>
    <row r="4154" spans="1:4" x14ac:dyDescent="0.25">
      <c r="A4154" s="1"/>
      <c r="B4154" s="1"/>
      <c r="C4154" s="1"/>
      <c r="D4154" s="1"/>
    </row>
    <row r="4155" spans="1:4" x14ac:dyDescent="0.25">
      <c r="A4155" s="1"/>
      <c r="B4155" s="1"/>
      <c r="C4155" s="1"/>
      <c r="D4155" s="1"/>
    </row>
    <row r="4156" spans="1:4" x14ac:dyDescent="0.25">
      <c r="A4156" s="1"/>
      <c r="B4156" s="1"/>
      <c r="C4156" s="1"/>
      <c r="D4156" s="1"/>
    </row>
    <row r="4157" spans="1:4" x14ac:dyDescent="0.25">
      <c r="A4157" s="1"/>
      <c r="B4157" s="1"/>
      <c r="C4157" s="1"/>
      <c r="D4157" s="1"/>
    </row>
    <row r="4158" spans="1:4" x14ac:dyDescent="0.25">
      <c r="A4158" s="1"/>
      <c r="B4158" s="1"/>
      <c r="C4158" s="1"/>
      <c r="D4158" s="1"/>
    </row>
    <row r="4159" spans="1:4" x14ac:dyDescent="0.25">
      <c r="A4159" s="1"/>
      <c r="B4159" s="1"/>
      <c r="C4159" s="1"/>
      <c r="D4159" s="1"/>
    </row>
    <row r="4160" spans="1:4" x14ac:dyDescent="0.25">
      <c r="A4160" s="1"/>
      <c r="B4160" s="1"/>
      <c r="C4160" s="1"/>
      <c r="D4160" s="1"/>
    </row>
    <row r="4161" spans="1:4" x14ac:dyDescent="0.25">
      <c r="A4161" s="1"/>
      <c r="B4161" s="1"/>
      <c r="C4161" s="1"/>
      <c r="D4161" s="1"/>
    </row>
    <row r="4162" spans="1:4" x14ac:dyDescent="0.25">
      <c r="A4162" s="1"/>
      <c r="B4162" s="1"/>
      <c r="C4162" s="1"/>
      <c r="D4162" s="1"/>
    </row>
    <row r="4163" spans="1:4" x14ac:dyDescent="0.25">
      <c r="A4163" s="1"/>
      <c r="B4163" s="1"/>
      <c r="C4163" s="1"/>
      <c r="D4163" s="1"/>
    </row>
    <row r="4164" spans="1:4" x14ac:dyDescent="0.25">
      <c r="A4164" s="1"/>
      <c r="B4164" s="1"/>
      <c r="C4164" s="1"/>
      <c r="D4164" s="1"/>
    </row>
    <row r="4165" spans="1:4" x14ac:dyDescent="0.25">
      <c r="A4165" s="1"/>
      <c r="B4165" s="1"/>
      <c r="C4165" s="1"/>
      <c r="D4165" s="1"/>
    </row>
    <row r="4166" spans="1:4" x14ac:dyDescent="0.25">
      <c r="A4166" s="1"/>
      <c r="B4166" s="1"/>
      <c r="C4166" s="1"/>
      <c r="D4166" s="1"/>
    </row>
    <row r="4167" spans="1:4" x14ac:dyDescent="0.25">
      <c r="A4167" s="1"/>
      <c r="B4167" s="1"/>
      <c r="C4167" s="1"/>
      <c r="D4167" s="1"/>
    </row>
    <row r="4168" spans="1:4" x14ac:dyDescent="0.25">
      <c r="A4168" s="1"/>
      <c r="B4168" s="1"/>
      <c r="C4168" s="1"/>
      <c r="D4168" s="1"/>
    </row>
    <row r="4169" spans="1:4" x14ac:dyDescent="0.25">
      <c r="A4169" s="1"/>
      <c r="B4169" s="1"/>
      <c r="C4169" s="1"/>
      <c r="D4169" s="1"/>
    </row>
    <row r="4170" spans="1:4" x14ac:dyDescent="0.25">
      <c r="A4170" s="1"/>
      <c r="B4170" s="1"/>
      <c r="C4170" s="1"/>
      <c r="D4170" s="1"/>
    </row>
    <row r="4171" spans="1:4" x14ac:dyDescent="0.25">
      <c r="A4171" s="1"/>
      <c r="B4171" s="1"/>
      <c r="C4171" s="1"/>
      <c r="D4171" s="1"/>
    </row>
    <row r="4172" spans="1:4" x14ac:dyDescent="0.25">
      <c r="A4172" s="1"/>
      <c r="B4172" s="1"/>
      <c r="C4172" s="1"/>
      <c r="D4172" s="1"/>
    </row>
    <row r="4173" spans="1:4" x14ac:dyDescent="0.25">
      <c r="A4173" s="1"/>
      <c r="B4173" s="1"/>
      <c r="C4173" s="1"/>
      <c r="D4173" s="1"/>
    </row>
    <row r="4174" spans="1:4" x14ac:dyDescent="0.25">
      <c r="A4174" s="1"/>
      <c r="B4174" s="1"/>
      <c r="C4174" s="1"/>
      <c r="D4174" s="1"/>
    </row>
    <row r="4175" spans="1:4" x14ac:dyDescent="0.25">
      <c r="A4175" s="1"/>
      <c r="B4175" s="1"/>
      <c r="C4175" s="1"/>
      <c r="D4175" s="1"/>
    </row>
    <row r="4176" spans="1:4" x14ac:dyDescent="0.25">
      <c r="A4176" s="1"/>
      <c r="B4176" s="1"/>
      <c r="C4176" s="1"/>
      <c r="D4176" s="1"/>
    </row>
    <row r="4177" spans="1:4" x14ac:dyDescent="0.25">
      <c r="A4177" s="1"/>
      <c r="B4177" s="1"/>
      <c r="C4177" s="1"/>
      <c r="D4177" s="1"/>
    </row>
    <row r="4178" spans="1:4" x14ac:dyDescent="0.25">
      <c r="A4178" s="1"/>
      <c r="B4178" s="1"/>
      <c r="C4178" s="1"/>
      <c r="D4178" s="1"/>
    </row>
    <row r="4179" spans="1:4" x14ac:dyDescent="0.25">
      <c r="A4179" s="1"/>
      <c r="B4179" s="1"/>
      <c r="C4179" s="1"/>
      <c r="D4179" s="1"/>
    </row>
    <row r="4180" spans="1:4" x14ac:dyDescent="0.25">
      <c r="A4180" s="1"/>
      <c r="B4180" s="1"/>
      <c r="C4180" s="1"/>
      <c r="D4180" s="1"/>
    </row>
    <row r="4181" spans="1:4" x14ac:dyDescent="0.25">
      <c r="A4181" s="1"/>
      <c r="B4181" s="1"/>
      <c r="C4181" s="1"/>
      <c r="D4181" s="1"/>
    </row>
    <row r="4182" spans="1:4" x14ac:dyDescent="0.25">
      <c r="A4182" s="1"/>
      <c r="B4182" s="1"/>
      <c r="C4182" s="1"/>
      <c r="D4182" s="1"/>
    </row>
    <row r="4183" spans="1:4" x14ac:dyDescent="0.25">
      <c r="A4183" s="1"/>
      <c r="B4183" s="1"/>
      <c r="C4183" s="1"/>
      <c r="D4183" s="1"/>
    </row>
    <row r="4184" spans="1:4" x14ac:dyDescent="0.25">
      <c r="A4184" s="1"/>
      <c r="B4184" s="1"/>
      <c r="C4184" s="1"/>
      <c r="D4184" s="1"/>
    </row>
    <row r="4185" spans="1:4" x14ac:dyDescent="0.25">
      <c r="A4185" s="1"/>
      <c r="B4185" s="1"/>
      <c r="C4185" s="1"/>
      <c r="D4185" s="1"/>
    </row>
    <row r="4186" spans="1:4" x14ac:dyDescent="0.25">
      <c r="A4186" s="1"/>
      <c r="B4186" s="1"/>
      <c r="C4186" s="1"/>
      <c r="D4186" s="1"/>
    </row>
    <row r="4187" spans="1:4" x14ac:dyDescent="0.25">
      <c r="A4187" s="1"/>
      <c r="B4187" s="1"/>
      <c r="C4187" s="1"/>
      <c r="D4187" s="1"/>
    </row>
    <row r="4188" spans="1:4" x14ac:dyDescent="0.25">
      <c r="A4188" s="1"/>
      <c r="B4188" s="1"/>
      <c r="C4188" s="1"/>
      <c r="D4188" s="1"/>
    </row>
    <row r="4189" spans="1:4" x14ac:dyDescent="0.25">
      <c r="A4189" s="1"/>
      <c r="B4189" s="1"/>
      <c r="C4189" s="1"/>
      <c r="D4189" s="1"/>
    </row>
    <row r="4190" spans="1:4" x14ac:dyDescent="0.25">
      <c r="A4190" s="1"/>
      <c r="B4190" s="1"/>
      <c r="C4190" s="1"/>
      <c r="D4190" s="1"/>
    </row>
    <row r="4191" spans="1:4" x14ac:dyDescent="0.25">
      <c r="A4191" s="1"/>
      <c r="B4191" s="1"/>
      <c r="C4191" s="1"/>
      <c r="D4191" s="1"/>
    </row>
    <row r="4192" spans="1:4" x14ac:dyDescent="0.25">
      <c r="A4192" s="1"/>
      <c r="B4192" s="1"/>
      <c r="C4192" s="1"/>
      <c r="D4192" s="1"/>
    </row>
    <row r="4193" spans="1:4" x14ac:dyDescent="0.25">
      <c r="A4193" s="1"/>
      <c r="B4193" s="1"/>
      <c r="C4193" s="1"/>
      <c r="D4193" s="1"/>
    </row>
    <row r="4194" spans="1:4" x14ac:dyDescent="0.25">
      <c r="A4194" s="1"/>
      <c r="B4194" s="1"/>
      <c r="C4194" s="1"/>
      <c r="D4194" s="1"/>
    </row>
    <row r="4195" spans="1:4" x14ac:dyDescent="0.25">
      <c r="A4195" s="1"/>
      <c r="B4195" s="1"/>
      <c r="C4195" s="1"/>
      <c r="D4195" s="1"/>
    </row>
    <row r="4196" spans="1:4" x14ac:dyDescent="0.25">
      <c r="A4196" s="1"/>
      <c r="B4196" s="1"/>
      <c r="C4196" s="1"/>
      <c r="D4196" s="1"/>
    </row>
    <row r="4197" spans="1:4" x14ac:dyDescent="0.25">
      <c r="A4197" s="1"/>
      <c r="B4197" s="1"/>
      <c r="C4197" s="1"/>
      <c r="D4197" s="1"/>
    </row>
    <row r="4198" spans="1:4" x14ac:dyDescent="0.25">
      <c r="A4198" s="1"/>
      <c r="B4198" s="1"/>
      <c r="C4198" s="1"/>
      <c r="D4198" s="1"/>
    </row>
    <row r="4199" spans="1:4" x14ac:dyDescent="0.25">
      <c r="A4199" s="1"/>
      <c r="B4199" s="1"/>
      <c r="C4199" s="1"/>
      <c r="D4199" s="1"/>
    </row>
    <row r="4200" spans="1:4" x14ac:dyDescent="0.25">
      <c r="A4200" s="1"/>
      <c r="B4200" s="1"/>
      <c r="C4200" s="1"/>
      <c r="D4200" s="1"/>
    </row>
    <row r="4201" spans="1:4" x14ac:dyDescent="0.25">
      <c r="A4201" s="1"/>
      <c r="B4201" s="1"/>
      <c r="C4201" s="1"/>
      <c r="D4201" s="1"/>
    </row>
    <row r="4202" spans="1:4" x14ac:dyDescent="0.25">
      <c r="A4202" s="1"/>
      <c r="B4202" s="1"/>
      <c r="C4202" s="1"/>
      <c r="D4202" s="1"/>
    </row>
    <row r="4203" spans="1:4" x14ac:dyDescent="0.25">
      <c r="A4203" s="1"/>
      <c r="B4203" s="1"/>
      <c r="C4203" s="1"/>
      <c r="D4203" s="1"/>
    </row>
    <row r="4204" spans="1:4" x14ac:dyDescent="0.25">
      <c r="A4204" s="1"/>
      <c r="B4204" s="1"/>
      <c r="C4204" s="1"/>
      <c r="D4204" s="1"/>
    </row>
    <row r="4205" spans="1:4" x14ac:dyDescent="0.25">
      <c r="A4205" s="1"/>
      <c r="B4205" s="1"/>
      <c r="C4205" s="1"/>
      <c r="D4205" s="1"/>
    </row>
    <row r="4206" spans="1:4" x14ac:dyDescent="0.25">
      <c r="A4206" s="1"/>
      <c r="B4206" s="1"/>
      <c r="C4206" s="1"/>
      <c r="D4206" s="1"/>
    </row>
    <row r="4207" spans="1:4" x14ac:dyDescent="0.25">
      <c r="A4207" s="1"/>
      <c r="B4207" s="1"/>
      <c r="C4207" s="1"/>
      <c r="D4207" s="1"/>
    </row>
    <row r="4208" spans="1:4" x14ac:dyDescent="0.25">
      <c r="A4208" s="1"/>
      <c r="B4208" s="1"/>
      <c r="C4208" s="1"/>
      <c r="D4208" s="1"/>
    </row>
    <row r="4209" spans="1:4" x14ac:dyDescent="0.25">
      <c r="A4209" s="1"/>
      <c r="B4209" s="1"/>
      <c r="C4209" s="1"/>
      <c r="D4209" s="1"/>
    </row>
    <row r="4210" spans="1:4" x14ac:dyDescent="0.25">
      <c r="A4210" s="1"/>
      <c r="B4210" s="1"/>
      <c r="C4210" s="1"/>
      <c r="D4210" s="1"/>
    </row>
    <row r="4211" spans="1:4" x14ac:dyDescent="0.25">
      <c r="A4211" s="1"/>
      <c r="B4211" s="1"/>
      <c r="C4211" s="1"/>
      <c r="D4211" s="1"/>
    </row>
    <row r="4212" spans="1:4" x14ac:dyDescent="0.25">
      <c r="A4212" s="1"/>
      <c r="B4212" s="1"/>
      <c r="C4212" s="1"/>
      <c r="D4212" s="1"/>
    </row>
    <row r="4213" spans="1:4" x14ac:dyDescent="0.25">
      <c r="A4213" s="1"/>
      <c r="B4213" s="1"/>
      <c r="C4213" s="1"/>
      <c r="D4213" s="1"/>
    </row>
    <row r="4214" spans="1:4" x14ac:dyDescent="0.25">
      <c r="A4214" s="1"/>
      <c r="B4214" s="1"/>
      <c r="C4214" s="1"/>
      <c r="D4214" s="1"/>
    </row>
    <row r="4215" spans="1:4" x14ac:dyDescent="0.25">
      <c r="A4215" s="1"/>
      <c r="B4215" s="1"/>
      <c r="C4215" s="1"/>
      <c r="D4215" s="1"/>
    </row>
    <row r="4216" spans="1:4" x14ac:dyDescent="0.25">
      <c r="A4216" s="1"/>
      <c r="B4216" s="1"/>
      <c r="C4216" s="1"/>
      <c r="D4216" s="1"/>
    </row>
    <row r="4217" spans="1:4" x14ac:dyDescent="0.25">
      <c r="A4217" s="1"/>
      <c r="B4217" s="1"/>
      <c r="C4217" s="1"/>
      <c r="D4217" s="1"/>
    </row>
    <row r="4218" spans="1:4" x14ac:dyDescent="0.25">
      <c r="A4218" s="1"/>
      <c r="B4218" s="1"/>
      <c r="C4218" s="1"/>
      <c r="D4218" s="1"/>
    </row>
    <row r="4219" spans="1:4" x14ac:dyDescent="0.25">
      <c r="A4219" s="1"/>
      <c r="B4219" s="1"/>
      <c r="C4219" s="1"/>
      <c r="D4219" s="1"/>
    </row>
    <row r="4220" spans="1:4" x14ac:dyDescent="0.25">
      <c r="A4220" s="1"/>
      <c r="B4220" s="1"/>
      <c r="C4220" s="1"/>
      <c r="D4220" s="1"/>
    </row>
    <row r="4221" spans="1:4" x14ac:dyDescent="0.25">
      <c r="A4221" s="1"/>
      <c r="B4221" s="1"/>
      <c r="C4221" s="1"/>
      <c r="D4221" s="1"/>
    </row>
    <row r="4222" spans="1:4" x14ac:dyDescent="0.25">
      <c r="A4222" s="1"/>
      <c r="B4222" s="1"/>
      <c r="C4222" s="1"/>
      <c r="D4222" s="1"/>
    </row>
    <row r="4223" spans="1:4" x14ac:dyDescent="0.25">
      <c r="A4223" s="1"/>
      <c r="B4223" s="1"/>
      <c r="C4223" s="1"/>
      <c r="D4223" s="1"/>
    </row>
    <row r="4224" spans="1:4" x14ac:dyDescent="0.25">
      <c r="A4224" s="1"/>
      <c r="B4224" s="1"/>
      <c r="C4224" s="1"/>
      <c r="D4224" s="1"/>
    </row>
    <row r="4225" spans="1:4" x14ac:dyDescent="0.25">
      <c r="A4225" s="1"/>
      <c r="B4225" s="1"/>
      <c r="C4225" s="1"/>
      <c r="D4225" s="1"/>
    </row>
    <row r="4226" spans="1:4" x14ac:dyDescent="0.25">
      <c r="A4226" s="1"/>
      <c r="B4226" s="1"/>
      <c r="C4226" s="1"/>
      <c r="D4226" s="1"/>
    </row>
    <row r="4227" spans="1:4" x14ac:dyDescent="0.25">
      <c r="A4227" s="1"/>
      <c r="B4227" s="1"/>
      <c r="C4227" s="1"/>
      <c r="D4227" s="1"/>
    </row>
    <row r="4228" spans="1:4" x14ac:dyDescent="0.25">
      <c r="A4228" s="1"/>
      <c r="B4228" s="1"/>
      <c r="C4228" s="1"/>
      <c r="D4228" s="1"/>
    </row>
    <row r="4229" spans="1:4" x14ac:dyDescent="0.25">
      <c r="A4229" s="1"/>
      <c r="B4229" s="1"/>
      <c r="C4229" s="1"/>
      <c r="D4229" s="1"/>
    </row>
    <row r="4230" spans="1:4" x14ac:dyDescent="0.25">
      <c r="A4230" s="1"/>
      <c r="B4230" s="1"/>
      <c r="C4230" s="1"/>
      <c r="D4230" s="1"/>
    </row>
    <row r="4231" spans="1:4" x14ac:dyDescent="0.25">
      <c r="A4231" s="1"/>
      <c r="B4231" s="1"/>
      <c r="C4231" s="1"/>
      <c r="D4231" s="1"/>
    </row>
    <row r="4232" spans="1:4" x14ac:dyDescent="0.25">
      <c r="A4232" s="1"/>
      <c r="B4232" s="1"/>
      <c r="C4232" s="1"/>
      <c r="D4232" s="1"/>
    </row>
    <row r="4233" spans="1:4" x14ac:dyDescent="0.25">
      <c r="A4233" s="1"/>
      <c r="B4233" s="1"/>
      <c r="C4233" s="1"/>
      <c r="D4233" s="1"/>
    </row>
    <row r="4234" spans="1:4" x14ac:dyDescent="0.25">
      <c r="A4234" s="1"/>
      <c r="B4234" s="1"/>
      <c r="C4234" s="1"/>
      <c r="D4234" s="1"/>
    </row>
    <row r="4235" spans="1:4" x14ac:dyDescent="0.25">
      <c r="A4235" s="1"/>
      <c r="B4235" s="1"/>
      <c r="C4235" s="1"/>
      <c r="D4235" s="1"/>
    </row>
    <row r="4236" spans="1:4" x14ac:dyDescent="0.25">
      <c r="A4236" s="1"/>
      <c r="B4236" s="1"/>
      <c r="C4236" s="1"/>
      <c r="D4236" s="1"/>
    </row>
    <row r="4237" spans="1:4" x14ac:dyDescent="0.25">
      <c r="A4237" s="1"/>
      <c r="B4237" s="1"/>
      <c r="C4237" s="1"/>
      <c r="D4237" s="1"/>
    </row>
    <row r="4238" spans="1:4" x14ac:dyDescent="0.25">
      <c r="A4238" s="1"/>
      <c r="B4238" s="1"/>
      <c r="C4238" s="1"/>
      <c r="D4238" s="1"/>
    </row>
    <row r="4239" spans="1:4" x14ac:dyDescent="0.25">
      <c r="A4239" s="1"/>
      <c r="B4239" s="1"/>
      <c r="C4239" s="1"/>
      <c r="D4239" s="1"/>
    </row>
    <row r="4240" spans="1:4" x14ac:dyDescent="0.25">
      <c r="A4240" s="1"/>
      <c r="B4240" s="1"/>
      <c r="C4240" s="1"/>
      <c r="D4240" s="1"/>
    </row>
    <row r="4241" spans="1:4" x14ac:dyDescent="0.25">
      <c r="A4241" s="1"/>
      <c r="B4241" s="1"/>
      <c r="C4241" s="1"/>
      <c r="D4241" s="1"/>
    </row>
    <row r="4242" spans="1:4" x14ac:dyDescent="0.25">
      <c r="A4242" s="1"/>
      <c r="B4242" s="1"/>
      <c r="C4242" s="1"/>
      <c r="D4242" s="1"/>
    </row>
    <row r="4243" spans="1:4" x14ac:dyDescent="0.25">
      <c r="A4243" s="1"/>
      <c r="B4243" s="1"/>
      <c r="C4243" s="1"/>
      <c r="D4243" s="1"/>
    </row>
    <row r="4244" spans="1:4" x14ac:dyDescent="0.25">
      <c r="A4244" s="1"/>
      <c r="B4244" s="1"/>
      <c r="C4244" s="1"/>
      <c r="D4244" s="1"/>
    </row>
    <row r="4245" spans="1:4" x14ac:dyDescent="0.25">
      <c r="A4245" s="1"/>
      <c r="B4245" s="1"/>
      <c r="C4245" s="1"/>
      <c r="D4245" s="1"/>
    </row>
    <row r="4246" spans="1:4" x14ac:dyDescent="0.25">
      <c r="A4246" s="1"/>
      <c r="B4246" s="1"/>
      <c r="C4246" s="1"/>
      <c r="D4246" s="1"/>
    </row>
    <row r="4247" spans="1:4" x14ac:dyDescent="0.25">
      <c r="A4247" s="1"/>
      <c r="B4247" s="1"/>
      <c r="C4247" s="1"/>
      <c r="D4247" s="1"/>
    </row>
    <row r="4248" spans="1:4" x14ac:dyDescent="0.25">
      <c r="A4248" s="1"/>
      <c r="B4248" s="1"/>
      <c r="C4248" s="1"/>
      <c r="D4248" s="1"/>
    </row>
    <row r="4249" spans="1:4" x14ac:dyDescent="0.25">
      <c r="A4249" s="1"/>
      <c r="B4249" s="1"/>
      <c r="C4249" s="1"/>
      <c r="D4249" s="1"/>
    </row>
    <row r="4250" spans="1:4" x14ac:dyDescent="0.25">
      <c r="A4250" s="1"/>
      <c r="B4250" s="1"/>
      <c r="C4250" s="1"/>
      <c r="D4250" s="1"/>
    </row>
    <row r="4251" spans="1:4" x14ac:dyDescent="0.25">
      <c r="A4251" s="1"/>
      <c r="B4251" s="1"/>
      <c r="C4251" s="1"/>
      <c r="D4251" s="1"/>
    </row>
    <row r="4252" spans="1:4" x14ac:dyDescent="0.25">
      <c r="A4252" s="1"/>
      <c r="B4252" s="1"/>
      <c r="C4252" s="1"/>
      <c r="D4252" s="1"/>
    </row>
    <row r="4253" spans="1:4" x14ac:dyDescent="0.25">
      <c r="A4253" s="1"/>
      <c r="B4253" s="1"/>
      <c r="C4253" s="1"/>
      <c r="D4253" s="1"/>
    </row>
    <row r="4254" spans="1:4" x14ac:dyDescent="0.25">
      <c r="A4254" s="1"/>
      <c r="B4254" s="1"/>
      <c r="C4254" s="1"/>
      <c r="D4254" s="1"/>
    </row>
    <row r="4255" spans="1:4" x14ac:dyDescent="0.25">
      <c r="A4255" s="1"/>
      <c r="B4255" s="1"/>
      <c r="C4255" s="1"/>
      <c r="D4255" s="1"/>
    </row>
    <row r="4256" spans="1:4" x14ac:dyDescent="0.25">
      <c r="A4256" s="1"/>
      <c r="B4256" s="1"/>
      <c r="C4256" s="1"/>
      <c r="D4256" s="1"/>
    </row>
    <row r="4257" spans="1:4" x14ac:dyDescent="0.25">
      <c r="A4257" s="1"/>
      <c r="B4257" s="1"/>
      <c r="C4257" s="1"/>
      <c r="D4257" s="1"/>
    </row>
    <row r="4258" spans="1:4" x14ac:dyDescent="0.25">
      <c r="A4258" s="1"/>
      <c r="B4258" s="1"/>
      <c r="C4258" s="1"/>
      <c r="D4258" s="1"/>
    </row>
    <row r="4259" spans="1:4" x14ac:dyDescent="0.25">
      <c r="A4259" s="1"/>
      <c r="B4259" s="1"/>
      <c r="C4259" s="1"/>
      <c r="D4259" s="1"/>
    </row>
    <row r="4260" spans="1:4" x14ac:dyDescent="0.25">
      <c r="A4260" s="1"/>
      <c r="B4260" s="1"/>
      <c r="C4260" s="1"/>
      <c r="D4260" s="1"/>
    </row>
    <row r="4261" spans="1:4" x14ac:dyDescent="0.25">
      <c r="A4261" s="1"/>
      <c r="B4261" s="1"/>
      <c r="C4261" s="1"/>
      <c r="D4261" s="1"/>
    </row>
    <row r="4262" spans="1:4" x14ac:dyDescent="0.25">
      <c r="A4262" s="1"/>
      <c r="B4262" s="1"/>
      <c r="C4262" s="1"/>
      <c r="D4262" s="1"/>
    </row>
    <row r="4263" spans="1:4" x14ac:dyDescent="0.25">
      <c r="A4263" s="1"/>
      <c r="B4263" s="1"/>
      <c r="C4263" s="1"/>
      <c r="D4263" s="1"/>
    </row>
    <row r="4264" spans="1:4" x14ac:dyDescent="0.25">
      <c r="A4264" s="1"/>
      <c r="B4264" s="1"/>
      <c r="C4264" s="1"/>
      <c r="D4264" s="1"/>
    </row>
    <row r="4265" spans="1:4" x14ac:dyDescent="0.25">
      <c r="A4265" s="1"/>
      <c r="B4265" s="1"/>
      <c r="C4265" s="1"/>
      <c r="D4265" s="1"/>
    </row>
    <row r="4266" spans="1:4" x14ac:dyDescent="0.25">
      <c r="A4266" s="1"/>
      <c r="B4266" s="1"/>
      <c r="C4266" s="1"/>
      <c r="D4266" s="1"/>
    </row>
    <row r="4267" spans="1:4" x14ac:dyDescent="0.25">
      <c r="A4267" s="1"/>
      <c r="B4267" s="1"/>
      <c r="C4267" s="1"/>
      <c r="D4267" s="1"/>
    </row>
    <row r="4268" spans="1:4" x14ac:dyDescent="0.25">
      <c r="A4268" s="1"/>
      <c r="B4268" s="1"/>
      <c r="C4268" s="1"/>
      <c r="D4268" s="1"/>
    </row>
    <row r="4269" spans="1:4" x14ac:dyDescent="0.25">
      <c r="A4269" s="1"/>
      <c r="B4269" s="1"/>
      <c r="C4269" s="1"/>
      <c r="D4269" s="1"/>
    </row>
    <row r="4270" spans="1:4" x14ac:dyDescent="0.25">
      <c r="A4270" s="1"/>
      <c r="B4270" s="1"/>
      <c r="C4270" s="1"/>
      <c r="D4270" s="1"/>
    </row>
    <row r="4271" spans="1:4" x14ac:dyDescent="0.25">
      <c r="A4271" s="1"/>
      <c r="B4271" s="1"/>
      <c r="C4271" s="1"/>
      <c r="D4271" s="1"/>
    </row>
    <row r="4272" spans="1:4" x14ac:dyDescent="0.25">
      <c r="A4272" s="1"/>
      <c r="B4272" s="1"/>
      <c r="C4272" s="1"/>
      <c r="D4272" s="1"/>
    </row>
    <row r="4273" spans="1:4" x14ac:dyDescent="0.25">
      <c r="A4273" s="1"/>
      <c r="B4273" s="1"/>
      <c r="C4273" s="1"/>
      <c r="D4273" s="1"/>
    </row>
    <row r="4274" spans="1:4" x14ac:dyDescent="0.25">
      <c r="A4274" s="1"/>
      <c r="B4274" s="1"/>
      <c r="C4274" s="1"/>
      <c r="D4274" s="1"/>
    </row>
    <row r="4275" spans="1:4" x14ac:dyDescent="0.25">
      <c r="A4275" s="1"/>
      <c r="B4275" s="1"/>
      <c r="C4275" s="1"/>
      <c r="D4275" s="1"/>
    </row>
    <row r="4276" spans="1:4" x14ac:dyDescent="0.25">
      <c r="A4276" s="1"/>
      <c r="B4276" s="1"/>
      <c r="C4276" s="1"/>
      <c r="D4276" s="1"/>
    </row>
    <row r="4277" spans="1:4" x14ac:dyDescent="0.25">
      <c r="A4277" s="1"/>
      <c r="B4277" s="1"/>
      <c r="C4277" s="1"/>
      <c r="D4277" s="1"/>
    </row>
    <row r="4278" spans="1:4" x14ac:dyDescent="0.25">
      <c r="A4278" s="1"/>
      <c r="B4278" s="1"/>
      <c r="C4278" s="1"/>
      <c r="D4278" s="1"/>
    </row>
    <row r="4279" spans="1:4" x14ac:dyDescent="0.25">
      <c r="A4279" s="1"/>
      <c r="B4279" s="1"/>
      <c r="C4279" s="1"/>
      <c r="D4279" s="1"/>
    </row>
    <row r="4280" spans="1:4" x14ac:dyDescent="0.25">
      <c r="A4280" s="1"/>
      <c r="B4280" s="1"/>
      <c r="C4280" s="1"/>
      <c r="D4280" s="1"/>
    </row>
    <row r="4281" spans="1:4" x14ac:dyDescent="0.25">
      <c r="A4281" s="1"/>
      <c r="B4281" s="1"/>
      <c r="C4281" s="1"/>
      <c r="D4281" s="1"/>
    </row>
    <row r="4282" spans="1:4" x14ac:dyDescent="0.25">
      <c r="A4282" s="1"/>
      <c r="B4282" s="1"/>
      <c r="C4282" s="1"/>
      <c r="D4282" s="1"/>
    </row>
    <row r="4283" spans="1:4" x14ac:dyDescent="0.25">
      <c r="A4283" s="1"/>
      <c r="B4283" s="1"/>
      <c r="C4283" s="1"/>
      <c r="D4283" s="1"/>
    </row>
    <row r="4284" spans="1:4" x14ac:dyDescent="0.25">
      <c r="A4284" s="1"/>
      <c r="B4284" s="1"/>
      <c r="C4284" s="1"/>
      <c r="D4284" s="1"/>
    </row>
    <row r="4285" spans="1:4" x14ac:dyDescent="0.25">
      <c r="A4285" s="1"/>
      <c r="B4285" s="1"/>
      <c r="C4285" s="1"/>
      <c r="D4285" s="1"/>
    </row>
    <row r="4286" spans="1:4" x14ac:dyDescent="0.25">
      <c r="A4286" s="1"/>
      <c r="B4286" s="1"/>
      <c r="C4286" s="1"/>
      <c r="D4286" s="1"/>
    </row>
    <row r="4287" spans="1:4" x14ac:dyDescent="0.25">
      <c r="A4287" s="1"/>
      <c r="B4287" s="1"/>
      <c r="C4287" s="1"/>
      <c r="D4287" s="1"/>
    </row>
    <row r="4288" spans="1:4" x14ac:dyDescent="0.25">
      <c r="A4288" s="1"/>
      <c r="B4288" s="1"/>
      <c r="C4288" s="1"/>
      <c r="D4288" s="1"/>
    </row>
    <row r="4289" spans="1:4" x14ac:dyDescent="0.25">
      <c r="A4289" s="1"/>
      <c r="B4289" s="1"/>
      <c r="C4289" s="1"/>
      <c r="D4289" s="1"/>
    </row>
    <row r="4290" spans="1:4" x14ac:dyDescent="0.25">
      <c r="A4290" s="1"/>
      <c r="B4290" s="1"/>
      <c r="C4290" s="1"/>
      <c r="D4290" s="1"/>
    </row>
    <row r="4291" spans="1:4" x14ac:dyDescent="0.25">
      <c r="A4291" s="1"/>
      <c r="B4291" s="1"/>
      <c r="C4291" s="1"/>
      <c r="D4291" s="1"/>
    </row>
    <row r="4292" spans="1:4" x14ac:dyDescent="0.25">
      <c r="A4292" s="1"/>
      <c r="B4292" s="1"/>
      <c r="C4292" s="1"/>
      <c r="D4292" s="1"/>
    </row>
    <row r="4293" spans="1:4" x14ac:dyDescent="0.25">
      <c r="A4293" s="1"/>
      <c r="B4293" s="1"/>
      <c r="C4293" s="1"/>
      <c r="D4293" s="1"/>
    </row>
    <row r="4294" spans="1:4" x14ac:dyDescent="0.25">
      <c r="A4294" s="1"/>
      <c r="B4294" s="1"/>
      <c r="C4294" s="1"/>
      <c r="D4294" s="1"/>
    </row>
    <row r="4295" spans="1:4" x14ac:dyDescent="0.25">
      <c r="A4295" s="1"/>
      <c r="B4295" s="1"/>
      <c r="C4295" s="1"/>
      <c r="D4295" s="1"/>
    </row>
    <row r="4296" spans="1:4" x14ac:dyDescent="0.25">
      <c r="A4296" s="1"/>
      <c r="B4296" s="1"/>
      <c r="C4296" s="1"/>
      <c r="D4296" s="1"/>
    </row>
    <row r="4297" spans="1:4" x14ac:dyDescent="0.25">
      <c r="A4297" s="1"/>
      <c r="B4297" s="1"/>
      <c r="C4297" s="1"/>
      <c r="D4297" s="1"/>
    </row>
    <row r="4298" spans="1:4" x14ac:dyDescent="0.25">
      <c r="A4298" s="1"/>
      <c r="B4298" s="1"/>
      <c r="C4298" s="1"/>
      <c r="D4298" s="1"/>
    </row>
    <row r="4299" spans="1:4" x14ac:dyDescent="0.25">
      <c r="A4299" s="1"/>
      <c r="B4299" s="1"/>
      <c r="C4299" s="1"/>
      <c r="D4299" s="1"/>
    </row>
    <row r="4300" spans="1:4" x14ac:dyDescent="0.25">
      <c r="A4300" s="1"/>
      <c r="B4300" s="1"/>
      <c r="C4300" s="1"/>
      <c r="D4300" s="1"/>
    </row>
    <row r="4301" spans="1:4" x14ac:dyDescent="0.25">
      <c r="A4301" s="1"/>
      <c r="B4301" s="1"/>
      <c r="C4301" s="1"/>
      <c r="D4301" s="1"/>
    </row>
    <row r="4302" spans="1:4" x14ac:dyDescent="0.25">
      <c r="A4302" s="1"/>
      <c r="B4302" s="1"/>
      <c r="C4302" s="1"/>
      <c r="D4302" s="1"/>
    </row>
    <row r="4303" spans="1:4" x14ac:dyDescent="0.25">
      <c r="A4303" s="1"/>
      <c r="B4303" s="1"/>
      <c r="C4303" s="1"/>
      <c r="D4303" s="1"/>
    </row>
    <row r="4304" spans="1:4" x14ac:dyDescent="0.25">
      <c r="A4304" s="1"/>
      <c r="B4304" s="1"/>
      <c r="C4304" s="1"/>
      <c r="D4304" s="1"/>
    </row>
    <row r="4305" spans="1:4" x14ac:dyDescent="0.25">
      <c r="A4305" s="1"/>
      <c r="B4305" s="1"/>
      <c r="C4305" s="1"/>
      <c r="D4305" s="1"/>
    </row>
    <row r="4306" spans="1:4" x14ac:dyDescent="0.25">
      <c r="A4306" s="1"/>
      <c r="B4306" s="1"/>
      <c r="C4306" s="1"/>
      <c r="D4306" s="1"/>
    </row>
    <row r="4307" spans="1:4" x14ac:dyDescent="0.25">
      <c r="A4307" s="1"/>
      <c r="B4307" s="1"/>
      <c r="C4307" s="1"/>
      <c r="D4307" s="1"/>
    </row>
    <row r="4308" spans="1:4" x14ac:dyDescent="0.25">
      <c r="A4308" s="1"/>
      <c r="B4308" s="1"/>
      <c r="C4308" s="1"/>
      <c r="D4308" s="1"/>
    </row>
    <row r="4309" spans="1:4" x14ac:dyDescent="0.25">
      <c r="A4309" s="1"/>
      <c r="B4309" s="1"/>
      <c r="C4309" s="1"/>
      <c r="D4309" s="1"/>
    </row>
    <row r="4310" spans="1:4" x14ac:dyDescent="0.25">
      <c r="A4310" s="1"/>
      <c r="B4310" s="1"/>
      <c r="C4310" s="1"/>
      <c r="D4310" s="1"/>
    </row>
    <row r="4311" spans="1:4" x14ac:dyDescent="0.25">
      <c r="A4311" s="1"/>
      <c r="B4311" s="1"/>
      <c r="C4311" s="1"/>
      <c r="D4311" s="1"/>
    </row>
    <row r="4312" spans="1:4" x14ac:dyDescent="0.25">
      <c r="A4312" s="1"/>
      <c r="B4312" s="1"/>
      <c r="C4312" s="1"/>
      <c r="D4312" s="1"/>
    </row>
    <row r="4313" spans="1:4" x14ac:dyDescent="0.25">
      <c r="A4313" s="1"/>
      <c r="B4313" s="1"/>
      <c r="C4313" s="1"/>
      <c r="D4313" s="1"/>
    </row>
    <row r="4314" spans="1:4" x14ac:dyDescent="0.25">
      <c r="A4314" s="1"/>
      <c r="B4314" s="1"/>
      <c r="C4314" s="1"/>
      <c r="D4314" s="1"/>
    </row>
    <row r="4315" spans="1:4" x14ac:dyDescent="0.25">
      <c r="A4315" s="1"/>
      <c r="B4315" s="1"/>
      <c r="C4315" s="1"/>
      <c r="D4315" s="1"/>
    </row>
    <row r="4316" spans="1:4" x14ac:dyDescent="0.25">
      <c r="A4316" s="1"/>
      <c r="B4316" s="1"/>
      <c r="C4316" s="1"/>
      <c r="D4316" s="1"/>
    </row>
    <row r="4317" spans="1:4" x14ac:dyDescent="0.25">
      <c r="A4317" s="1"/>
      <c r="B4317" s="1"/>
      <c r="C4317" s="1"/>
      <c r="D4317" s="1"/>
    </row>
    <row r="4318" spans="1:4" x14ac:dyDescent="0.25">
      <c r="A4318" s="1"/>
      <c r="B4318" s="1"/>
      <c r="C4318" s="1"/>
      <c r="D4318" s="1"/>
    </row>
    <row r="4319" spans="1:4" x14ac:dyDescent="0.25">
      <c r="A4319" s="1"/>
      <c r="B4319" s="1"/>
      <c r="C4319" s="1"/>
      <c r="D4319" s="1"/>
    </row>
    <row r="4320" spans="1:4" x14ac:dyDescent="0.25">
      <c r="A4320" s="1"/>
      <c r="B4320" s="1"/>
      <c r="C4320" s="1"/>
      <c r="D4320" s="1"/>
    </row>
    <row r="4321" spans="1:4" x14ac:dyDescent="0.25">
      <c r="A4321" s="1"/>
      <c r="B4321" s="1"/>
      <c r="C4321" s="1"/>
      <c r="D4321" s="1"/>
    </row>
    <row r="4322" spans="1:4" x14ac:dyDescent="0.25">
      <c r="A4322" s="1"/>
      <c r="B4322" s="1"/>
      <c r="C4322" s="1"/>
      <c r="D4322" s="1"/>
    </row>
    <row r="4323" spans="1:4" x14ac:dyDescent="0.25">
      <c r="A4323" s="1"/>
      <c r="B4323" s="1"/>
      <c r="C4323" s="1"/>
      <c r="D4323" s="1"/>
    </row>
    <row r="4324" spans="1:4" x14ac:dyDescent="0.25">
      <c r="A4324" s="1"/>
      <c r="B4324" s="1"/>
      <c r="C4324" s="1"/>
      <c r="D4324" s="1"/>
    </row>
    <row r="4325" spans="1:4" x14ac:dyDescent="0.25">
      <c r="A4325" s="1"/>
      <c r="B4325" s="1"/>
      <c r="C4325" s="1"/>
      <c r="D4325" s="1"/>
    </row>
    <row r="4326" spans="1:4" x14ac:dyDescent="0.25">
      <c r="A4326" s="1"/>
      <c r="B4326" s="1"/>
      <c r="C4326" s="1"/>
      <c r="D4326" s="1"/>
    </row>
    <row r="4327" spans="1:4" x14ac:dyDescent="0.25">
      <c r="A4327" s="1"/>
      <c r="B4327" s="1"/>
      <c r="C4327" s="1"/>
      <c r="D4327" s="1"/>
    </row>
    <row r="4328" spans="1:4" x14ac:dyDescent="0.25">
      <c r="A4328" s="1"/>
      <c r="B4328" s="1"/>
      <c r="C4328" s="1"/>
      <c r="D4328" s="1"/>
    </row>
    <row r="4329" spans="1:4" x14ac:dyDescent="0.25">
      <c r="A4329" s="1"/>
      <c r="B4329" s="1"/>
      <c r="C4329" s="1"/>
      <c r="D4329" s="1"/>
    </row>
    <row r="4330" spans="1:4" x14ac:dyDescent="0.25">
      <c r="A4330" s="1"/>
      <c r="B4330" s="1"/>
      <c r="C4330" s="1"/>
      <c r="D4330" s="1"/>
    </row>
    <row r="4331" spans="1:4" x14ac:dyDescent="0.25">
      <c r="A4331" s="1"/>
      <c r="B4331" s="1"/>
      <c r="C4331" s="1"/>
      <c r="D4331" s="1"/>
    </row>
    <row r="4332" spans="1:4" x14ac:dyDescent="0.25">
      <c r="A4332" s="1"/>
      <c r="B4332" s="1"/>
      <c r="C4332" s="1"/>
      <c r="D4332" s="1"/>
    </row>
    <row r="4333" spans="1:4" x14ac:dyDescent="0.25">
      <c r="A4333" s="1"/>
      <c r="B4333" s="1"/>
      <c r="C4333" s="1"/>
      <c r="D4333" s="1"/>
    </row>
    <row r="4334" spans="1:4" x14ac:dyDescent="0.25">
      <c r="A4334" s="1"/>
      <c r="B4334" s="1"/>
      <c r="C4334" s="1"/>
      <c r="D4334" s="1"/>
    </row>
    <row r="4335" spans="1:4" x14ac:dyDescent="0.25">
      <c r="A4335" s="1"/>
      <c r="B4335" s="1"/>
      <c r="C4335" s="1"/>
      <c r="D4335" s="1"/>
    </row>
    <row r="4336" spans="1:4" x14ac:dyDescent="0.25">
      <c r="A4336" s="1"/>
      <c r="B4336" s="1"/>
      <c r="C4336" s="1"/>
      <c r="D4336" s="1"/>
    </row>
    <row r="4337" spans="1:4" x14ac:dyDescent="0.25">
      <c r="A4337" s="1"/>
      <c r="B4337" s="1"/>
      <c r="C4337" s="1"/>
      <c r="D4337" s="1"/>
    </row>
    <row r="4338" spans="1:4" x14ac:dyDescent="0.25">
      <c r="A4338" s="1"/>
      <c r="B4338" s="1"/>
      <c r="C4338" s="1"/>
      <c r="D4338" s="1"/>
    </row>
    <row r="4339" spans="1:4" x14ac:dyDescent="0.25">
      <c r="A4339" s="1"/>
      <c r="B4339" s="1"/>
      <c r="C4339" s="1"/>
      <c r="D4339" s="1"/>
    </row>
    <row r="4340" spans="1:4" x14ac:dyDescent="0.25">
      <c r="A4340" s="1"/>
      <c r="B4340" s="1"/>
      <c r="C4340" s="1"/>
      <c r="D4340" s="1"/>
    </row>
    <row r="4341" spans="1:4" x14ac:dyDescent="0.25">
      <c r="A4341" s="1"/>
      <c r="B4341" s="1"/>
      <c r="C4341" s="1"/>
      <c r="D4341" s="1"/>
    </row>
    <row r="4342" spans="1:4" x14ac:dyDescent="0.25">
      <c r="A4342" s="1"/>
      <c r="B4342" s="1"/>
      <c r="C4342" s="1"/>
      <c r="D4342" s="1"/>
    </row>
    <row r="4343" spans="1:4" x14ac:dyDescent="0.25">
      <c r="A4343" s="1"/>
      <c r="B4343" s="1"/>
      <c r="C4343" s="1"/>
      <c r="D4343" s="1"/>
    </row>
    <row r="4344" spans="1:4" x14ac:dyDescent="0.25">
      <c r="A4344" s="1"/>
      <c r="B4344" s="1"/>
      <c r="C4344" s="1"/>
      <c r="D4344" s="1"/>
    </row>
    <row r="4345" spans="1:4" x14ac:dyDescent="0.25">
      <c r="A4345" s="1"/>
      <c r="B4345" s="1"/>
      <c r="C4345" s="1"/>
      <c r="D4345" s="1"/>
    </row>
    <row r="4346" spans="1:4" x14ac:dyDescent="0.25">
      <c r="A4346" s="1"/>
      <c r="B4346" s="1"/>
      <c r="C4346" s="1"/>
      <c r="D4346" s="1"/>
    </row>
    <row r="4347" spans="1:4" x14ac:dyDescent="0.25">
      <c r="A4347" s="1"/>
      <c r="B4347" s="1"/>
      <c r="C4347" s="1"/>
      <c r="D4347" s="1"/>
    </row>
    <row r="4348" spans="1:4" x14ac:dyDescent="0.25">
      <c r="A4348" s="1"/>
      <c r="B4348" s="1"/>
      <c r="C4348" s="1"/>
      <c r="D4348" s="1"/>
    </row>
    <row r="4349" spans="1:4" x14ac:dyDescent="0.25">
      <c r="A4349" s="1"/>
      <c r="B4349" s="1"/>
      <c r="C4349" s="1"/>
      <c r="D4349" s="1"/>
    </row>
    <row r="4350" spans="1:4" x14ac:dyDescent="0.25">
      <c r="A4350" s="1"/>
      <c r="B4350" s="1"/>
      <c r="C4350" s="1"/>
      <c r="D4350" s="1"/>
    </row>
    <row r="4351" spans="1:4" x14ac:dyDescent="0.25">
      <c r="A4351" s="1"/>
      <c r="B4351" s="1"/>
      <c r="C4351" s="1"/>
      <c r="D4351" s="1"/>
    </row>
    <row r="4352" spans="1:4" x14ac:dyDescent="0.25">
      <c r="A4352" s="1"/>
      <c r="B4352" s="1"/>
      <c r="C4352" s="1"/>
      <c r="D4352" s="1"/>
    </row>
    <row r="4353" spans="1:4" x14ac:dyDescent="0.25">
      <c r="A4353" s="1"/>
      <c r="B4353" s="1"/>
      <c r="C4353" s="1"/>
      <c r="D4353" s="1"/>
    </row>
    <row r="4354" spans="1:4" x14ac:dyDescent="0.25">
      <c r="A4354" s="1"/>
      <c r="B4354" s="1"/>
      <c r="C4354" s="1"/>
      <c r="D4354" s="1"/>
    </row>
    <row r="4355" spans="1:4" x14ac:dyDescent="0.25">
      <c r="A4355" s="1"/>
      <c r="B4355" s="1"/>
      <c r="C4355" s="1"/>
      <c r="D4355" s="1"/>
    </row>
    <row r="4356" spans="1:4" x14ac:dyDescent="0.25">
      <c r="A4356" s="1"/>
      <c r="B4356" s="1"/>
      <c r="C4356" s="1"/>
      <c r="D4356" s="1"/>
    </row>
    <row r="4357" spans="1:4" x14ac:dyDescent="0.25">
      <c r="A4357" s="1"/>
      <c r="B4357" s="1"/>
      <c r="C4357" s="1"/>
      <c r="D4357" s="1"/>
    </row>
    <row r="4358" spans="1:4" x14ac:dyDescent="0.25">
      <c r="A4358" s="1"/>
      <c r="B4358" s="1"/>
      <c r="C4358" s="1"/>
      <c r="D4358" s="1"/>
    </row>
    <row r="4359" spans="1:4" x14ac:dyDescent="0.25">
      <c r="A4359" s="1"/>
      <c r="B4359" s="1"/>
      <c r="C4359" s="1"/>
      <c r="D4359" s="1"/>
    </row>
    <row r="4360" spans="1:4" x14ac:dyDescent="0.25">
      <c r="A4360" s="1"/>
      <c r="B4360" s="1"/>
      <c r="C4360" s="1"/>
      <c r="D4360" s="1"/>
    </row>
    <row r="4361" spans="1:4" x14ac:dyDescent="0.25">
      <c r="A4361" s="1"/>
      <c r="B4361" s="1"/>
      <c r="C4361" s="1"/>
      <c r="D4361" s="1"/>
    </row>
    <row r="4362" spans="1:4" x14ac:dyDescent="0.25">
      <c r="A4362" s="1"/>
      <c r="B4362" s="1"/>
      <c r="C4362" s="1"/>
      <c r="D4362" s="1"/>
    </row>
    <row r="4363" spans="1:4" x14ac:dyDescent="0.25">
      <c r="A4363" s="1"/>
      <c r="B4363" s="1"/>
      <c r="C4363" s="1"/>
      <c r="D4363" s="1"/>
    </row>
    <row r="4364" spans="1:4" x14ac:dyDescent="0.25">
      <c r="A4364" s="1"/>
      <c r="B4364" s="1"/>
      <c r="C4364" s="1"/>
      <c r="D4364" s="1"/>
    </row>
    <row r="4365" spans="1:4" x14ac:dyDescent="0.25">
      <c r="A4365" s="1"/>
      <c r="B4365" s="1"/>
      <c r="C4365" s="1"/>
      <c r="D4365" s="1"/>
    </row>
    <row r="4366" spans="1:4" x14ac:dyDescent="0.25">
      <c r="A4366" s="1"/>
      <c r="B4366" s="1"/>
      <c r="C4366" s="1"/>
      <c r="D4366" s="1"/>
    </row>
    <row r="4367" spans="1:4" x14ac:dyDescent="0.25">
      <c r="A4367" s="1"/>
      <c r="B4367" s="1"/>
      <c r="C4367" s="1"/>
      <c r="D4367" s="1"/>
    </row>
    <row r="4368" spans="1:4" x14ac:dyDescent="0.25">
      <c r="A4368" s="1"/>
      <c r="B4368" s="1"/>
      <c r="C4368" s="1"/>
      <c r="D4368" s="1"/>
    </row>
    <row r="4369" spans="1:4" x14ac:dyDescent="0.25">
      <c r="A4369" s="1"/>
      <c r="B4369" s="1"/>
      <c r="C4369" s="1"/>
      <c r="D4369" s="1"/>
    </row>
    <row r="4370" spans="1:4" x14ac:dyDescent="0.25">
      <c r="A4370" s="1"/>
      <c r="B4370" s="1"/>
      <c r="C4370" s="1"/>
      <c r="D4370" s="1"/>
    </row>
    <row r="4371" spans="1:4" x14ac:dyDescent="0.25">
      <c r="A4371" s="1"/>
      <c r="B4371" s="1"/>
      <c r="C4371" s="1"/>
      <c r="D4371" s="1"/>
    </row>
    <row r="4372" spans="1:4" x14ac:dyDescent="0.25">
      <c r="A4372" s="1"/>
      <c r="B4372" s="1"/>
      <c r="C4372" s="1"/>
      <c r="D4372" s="1"/>
    </row>
    <row r="4373" spans="1:4" x14ac:dyDescent="0.25">
      <c r="A4373" s="1"/>
      <c r="B4373" s="1"/>
      <c r="C4373" s="1"/>
      <c r="D4373" s="1"/>
    </row>
    <row r="4374" spans="1:4" x14ac:dyDescent="0.25">
      <c r="A4374" s="1"/>
      <c r="B4374" s="1"/>
      <c r="C4374" s="1"/>
      <c r="D4374" s="1"/>
    </row>
    <row r="4375" spans="1:4" x14ac:dyDescent="0.25">
      <c r="A4375" s="1"/>
      <c r="B4375" s="1"/>
      <c r="C4375" s="1"/>
      <c r="D4375" s="1"/>
    </row>
    <row r="4376" spans="1:4" x14ac:dyDescent="0.25">
      <c r="A4376" s="1"/>
      <c r="B4376" s="1"/>
      <c r="C4376" s="1"/>
      <c r="D4376" s="1"/>
    </row>
    <row r="4377" spans="1:4" x14ac:dyDescent="0.25">
      <c r="A4377" s="1"/>
      <c r="B4377" s="1"/>
      <c r="C4377" s="1"/>
      <c r="D4377" s="1"/>
    </row>
    <row r="4378" spans="1:4" x14ac:dyDescent="0.25">
      <c r="A4378" s="1"/>
      <c r="B4378" s="1"/>
      <c r="C4378" s="1"/>
      <c r="D4378" s="1"/>
    </row>
    <row r="4379" spans="1:4" x14ac:dyDescent="0.25">
      <c r="A4379" s="1"/>
      <c r="B4379" s="1"/>
      <c r="C4379" s="1"/>
      <c r="D4379" s="1"/>
    </row>
    <row r="4380" spans="1:4" x14ac:dyDescent="0.25">
      <c r="A4380" s="1"/>
      <c r="B4380" s="1"/>
      <c r="C4380" s="1"/>
      <c r="D4380" s="1"/>
    </row>
    <row r="4381" spans="1:4" x14ac:dyDescent="0.25">
      <c r="A4381" s="1"/>
      <c r="B4381" s="1"/>
      <c r="C4381" s="1"/>
      <c r="D4381" s="1"/>
    </row>
    <row r="4382" spans="1:4" x14ac:dyDescent="0.25">
      <c r="A4382" s="1"/>
      <c r="B4382" s="1"/>
      <c r="C4382" s="1"/>
      <c r="D4382" s="1"/>
    </row>
    <row r="4383" spans="1:4" x14ac:dyDescent="0.25">
      <c r="A4383" s="1"/>
      <c r="B4383" s="1"/>
      <c r="C4383" s="1"/>
      <c r="D4383" s="1"/>
    </row>
    <row r="4384" spans="1:4" x14ac:dyDescent="0.25">
      <c r="A4384" s="1"/>
      <c r="B4384" s="1"/>
      <c r="C4384" s="1"/>
      <c r="D4384" s="1"/>
    </row>
    <row r="4385" spans="1:4" x14ac:dyDescent="0.25">
      <c r="A4385" s="1"/>
      <c r="B4385" s="1"/>
      <c r="C4385" s="1"/>
      <c r="D4385" s="1"/>
    </row>
    <row r="4386" spans="1:4" x14ac:dyDescent="0.25">
      <c r="A4386" s="1"/>
      <c r="B4386" s="1"/>
      <c r="C4386" s="1"/>
      <c r="D4386" s="1"/>
    </row>
    <row r="4387" spans="1:4" x14ac:dyDescent="0.25">
      <c r="A4387" s="1"/>
      <c r="B4387" s="1"/>
      <c r="C4387" s="1"/>
      <c r="D4387" s="1"/>
    </row>
    <row r="4388" spans="1:4" x14ac:dyDescent="0.25">
      <c r="A4388" s="1"/>
      <c r="B4388" s="1"/>
      <c r="C4388" s="1"/>
      <c r="D4388" s="1"/>
    </row>
    <row r="4389" spans="1:4" x14ac:dyDescent="0.25">
      <c r="A4389" s="1"/>
      <c r="B4389" s="1"/>
      <c r="C4389" s="1"/>
      <c r="D4389" s="1"/>
    </row>
    <row r="4390" spans="1:4" x14ac:dyDescent="0.25">
      <c r="A4390" s="1"/>
      <c r="B4390" s="1"/>
      <c r="C4390" s="1"/>
      <c r="D4390" s="1"/>
    </row>
    <row r="4391" spans="1:4" x14ac:dyDescent="0.25">
      <c r="A4391" s="1"/>
      <c r="B4391" s="1"/>
      <c r="C4391" s="1"/>
      <c r="D4391" s="1"/>
    </row>
    <row r="4392" spans="1:4" x14ac:dyDescent="0.25">
      <c r="A4392" s="1"/>
      <c r="B4392" s="1"/>
      <c r="C4392" s="1"/>
      <c r="D4392" s="1"/>
    </row>
    <row r="4393" spans="1:4" x14ac:dyDescent="0.25">
      <c r="A4393" s="1"/>
      <c r="B4393" s="1"/>
      <c r="C4393" s="1"/>
      <c r="D4393" s="1"/>
    </row>
    <row r="4394" spans="1:4" x14ac:dyDescent="0.25">
      <c r="A4394" s="1"/>
      <c r="B4394" s="1"/>
      <c r="C4394" s="1"/>
      <c r="D4394" s="1"/>
    </row>
    <row r="4395" spans="1:4" x14ac:dyDescent="0.25">
      <c r="A4395" s="1"/>
      <c r="B4395" s="1"/>
      <c r="C4395" s="1"/>
      <c r="D4395" s="1"/>
    </row>
    <row r="4396" spans="1:4" x14ac:dyDescent="0.25">
      <c r="A4396" s="1"/>
      <c r="B4396" s="1"/>
      <c r="C4396" s="1"/>
      <c r="D4396" s="1"/>
    </row>
    <row r="4397" spans="1:4" x14ac:dyDescent="0.25">
      <c r="A4397" s="1"/>
      <c r="B4397" s="1"/>
      <c r="C4397" s="1"/>
      <c r="D4397" s="1"/>
    </row>
    <row r="4398" spans="1:4" x14ac:dyDescent="0.25">
      <c r="A4398" s="1"/>
      <c r="B4398" s="1"/>
      <c r="C4398" s="1"/>
      <c r="D4398" s="1"/>
    </row>
    <row r="4399" spans="1:4" x14ac:dyDescent="0.25">
      <c r="A4399" s="1"/>
      <c r="B4399" s="1"/>
      <c r="C4399" s="1"/>
      <c r="D4399" s="1"/>
    </row>
    <row r="4400" spans="1:4" x14ac:dyDescent="0.25">
      <c r="A4400" s="1"/>
      <c r="B4400" s="1"/>
      <c r="C4400" s="1"/>
      <c r="D4400" s="1"/>
    </row>
    <row r="4401" spans="1:4" x14ac:dyDescent="0.25">
      <c r="A4401" s="1"/>
      <c r="B4401" s="1"/>
      <c r="C4401" s="1"/>
      <c r="D4401" s="1"/>
    </row>
    <row r="4402" spans="1:4" x14ac:dyDescent="0.25">
      <c r="A4402" s="1"/>
      <c r="B4402" s="1"/>
      <c r="C4402" s="1"/>
      <c r="D4402" s="1"/>
    </row>
    <row r="4403" spans="1:4" x14ac:dyDescent="0.25">
      <c r="A4403" s="1"/>
      <c r="B4403" s="1"/>
      <c r="C4403" s="1"/>
      <c r="D4403" s="1"/>
    </row>
    <row r="4404" spans="1:4" x14ac:dyDescent="0.25">
      <c r="A4404" s="1"/>
      <c r="B4404" s="1"/>
      <c r="C4404" s="1"/>
      <c r="D4404" s="1"/>
    </row>
    <row r="4405" spans="1:4" x14ac:dyDescent="0.25">
      <c r="A4405" s="1"/>
      <c r="B4405" s="1"/>
      <c r="C4405" s="1"/>
      <c r="D4405" s="1"/>
    </row>
    <row r="4406" spans="1:4" x14ac:dyDescent="0.25">
      <c r="A4406" s="1"/>
      <c r="B4406" s="1"/>
      <c r="C4406" s="1"/>
      <c r="D4406" s="1"/>
    </row>
    <row r="4407" spans="1:4" x14ac:dyDescent="0.25">
      <c r="A4407" s="1"/>
      <c r="B4407" s="1"/>
      <c r="C4407" s="1"/>
      <c r="D4407" s="1"/>
    </row>
    <row r="4408" spans="1:4" x14ac:dyDescent="0.25">
      <c r="A4408" s="1"/>
      <c r="B4408" s="1"/>
      <c r="C4408" s="1"/>
      <c r="D4408" s="1"/>
    </row>
    <row r="4409" spans="1:4" x14ac:dyDescent="0.25">
      <c r="A4409" s="1"/>
      <c r="B4409" s="1"/>
      <c r="C4409" s="1"/>
      <c r="D4409" s="1"/>
    </row>
    <row r="4410" spans="1:4" x14ac:dyDescent="0.25">
      <c r="A4410" s="1"/>
      <c r="B4410" s="1"/>
      <c r="C4410" s="1"/>
      <c r="D4410" s="1"/>
    </row>
    <row r="4411" spans="1:4" x14ac:dyDescent="0.25">
      <c r="A4411" s="1"/>
      <c r="B4411" s="1"/>
      <c r="C4411" s="1"/>
      <c r="D4411" s="1"/>
    </row>
    <row r="4412" spans="1:4" x14ac:dyDescent="0.25">
      <c r="A4412" s="1"/>
      <c r="B4412" s="1"/>
      <c r="C4412" s="1"/>
      <c r="D4412" s="1"/>
    </row>
    <row r="4413" spans="1:4" x14ac:dyDescent="0.25">
      <c r="A4413" s="1"/>
      <c r="B4413" s="1"/>
      <c r="C4413" s="1"/>
      <c r="D4413" s="1"/>
    </row>
    <row r="4414" spans="1:4" x14ac:dyDescent="0.25">
      <c r="A4414" s="1"/>
      <c r="B4414" s="1"/>
      <c r="C4414" s="1"/>
      <c r="D4414" s="1"/>
    </row>
    <row r="4415" spans="1:4" x14ac:dyDescent="0.25">
      <c r="A4415" s="1"/>
      <c r="B4415" s="1"/>
      <c r="C4415" s="1"/>
      <c r="D4415" s="1"/>
    </row>
    <row r="4416" spans="1:4" x14ac:dyDescent="0.25">
      <c r="A4416" s="1"/>
      <c r="B4416" s="1"/>
      <c r="C4416" s="1"/>
      <c r="D4416" s="1"/>
    </row>
    <row r="4417" spans="1:4" x14ac:dyDescent="0.25">
      <c r="A4417" s="1"/>
      <c r="B4417" s="1"/>
      <c r="C4417" s="1"/>
      <c r="D4417" s="1"/>
    </row>
    <row r="4418" spans="1:4" x14ac:dyDescent="0.25">
      <c r="A4418" s="1"/>
      <c r="B4418" s="1"/>
      <c r="C4418" s="1"/>
      <c r="D4418" s="1"/>
    </row>
    <row r="4419" spans="1:4" x14ac:dyDescent="0.25">
      <c r="A4419" s="1"/>
      <c r="B4419" s="1"/>
      <c r="C4419" s="1"/>
      <c r="D4419" s="1"/>
    </row>
    <row r="4420" spans="1:4" x14ac:dyDescent="0.25">
      <c r="A4420" s="1"/>
      <c r="B4420" s="1"/>
      <c r="C4420" s="1"/>
      <c r="D4420" s="1"/>
    </row>
    <row r="4421" spans="1:4" x14ac:dyDescent="0.25">
      <c r="A4421" s="1"/>
      <c r="B4421" s="1"/>
      <c r="C4421" s="1"/>
      <c r="D4421" s="1"/>
    </row>
    <row r="4422" spans="1:4" x14ac:dyDescent="0.25">
      <c r="A4422" s="1"/>
      <c r="B4422" s="1"/>
      <c r="C4422" s="1"/>
      <c r="D4422" s="1"/>
    </row>
    <row r="4423" spans="1:4" x14ac:dyDescent="0.25">
      <c r="A4423" s="1"/>
      <c r="B4423" s="1"/>
      <c r="C4423" s="1"/>
      <c r="D4423" s="1"/>
    </row>
    <row r="4424" spans="1:4" x14ac:dyDescent="0.25">
      <c r="A4424" s="1"/>
      <c r="B4424" s="1"/>
      <c r="C4424" s="1"/>
      <c r="D4424" s="1"/>
    </row>
    <row r="4425" spans="1:4" x14ac:dyDescent="0.25">
      <c r="A4425" s="1"/>
      <c r="B4425" s="1"/>
      <c r="C4425" s="1"/>
      <c r="D4425" s="1"/>
    </row>
    <row r="4426" spans="1:4" x14ac:dyDescent="0.25">
      <c r="A4426" s="1"/>
      <c r="B4426" s="1"/>
      <c r="C4426" s="1"/>
      <c r="D4426" s="1"/>
    </row>
    <row r="4427" spans="1:4" x14ac:dyDescent="0.25">
      <c r="A4427" s="1"/>
      <c r="B4427" s="1"/>
      <c r="C4427" s="1"/>
      <c r="D4427" s="1"/>
    </row>
    <row r="4428" spans="1:4" x14ac:dyDescent="0.25">
      <c r="A4428" s="1"/>
      <c r="B4428" s="1"/>
      <c r="C4428" s="1"/>
      <c r="D4428" s="1"/>
    </row>
    <row r="4429" spans="1:4" x14ac:dyDescent="0.25">
      <c r="A4429" s="1"/>
      <c r="B4429" s="1"/>
      <c r="C4429" s="1"/>
      <c r="D4429" s="1"/>
    </row>
    <row r="4430" spans="1:4" x14ac:dyDescent="0.25">
      <c r="A4430" s="1"/>
      <c r="B4430" s="1"/>
      <c r="C4430" s="1"/>
      <c r="D4430" s="1"/>
    </row>
    <row r="4431" spans="1:4" x14ac:dyDescent="0.25">
      <c r="A4431" s="1"/>
      <c r="B4431" s="1"/>
      <c r="C4431" s="1"/>
      <c r="D4431" s="1"/>
    </row>
    <row r="4432" spans="1:4" x14ac:dyDescent="0.25">
      <c r="A4432" s="1"/>
      <c r="B4432" s="1"/>
      <c r="C4432" s="1"/>
      <c r="D4432" s="1"/>
    </row>
    <row r="4433" spans="1:4" x14ac:dyDescent="0.25">
      <c r="A4433" s="1"/>
      <c r="B4433" s="1"/>
      <c r="C4433" s="1"/>
      <c r="D4433" s="1"/>
    </row>
    <row r="4434" spans="1:4" x14ac:dyDescent="0.25">
      <c r="A4434" s="1"/>
      <c r="B4434" s="1"/>
      <c r="C4434" s="1"/>
      <c r="D4434" s="1"/>
    </row>
    <row r="4435" spans="1:4" x14ac:dyDescent="0.25">
      <c r="A4435" s="1"/>
      <c r="B4435" s="1"/>
      <c r="C4435" s="1"/>
      <c r="D4435" s="1"/>
    </row>
    <row r="4436" spans="1:4" x14ac:dyDescent="0.25">
      <c r="A4436" s="1"/>
      <c r="B4436" s="1"/>
      <c r="C4436" s="1"/>
      <c r="D4436" s="1"/>
    </row>
    <row r="4437" spans="1:4" x14ac:dyDescent="0.25">
      <c r="A4437" s="1"/>
      <c r="B4437" s="1"/>
      <c r="C4437" s="1"/>
      <c r="D4437" s="1"/>
    </row>
    <row r="4438" spans="1:4" x14ac:dyDescent="0.25">
      <c r="A4438" s="1"/>
      <c r="B4438" s="1"/>
      <c r="C4438" s="1"/>
      <c r="D4438" s="1"/>
    </row>
    <row r="4439" spans="1:4" x14ac:dyDescent="0.25">
      <c r="A4439" s="1"/>
      <c r="B4439" s="1"/>
      <c r="C4439" s="1"/>
      <c r="D4439" s="1"/>
    </row>
    <row r="4440" spans="1:4" x14ac:dyDescent="0.25">
      <c r="A4440" s="1"/>
      <c r="B4440" s="1"/>
      <c r="C4440" s="1"/>
      <c r="D4440" s="1"/>
    </row>
    <row r="4441" spans="1:4" x14ac:dyDescent="0.25">
      <c r="A4441" s="1"/>
      <c r="B4441" s="1"/>
      <c r="C4441" s="1"/>
      <c r="D4441" s="1"/>
    </row>
    <row r="4442" spans="1:4" x14ac:dyDescent="0.25">
      <c r="A4442" s="1"/>
      <c r="B4442" s="1"/>
      <c r="C4442" s="1"/>
      <c r="D4442" s="1"/>
    </row>
    <row r="4443" spans="1:4" x14ac:dyDescent="0.25">
      <c r="A4443" s="1"/>
      <c r="B4443" s="1"/>
      <c r="C4443" s="1"/>
      <c r="D4443" s="1"/>
    </row>
    <row r="4444" spans="1:4" x14ac:dyDescent="0.25">
      <c r="A4444" s="1"/>
      <c r="B4444" s="1"/>
      <c r="C4444" s="1"/>
      <c r="D4444" s="1"/>
    </row>
    <row r="4445" spans="1:4" x14ac:dyDescent="0.25">
      <c r="A4445" s="1"/>
      <c r="B4445" s="1"/>
      <c r="C4445" s="1"/>
      <c r="D4445" s="1"/>
    </row>
    <row r="4446" spans="1:4" x14ac:dyDescent="0.25">
      <c r="A4446" s="1"/>
      <c r="B4446" s="1"/>
      <c r="C4446" s="1"/>
      <c r="D4446" s="1"/>
    </row>
    <row r="4447" spans="1:4" x14ac:dyDescent="0.25">
      <c r="A4447" s="1"/>
      <c r="B4447" s="1"/>
      <c r="C4447" s="1"/>
      <c r="D4447" s="1"/>
    </row>
    <row r="4448" spans="1:4" x14ac:dyDescent="0.25">
      <c r="A4448" s="1"/>
      <c r="B4448" s="1"/>
      <c r="C4448" s="1"/>
      <c r="D4448" s="1"/>
    </row>
    <row r="4449" spans="1:4" x14ac:dyDescent="0.25">
      <c r="A4449" s="1"/>
      <c r="B4449" s="1"/>
      <c r="C4449" s="1"/>
      <c r="D4449" s="1"/>
    </row>
    <row r="4450" spans="1:4" x14ac:dyDescent="0.25">
      <c r="A4450" s="1"/>
      <c r="B4450" s="1"/>
      <c r="C4450" s="1"/>
      <c r="D4450" s="1"/>
    </row>
    <row r="4451" spans="1:4" x14ac:dyDescent="0.25">
      <c r="A4451" s="1"/>
      <c r="B4451" s="1"/>
      <c r="C4451" s="1"/>
      <c r="D4451" s="1"/>
    </row>
    <row r="4452" spans="1:4" x14ac:dyDescent="0.25">
      <c r="A4452" s="1"/>
      <c r="B4452" s="1"/>
      <c r="C4452" s="1"/>
      <c r="D4452" s="1"/>
    </row>
    <row r="4453" spans="1:4" x14ac:dyDescent="0.25">
      <c r="A4453" s="1"/>
      <c r="B4453" s="1"/>
      <c r="C4453" s="1"/>
      <c r="D4453" s="1"/>
    </row>
    <row r="4454" spans="1:4" x14ac:dyDescent="0.25">
      <c r="A4454" s="1"/>
      <c r="B4454" s="1"/>
      <c r="C4454" s="1"/>
      <c r="D4454" s="1"/>
    </row>
    <row r="4455" spans="1:4" x14ac:dyDescent="0.25">
      <c r="A4455" s="1"/>
      <c r="B4455" s="1"/>
      <c r="C4455" s="1"/>
      <c r="D4455" s="1"/>
    </row>
    <row r="4456" spans="1:4" x14ac:dyDescent="0.25">
      <c r="A4456" s="1"/>
      <c r="B4456" s="1"/>
      <c r="C4456" s="1"/>
      <c r="D4456" s="1"/>
    </row>
    <row r="4457" spans="1:4" x14ac:dyDescent="0.25">
      <c r="A4457" s="1"/>
      <c r="B4457" s="1"/>
      <c r="C4457" s="1"/>
      <c r="D4457" s="1"/>
    </row>
    <row r="4458" spans="1:4" x14ac:dyDescent="0.25">
      <c r="A4458" s="1"/>
      <c r="B4458" s="1"/>
      <c r="C4458" s="1"/>
      <c r="D4458" s="1"/>
    </row>
    <row r="4459" spans="1:4" x14ac:dyDescent="0.25">
      <c r="A4459" s="1"/>
      <c r="B4459" s="1"/>
      <c r="C4459" s="1"/>
      <c r="D4459" s="1"/>
    </row>
    <row r="4460" spans="1:4" x14ac:dyDescent="0.25">
      <c r="A4460" s="1"/>
      <c r="B4460" s="1"/>
      <c r="C4460" s="1"/>
      <c r="D4460" s="1"/>
    </row>
    <row r="4461" spans="1:4" x14ac:dyDescent="0.25">
      <c r="A4461" s="1"/>
      <c r="B4461" s="1"/>
      <c r="C4461" s="1"/>
      <c r="D4461" s="1"/>
    </row>
    <row r="4462" spans="1:4" x14ac:dyDescent="0.25">
      <c r="A4462" s="1"/>
      <c r="B4462" s="1"/>
      <c r="C4462" s="1"/>
      <c r="D4462" s="1"/>
    </row>
    <row r="4463" spans="1:4" x14ac:dyDescent="0.25">
      <c r="A4463" s="1"/>
      <c r="B4463" s="1"/>
      <c r="C4463" s="1"/>
      <c r="D4463" s="1"/>
    </row>
    <row r="4464" spans="1:4" x14ac:dyDescent="0.25">
      <c r="A4464" s="1"/>
      <c r="B4464" s="1"/>
      <c r="C4464" s="1"/>
      <c r="D4464" s="1"/>
    </row>
    <row r="4465" spans="1:4" x14ac:dyDescent="0.25">
      <c r="A4465" s="1"/>
      <c r="B4465" s="1"/>
      <c r="C4465" s="1"/>
      <c r="D4465" s="1"/>
    </row>
    <row r="4466" spans="1:4" x14ac:dyDescent="0.25">
      <c r="A4466" s="1"/>
      <c r="B4466" s="1"/>
      <c r="C4466" s="1"/>
      <c r="D4466" s="1"/>
    </row>
    <row r="4467" spans="1:4" x14ac:dyDescent="0.25">
      <c r="A4467" s="1"/>
      <c r="B4467" s="1"/>
      <c r="C4467" s="1"/>
      <c r="D4467" s="1"/>
    </row>
    <row r="4468" spans="1:4" x14ac:dyDescent="0.25">
      <c r="A4468" s="1"/>
      <c r="B4468" s="1"/>
      <c r="C4468" s="1"/>
      <c r="D4468" s="1"/>
    </row>
    <row r="4469" spans="1:4" x14ac:dyDescent="0.25">
      <c r="A4469" s="1"/>
      <c r="B4469" s="1"/>
      <c r="C4469" s="1"/>
      <c r="D4469" s="1"/>
    </row>
    <row r="4470" spans="1:4" x14ac:dyDescent="0.25">
      <c r="A4470" s="1"/>
      <c r="B4470" s="1"/>
      <c r="C4470" s="1"/>
      <c r="D4470" s="1"/>
    </row>
    <row r="4471" spans="1:4" x14ac:dyDescent="0.25">
      <c r="A4471" s="1"/>
      <c r="B4471" s="1"/>
      <c r="C4471" s="1"/>
      <c r="D4471" s="1"/>
    </row>
    <row r="4472" spans="1:4" x14ac:dyDescent="0.25">
      <c r="A4472" s="1"/>
      <c r="B4472" s="1"/>
      <c r="C4472" s="1"/>
      <c r="D4472" s="1"/>
    </row>
    <row r="4473" spans="1:4" x14ac:dyDescent="0.25">
      <c r="A4473" s="1"/>
      <c r="B4473" s="1"/>
      <c r="C4473" s="1"/>
      <c r="D4473" s="1"/>
    </row>
    <row r="4474" spans="1:4" x14ac:dyDescent="0.25">
      <c r="A4474" s="1"/>
      <c r="B4474" s="1"/>
      <c r="C4474" s="1"/>
      <c r="D4474" s="1"/>
    </row>
    <row r="4475" spans="1:4" x14ac:dyDescent="0.25">
      <c r="A4475" s="1"/>
      <c r="B4475" s="1"/>
      <c r="C4475" s="1"/>
      <c r="D4475" s="1"/>
    </row>
    <row r="4476" spans="1:4" x14ac:dyDescent="0.25">
      <c r="A4476" s="1"/>
      <c r="B4476" s="1"/>
      <c r="C4476" s="1"/>
      <c r="D4476" s="1"/>
    </row>
    <row r="4477" spans="1:4" x14ac:dyDescent="0.25">
      <c r="A4477" s="1"/>
      <c r="B4477" s="1"/>
      <c r="C4477" s="1"/>
      <c r="D4477" s="1"/>
    </row>
    <row r="4478" spans="1:4" x14ac:dyDescent="0.25">
      <c r="A4478" s="1"/>
      <c r="B4478" s="1"/>
      <c r="C4478" s="1"/>
      <c r="D4478" s="1"/>
    </row>
    <row r="4479" spans="1:4" x14ac:dyDescent="0.25">
      <c r="A4479" s="1"/>
      <c r="B4479" s="1"/>
      <c r="C4479" s="1"/>
      <c r="D4479" s="1"/>
    </row>
    <row r="4480" spans="1:4" x14ac:dyDescent="0.25">
      <c r="A4480" s="1"/>
      <c r="B4480" s="1"/>
      <c r="C4480" s="1"/>
      <c r="D4480" s="1"/>
    </row>
    <row r="4481" spans="1:4" x14ac:dyDescent="0.25">
      <c r="A4481" s="1"/>
      <c r="B4481" s="1"/>
      <c r="C4481" s="1"/>
      <c r="D4481" s="1"/>
    </row>
    <row r="4482" spans="1:4" x14ac:dyDescent="0.25">
      <c r="A4482" s="1"/>
      <c r="B4482" s="1"/>
      <c r="C4482" s="1"/>
      <c r="D4482" s="1"/>
    </row>
    <row r="4483" spans="1:4" x14ac:dyDescent="0.25">
      <c r="A4483" s="1"/>
      <c r="B4483" s="1"/>
      <c r="C4483" s="1"/>
      <c r="D4483" s="1"/>
    </row>
    <row r="4484" spans="1:4" x14ac:dyDescent="0.25">
      <c r="A4484" s="1"/>
      <c r="B4484" s="1"/>
      <c r="C4484" s="1"/>
      <c r="D4484" s="1"/>
    </row>
    <row r="4485" spans="1:4" x14ac:dyDescent="0.25">
      <c r="A4485" s="1"/>
      <c r="B4485" s="1"/>
      <c r="C4485" s="1"/>
      <c r="D4485" s="1"/>
    </row>
    <row r="4486" spans="1:4" x14ac:dyDescent="0.25">
      <c r="A4486" s="1"/>
      <c r="B4486" s="1"/>
      <c r="C4486" s="1"/>
      <c r="D4486" s="1"/>
    </row>
    <row r="4487" spans="1:4" x14ac:dyDescent="0.25">
      <c r="A4487" s="1"/>
      <c r="B4487" s="1"/>
      <c r="C4487" s="1"/>
      <c r="D4487" s="1"/>
    </row>
    <row r="4488" spans="1:4" x14ac:dyDescent="0.25">
      <c r="A4488" s="1"/>
      <c r="B4488" s="1"/>
      <c r="C4488" s="1"/>
      <c r="D4488" s="1"/>
    </row>
    <row r="4489" spans="1:4" x14ac:dyDescent="0.25">
      <c r="A4489" s="1"/>
      <c r="B4489" s="1"/>
      <c r="C4489" s="1"/>
      <c r="D4489" s="1"/>
    </row>
    <row r="4490" spans="1:4" x14ac:dyDescent="0.25">
      <c r="A4490" s="1"/>
      <c r="B4490" s="1"/>
      <c r="C4490" s="1"/>
      <c r="D4490" s="1"/>
    </row>
    <row r="4491" spans="1:4" x14ac:dyDescent="0.25">
      <c r="A4491" s="1"/>
      <c r="B4491" s="1"/>
      <c r="C4491" s="1"/>
      <c r="D4491" s="1"/>
    </row>
    <row r="4492" spans="1:4" x14ac:dyDescent="0.25">
      <c r="A4492" s="1"/>
      <c r="B4492" s="1"/>
      <c r="C4492" s="1"/>
      <c r="D4492" s="1"/>
    </row>
    <row r="4493" spans="1:4" x14ac:dyDescent="0.25">
      <c r="A4493" s="1"/>
      <c r="B4493" s="1"/>
      <c r="C4493" s="1"/>
      <c r="D4493" s="1"/>
    </row>
    <row r="4494" spans="1:4" x14ac:dyDescent="0.25">
      <c r="A4494" s="1"/>
      <c r="B4494" s="1"/>
      <c r="C4494" s="1"/>
      <c r="D4494" s="1"/>
    </row>
    <row r="4495" spans="1:4" x14ac:dyDescent="0.25">
      <c r="A4495" s="1"/>
      <c r="B4495" s="1"/>
      <c r="C4495" s="1"/>
      <c r="D4495" s="1"/>
    </row>
    <row r="4496" spans="1:4" x14ac:dyDescent="0.25">
      <c r="A4496" s="1"/>
      <c r="B4496" s="1"/>
      <c r="C4496" s="1"/>
      <c r="D4496" s="1"/>
    </row>
    <row r="4497" spans="1:4" x14ac:dyDescent="0.25">
      <c r="A4497" s="1"/>
      <c r="B4497" s="1"/>
      <c r="C4497" s="1"/>
      <c r="D4497" s="1"/>
    </row>
    <row r="4498" spans="1:4" x14ac:dyDescent="0.25">
      <c r="A4498" s="1"/>
      <c r="B4498" s="1"/>
      <c r="C4498" s="1"/>
      <c r="D4498" s="1"/>
    </row>
    <row r="4499" spans="1:4" x14ac:dyDescent="0.25">
      <c r="A4499" s="1"/>
      <c r="B4499" s="1"/>
      <c r="C4499" s="1"/>
      <c r="D4499" s="1"/>
    </row>
    <row r="4500" spans="1:4" x14ac:dyDescent="0.25">
      <c r="A4500" s="1"/>
      <c r="B4500" s="1"/>
      <c r="C4500" s="1"/>
      <c r="D4500" s="1"/>
    </row>
    <row r="4501" spans="1:4" x14ac:dyDescent="0.25">
      <c r="A4501" s="1"/>
      <c r="B4501" s="1"/>
      <c r="C4501" s="1"/>
      <c r="D4501" s="1"/>
    </row>
    <row r="4502" spans="1:4" x14ac:dyDescent="0.25">
      <c r="A4502" s="1"/>
      <c r="B4502" s="1"/>
      <c r="C4502" s="1"/>
      <c r="D4502" s="1"/>
    </row>
    <row r="4503" spans="1:4" x14ac:dyDescent="0.25">
      <c r="A4503" s="1"/>
      <c r="B4503" s="1"/>
      <c r="C4503" s="1"/>
      <c r="D4503" s="1"/>
    </row>
    <row r="4504" spans="1:4" x14ac:dyDescent="0.25">
      <c r="A4504" s="1"/>
      <c r="B4504" s="1"/>
      <c r="C4504" s="1"/>
      <c r="D4504" s="1"/>
    </row>
    <row r="4505" spans="1:4" x14ac:dyDescent="0.25">
      <c r="A4505" s="1"/>
      <c r="B4505" s="1"/>
      <c r="C4505" s="1"/>
      <c r="D4505" s="1"/>
    </row>
    <row r="4506" spans="1:4" x14ac:dyDescent="0.25">
      <c r="A4506" s="1"/>
      <c r="B4506" s="1"/>
      <c r="C4506" s="1"/>
      <c r="D4506" s="1"/>
    </row>
    <row r="4507" spans="1:4" x14ac:dyDescent="0.25">
      <c r="A4507" s="1"/>
      <c r="B4507" s="1"/>
      <c r="C4507" s="1"/>
      <c r="D4507" s="1"/>
    </row>
    <row r="4508" spans="1:4" x14ac:dyDescent="0.25">
      <c r="A4508" s="1"/>
      <c r="B4508" s="1"/>
      <c r="C4508" s="1"/>
      <c r="D4508" s="1"/>
    </row>
    <row r="4509" spans="1:4" x14ac:dyDescent="0.25">
      <c r="A4509" s="1"/>
      <c r="B4509" s="1"/>
      <c r="C4509" s="1"/>
      <c r="D4509" s="1"/>
    </row>
    <row r="4510" spans="1:4" x14ac:dyDescent="0.25">
      <c r="A4510" s="1"/>
      <c r="B4510" s="1"/>
      <c r="C4510" s="1"/>
      <c r="D4510" s="1"/>
    </row>
    <row r="4511" spans="1:4" x14ac:dyDescent="0.25">
      <c r="A4511" s="1"/>
      <c r="B4511" s="1"/>
      <c r="C4511" s="1"/>
      <c r="D4511" s="1"/>
    </row>
    <row r="4512" spans="1:4" x14ac:dyDescent="0.25">
      <c r="A4512" s="1"/>
      <c r="B4512" s="1"/>
      <c r="C4512" s="1"/>
      <c r="D4512" s="1"/>
    </row>
    <row r="4513" spans="1:4" x14ac:dyDescent="0.25">
      <c r="A4513" s="1"/>
      <c r="B4513" s="1"/>
      <c r="C4513" s="1"/>
      <c r="D4513" s="1"/>
    </row>
    <row r="4514" spans="1:4" x14ac:dyDescent="0.25">
      <c r="A4514" s="1"/>
      <c r="B4514" s="1"/>
      <c r="C4514" s="1"/>
      <c r="D4514" s="1"/>
    </row>
    <row r="4515" spans="1:4" x14ac:dyDescent="0.25">
      <c r="A4515" s="1"/>
      <c r="B4515" s="1"/>
      <c r="C4515" s="1"/>
      <c r="D4515" s="1"/>
    </row>
    <row r="4516" spans="1:4" x14ac:dyDescent="0.25">
      <c r="A4516" s="1"/>
      <c r="B4516" s="1"/>
      <c r="C4516" s="1"/>
      <c r="D4516" s="1"/>
    </row>
    <row r="4517" spans="1:4" x14ac:dyDescent="0.25">
      <c r="A4517" s="1"/>
      <c r="B4517" s="1"/>
      <c r="C4517" s="1"/>
      <c r="D4517" s="1"/>
    </row>
    <row r="4518" spans="1:4" x14ac:dyDescent="0.25">
      <c r="A4518" s="1"/>
      <c r="B4518" s="1"/>
      <c r="C4518" s="1"/>
      <c r="D4518" s="1"/>
    </row>
    <row r="4519" spans="1:4" x14ac:dyDescent="0.25">
      <c r="A4519" s="1"/>
      <c r="B4519" s="1"/>
      <c r="C4519" s="1"/>
      <c r="D4519" s="1"/>
    </row>
    <row r="4520" spans="1:4" x14ac:dyDescent="0.25">
      <c r="A4520" s="1"/>
      <c r="B4520" s="1"/>
      <c r="C4520" s="1"/>
      <c r="D4520" s="1"/>
    </row>
    <row r="4521" spans="1:4" x14ac:dyDescent="0.25">
      <c r="A4521" s="1"/>
      <c r="B4521" s="1"/>
      <c r="C4521" s="1"/>
      <c r="D4521" s="1"/>
    </row>
    <row r="4522" spans="1:4" x14ac:dyDescent="0.25">
      <c r="A4522" s="1"/>
      <c r="B4522" s="1"/>
      <c r="C4522" s="1"/>
      <c r="D4522" s="1"/>
    </row>
    <row r="4523" spans="1:4" x14ac:dyDescent="0.25">
      <c r="A4523" s="1"/>
      <c r="B4523" s="1"/>
      <c r="C4523" s="1"/>
      <c r="D4523" s="1"/>
    </row>
    <row r="4524" spans="1:4" x14ac:dyDescent="0.25">
      <c r="A4524" s="1"/>
      <c r="B4524" s="1"/>
      <c r="C4524" s="1"/>
      <c r="D4524" s="1"/>
    </row>
    <row r="4525" spans="1:4" x14ac:dyDescent="0.25">
      <c r="A4525" s="1"/>
      <c r="B4525" s="1"/>
      <c r="C4525" s="1"/>
      <c r="D4525" s="1"/>
    </row>
    <row r="4526" spans="1:4" x14ac:dyDescent="0.25">
      <c r="A4526" s="1"/>
      <c r="B4526" s="1"/>
      <c r="C4526" s="1"/>
      <c r="D4526" s="1"/>
    </row>
    <row r="4527" spans="1:4" x14ac:dyDescent="0.25">
      <c r="A4527" s="1"/>
      <c r="B4527" s="1"/>
      <c r="C4527" s="1"/>
      <c r="D4527" s="1"/>
    </row>
    <row r="4528" spans="1:4" x14ac:dyDescent="0.25">
      <c r="A4528" s="1"/>
      <c r="B4528" s="1"/>
      <c r="C4528" s="1"/>
      <c r="D4528" s="1"/>
    </row>
    <row r="4529" spans="1:4" x14ac:dyDescent="0.25">
      <c r="A4529" s="1"/>
      <c r="B4529" s="1"/>
      <c r="C4529" s="1"/>
      <c r="D4529" s="1"/>
    </row>
    <row r="4530" spans="1:4" x14ac:dyDescent="0.25">
      <c r="A4530" s="1"/>
      <c r="B4530" s="1"/>
      <c r="C4530" s="1"/>
      <c r="D4530" s="1"/>
    </row>
    <row r="4531" spans="1:4" x14ac:dyDescent="0.25">
      <c r="A4531" s="1"/>
      <c r="B4531" s="1"/>
      <c r="C4531" s="1"/>
      <c r="D4531" s="1"/>
    </row>
    <row r="4532" spans="1:4" x14ac:dyDescent="0.25">
      <c r="A4532" s="1"/>
      <c r="B4532" s="1"/>
      <c r="C4532" s="1"/>
      <c r="D4532" s="1"/>
    </row>
    <row r="4533" spans="1:4" x14ac:dyDescent="0.25">
      <c r="A4533" s="1"/>
      <c r="B4533" s="1"/>
      <c r="C4533" s="1"/>
      <c r="D4533" s="1"/>
    </row>
    <row r="4534" spans="1:4" x14ac:dyDescent="0.25">
      <c r="A4534" s="1"/>
      <c r="B4534" s="1"/>
      <c r="C4534" s="1"/>
      <c r="D4534" s="1"/>
    </row>
    <row r="4535" spans="1:4" x14ac:dyDescent="0.25">
      <c r="A4535" s="1"/>
      <c r="B4535" s="1"/>
      <c r="C4535" s="1"/>
      <c r="D4535" s="1"/>
    </row>
    <row r="4536" spans="1:4" x14ac:dyDescent="0.25">
      <c r="A4536" s="1"/>
      <c r="B4536" s="1"/>
      <c r="C4536" s="1"/>
      <c r="D4536" s="1"/>
    </row>
    <row r="4537" spans="1:4" x14ac:dyDescent="0.25">
      <c r="A4537" s="1"/>
      <c r="B4537" s="1"/>
      <c r="C4537" s="1"/>
      <c r="D4537" s="1"/>
    </row>
    <row r="4538" spans="1:4" x14ac:dyDescent="0.25">
      <c r="A4538" s="1"/>
      <c r="B4538" s="1"/>
      <c r="C4538" s="1"/>
      <c r="D4538" s="1"/>
    </row>
    <row r="4539" spans="1:4" x14ac:dyDescent="0.25">
      <c r="A4539" s="1"/>
      <c r="B4539" s="1"/>
      <c r="C4539" s="1"/>
      <c r="D4539" s="1"/>
    </row>
    <row r="4540" spans="1:4" x14ac:dyDescent="0.25">
      <c r="A4540" s="1"/>
      <c r="B4540" s="1"/>
      <c r="C4540" s="1"/>
      <c r="D4540" s="1"/>
    </row>
    <row r="4541" spans="1:4" x14ac:dyDescent="0.25">
      <c r="A4541" s="1"/>
      <c r="B4541" s="1"/>
      <c r="C4541" s="1"/>
      <c r="D4541" s="1"/>
    </row>
    <row r="4542" spans="1:4" x14ac:dyDescent="0.25">
      <c r="A4542" s="1"/>
      <c r="B4542" s="1"/>
      <c r="C4542" s="1"/>
      <c r="D4542" s="1"/>
    </row>
    <row r="4543" spans="1:4" x14ac:dyDescent="0.25">
      <c r="A4543" s="1"/>
      <c r="B4543" s="1"/>
      <c r="C4543" s="1"/>
      <c r="D4543" s="1"/>
    </row>
    <row r="4544" spans="1:4" x14ac:dyDescent="0.25">
      <c r="A4544" s="1"/>
      <c r="B4544" s="1"/>
      <c r="C4544" s="1"/>
      <c r="D4544" s="1"/>
    </row>
    <row r="4545" spans="1:4" x14ac:dyDescent="0.25">
      <c r="A4545" s="1"/>
      <c r="B4545" s="1"/>
      <c r="C4545" s="1"/>
      <c r="D4545" s="1"/>
    </row>
    <row r="4546" spans="1:4" x14ac:dyDescent="0.25">
      <c r="A4546" s="1"/>
      <c r="B4546" s="1"/>
      <c r="C4546" s="1"/>
      <c r="D4546" s="1"/>
    </row>
    <row r="4547" spans="1:4" x14ac:dyDescent="0.25">
      <c r="A4547" s="1"/>
      <c r="B4547" s="1"/>
      <c r="C4547" s="1"/>
      <c r="D4547" s="1"/>
    </row>
    <row r="4548" spans="1:4" x14ac:dyDescent="0.25">
      <c r="A4548" s="1"/>
      <c r="B4548" s="1"/>
      <c r="C4548" s="1"/>
      <c r="D4548" s="1"/>
    </row>
    <row r="4549" spans="1:4" x14ac:dyDescent="0.25">
      <c r="A4549" s="1"/>
      <c r="B4549" s="1"/>
      <c r="C4549" s="1"/>
      <c r="D4549" s="1"/>
    </row>
    <row r="4550" spans="1:4" x14ac:dyDescent="0.25">
      <c r="A4550" s="1"/>
      <c r="B4550" s="1"/>
      <c r="C4550" s="1"/>
      <c r="D4550" s="1"/>
    </row>
    <row r="4551" spans="1:4" x14ac:dyDescent="0.25">
      <c r="A4551" s="1"/>
      <c r="B4551" s="1"/>
      <c r="C4551" s="1"/>
      <c r="D4551" s="1"/>
    </row>
    <row r="4552" spans="1:4" x14ac:dyDescent="0.25">
      <c r="A4552" s="1"/>
      <c r="B4552" s="1"/>
      <c r="C4552" s="1"/>
      <c r="D4552" s="1"/>
    </row>
    <row r="4553" spans="1:4" x14ac:dyDescent="0.25">
      <c r="A4553" s="1"/>
      <c r="B4553" s="1"/>
      <c r="C4553" s="1"/>
      <c r="D4553" s="1"/>
    </row>
    <row r="4554" spans="1:4" x14ac:dyDescent="0.25">
      <c r="A4554" s="1"/>
      <c r="B4554" s="1"/>
      <c r="C4554" s="1"/>
      <c r="D4554" s="1"/>
    </row>
    <row r="4555" spans="1:4" x14ac:dyDescent="0.25">
      <c r="A4555" s="1"/>
      <c r="B4555" s="1"/>
      <c r="C4555" s="1"/>
      <c r="D4555" s="1"/>
    </row>
    <row r="4556" spans="1:4" x14ac:dyDescent="0.25">
      <c r="A4556" s="1"/>
      <c r="B4556" s="1"/>
      <c r="C4556" s="1"/>
      <c r="D4556" s="1"/>
    </row>
    <row r="4557" spans="1:4" x14ac:dyDescent="0.25">
      <c r="A4557" s="1"/>
      <c r="B4557" s="1"/>
      <c r="C4557" s="1"/>
      <c r="D4557" s="1"/>
    </row>
    <row r="4558" spans="1:4" x14ac:dyDescent="0.25">
      <c r="A4558" s="1"/>
      <c r="B4558" s="1"/>
      <c r="C4558" s="1"/>
      <c r="D4558" s="1"/>
    </row>
    <row r="4559" spans="1:4" x14ac:dyDescent="0.25">
      <c r="A4559" s="1"/>
      <c r="B4559" s="1"/>
      <c r="C4559" s="1"/>
      <c r="D4559" s="1"/>
    </row>
    <row r="4560" spans="1:4" x14ac:dyDescent="0.25">
      <c r="A4560" s="1"/>
      <c r="B4560" s="1"/>
      <c r="C4560" s="1"/>
      <c r="D4560" s="1"/>
    </row>
    <row r="4561" spans="1:4" x14ac:dyDescent="0.25">
      <c r="A4561" s="1"/>
      <c r="B4561" s="1"/>
      <c r="C4561" s="1"/>
      <c r="D4561" s="1"/>
    </row>
    <row r="4562" spans="1:4" x14ac:dyDescent="0.25">
      <c r="A4562" s="1"/>
      <c r="B4562" s="1"/>
      <c r="C4562" s="1"/>
      <c r="D4562" s="1"/>
    </row>
    <row r="4563" spans="1:4" x14ac:dyDescent="0.25">
      <c r="A4563" s="1"/>
      <c r="B4563" s="1"/>
      <c r="C4563" s="1"/>
      <c r="D4563" s="1"/>
    </row>
    <row r="4564" spans="1:4" x14ac:dyDescent="0.25">
      <c r="A4564" s="1"/>
      <c r="B4564" s="1"/>
      <c r="C4564" s="1"/>
      <c r="D4564" s="1"/>
    </row>
    <row r="4565" spans="1:4" x14ac:dyDescent="0.25">
      <c r="A4565" s="1"/>
      <c r="B4565" s="1"/>
      <c r="C4565" s="1"/>
      <c r="D4565" s="1"/>
    </row>
    <row r="4566" spans="1:4" x14ac:dyDescent="0.25">
      <c r="A4566" s="1"/>
      <c r="B4566" s="1"/>
      <c r="C4566" s="1"/>
      <c r="D4566" s="1"/>
    </row>
    <row r="4567" spans="1:4" x14ac:dyDescent="0.25">
      <c r="A4567" s="1"/>
      <c r="B4567" s="1"/>
      <c r="C4567" s="1"/>
      <c r="D4567" s="1"/>
    </row>
    <row r="4568" spans="1:4" x14ac:dyDescent="0.25">
      <c r="A4568" s="1"/>
      <c r="B4568" s="1"/>
      <c r="C4568" s="1"/>
      <c r="D4568" s="1"/>
    </row>
    <row r="4569" spans="1:4" x14ac:dyDescent="0.25">
      <c r="A4569" s="1"/>
      <c r="B4569" s="1"/>
      <c r="C4569" s="1"/>
      <c r="D4569" s="1"/>
    </row>
    <row r="4570" spans="1:4" x14ac:dyDescent="0.25">
      <c r="A4570" s="1"/>
      <c r="B4570" s="1"/>
      <c r="C4570" s="1"/>
      <c r="D4570" s="1"/>
    </row>
    <row r="4571" spans="1:4" x14ac:dyDescent="0.25">
      <c r="A4571" s="1"/>
      <c r="B4571" s="1"/>
      <c r="C4571" s="1"/>
      <c r="D4571" s="1"/>
    </row>
    <row r="4572" spans="1:4" x14ac:dyDescent="0.25">
      <c r="A4572" s="1"/>
      <c r="B4572" s="1"/>
      <c r="C4572" s="1"/>
      <c r="D4572" s="1"/>
    </row>
    <row r="4573" spans="1:4" x14ac:dyDescent="0.25">
      <c r="A4573" s="1"/>
      <c r="B4573" s="1"/>
      <c r="C4573" s="1"/>
      <c r="D4573" s="1"/>
    </row>
    <row r="4574" spans="1:4" x14ac:dyDescent="0.25">
      <c r="A4574" s="1"/>
      <c r="B4574" s="1"/>
      <c r="C4574" s="1"/>
      <c r="D4574" s="1"/>
    </row>
    <row r="4575" spans="1:4" x14ac:dyDescent="0.25">
      <c r="A4575" s="1"/>
      <c r="B4575" s="1"/>
      <c r="C4575" s="1"/>
      <c r="D4575" s="1"/>
    </row>
    <row r="4576" spans="1:4" x14ac:dyDescent="0.25">
      <c r="A4576" s="1"/>
      <c r="B4576" s="1"/>
      <c r="C4576" s="1"/>
      <c r="D4576" s="1"/>
    </row>
    <row r="4577" spans="1:4" x14ac:dyDescent="0.25">
      <c r="A4577" s="1"/>
      <c r="B4577" s="1"/>
      <c r="C4577" s="1"/>
      <c r="D4577" s="1"/>
    </row>
    <row r="4578" spans="1:4" x14ac:dyDescent="0.25">
      <c r="A4578" s="1"/>
      <c r="B4578" s="1"/>
      <c r="C4578" s="1"/>
      <c r="D4578" s="1"/>
    </row>
    <row r="4579" spans="1:4" x14ac:dyDescent="0.25">
      <c r="A4579" s="1"/>
      <c r="B4579" s="1"/>
      <c r="C4579" s="1"/>
      <c r="D4579" s="1"/>
    </row>
    <row r="4580" spans="1:4" x14ac:dyDescent="0.25">
      <c r="A4580" s="1"/>
      <c r="B4580" s="1"/>
      <c r="C4580" s="1"/>
      <c r="D4580" s="1"/>
    </row>
    <row r="4581" spans="1:4" x14ac:dyDescent="0.25">
      <c r="A4581" s="1"/>
      <c r="B4581" s="1"/>
      <c r="C4581" s="1"/>
      <c r="D4581" s="1"/>
    </row>
    <row r="4582" spans="1:4" x14ac:dyDescent="0.25">
      <c r="A4582" s="1"/>
      <c r="B4582" s="1"/>
      <c r="C4582" s="1"/>
      <c r="D4582" s="1"/>
    </row>
    <row r="4583" spans="1:4" x14ac:dyDescent="0.25">
      <c r="A4583" s="1"/>
      <c r="B4583" s="1"/>
      <c r="C4583" s="1"/>
      <c r="D4583" s="1"/>
    </row>
    <row r="4584" spans="1:4" x14ac:dyDescent="0.25">
      <c r="A4584" s="1"/>
      <c r="B4584" s="1"/>
      <c r="C4584" s="1"/>
      <c r="D4584" s="1"/>
    </row>
    <row r="4585" spans="1:4" x14ac:dyDescent="0.25">
      <c r="A4585" s="1"/>
      <c r="B4585" s="1"/>
      <c r="C4585" s="1"/>
      <c r="D4585" s="1"/>
    </row>
    <row r="4586" spans="1:4" x14ac:dyDescent="0.25">
      <c r="A4586" s="1"/>
      <c r="B4586" s="1"/>
      <c r="C4586" s="1"/>
      <c r="D4586" s="1"/>
    </row>
    <row r="4587" spans="1:4" x14ac:dyDescent="0.25">
      <c r="A4587" s="1"/>
      <c r="B4587" s="1"/>
      <c r="C4587" s="1"/>
      <c r="D4587" s="1"/>
    </row>
    <row r="4588" spans="1:4" x14ac:dyDescent="0.25">
      <c r="A4588" s="1"/>
      <c r="B4588" s="1"/>
      <c r="C4588" s="1"/>
      <c r="D4588" s="1"/>
    </row>
    <row r="4589" spans="1:4" x14ac:dyDescent="0.25">
      <c r="A4589" s="1"/>
      <c r="B4589" s="1"/>
      <c r="C4589" s="1"/>
      <c r="D4589" s="1"/>
    </row>
    <row r="4590" spans="1:4" x14ac:dyDescent="0.25">
      <c r="A4590" s="1"/>
      <c r="B4590" s="1"/>
      <c r="C4590" s="1"/>
      <c r="D4590" s="1"/>
    </row>
    <row r="4591" spans="1:4" x14ac:dyDescent="0.25">
      <c r="A4591" s="1"/>
      <c r="B4591" s="1"/>
      <c r="C4591" s="1"/>
      <c r="D4591" s="1"/>
    </row>
    <row r="4592" spans="1:4" x14ac:dyDescent="0.25">
      <c r="A4592" s="1"/>
      <c r="B4592" s="1"/>
      <c r="C4592" s="1"/>
      <c r="D4592" s="1"/>
    </row>
    <row r="4593" spans="1:4" x14ac:dyDescent="0.25">
      <c r="A4593" s="1"/>
      <c r="B4593" s="1"/>
      <c r="C4593" s="1"/>
      <c r="D4593" s="1"/>
    </row>
    <row r="4594" spans="1:4" x14ac:dyDescent="0.25">
      <c r="A4594" s="1"/>
      <c r="B4594" s="1"/>
      <c r="C4594" s="1"/>
      <c r="D4594" s="1"/>
    </row>
    <row r="4595" spans="1:4" x14ac:dyDescent="0.25">
      <c r="A4595" s="1"/>
      <c r="B4595" s="1"/>
      <c r="C4595" s="1"/>
      <c r="D4595" s="1"/>
    </row>
    <row r="4596" spans="1:4" x14ac:dyDescent="0.25">
      <c r="A4596" s="1"/>
      <c r="B4596" s="1"/>
      <c r="C4596" s="1"/>
      <c r="D4596" s="1"/>
    </row>
    <row r="4597" spans="1:4" x14ac:dyDescent="0.25">
      <c r="A4597" s="1"/>
      <c r="B4597" s="1"/>
      <c r="C4597" s="1"/>
      <c r="D4597" s="1"/>
    </row>
    <row r="4598" spans="1:4" x14ac:dyDescent="0.25">
      <c r="A4598" s="1"/>
      <c r="B4598" s="1"/>
      <c r="C4598" s="1"/>
      <c r="D4598" s="1"/>
    </row>
    <row r="4599" spans="1:4" x14ac:dyDescent="0.25">
      <c r="A4599" s="1"/>
      <c r="B4599" s="1"/>
      <c r="C4599" s="1"/>
      <c r="D4599" s="1"/>
    </row>
    <row r="4600" spans="1:4" x14ac:dyDescent="0.25">
      <c r="A4600" s="1"/>
      <c r="B4600" s="1"/>
      <c r="C4600" s="1"/>
      <c r="D4600" s="1"/>
    </row>
    <row r="4601" spans="1:4" x14ac:dyDescent="0.25">
      <c r="A4601" s="1"/>
      <c r="B4601" s="1"/>
      <c r="C4601" s="1"/>
      <c r="D4601" s="1"/>
    </row>
    <row r="4602" spans="1:4" x14ac:dyDescent="0.25">
      <c r="A4602" s="1"/>
      <c r="B4602" s="1"/>
      <c r="C4602" s="1"/>
      <c r="D4602" s="1"/>
    </row>
    <row r="4603" spans="1:4" x14ac:dyDescent="0.25">
      <c r="A4603" s="1"/>
      <c r="B4603" s="1"/>
      <c r="C4603" s="1"/>
      <c r="D4603" s="1"/>
    </row>
    <row r="4604" spans="1:4" x14ac:dyDescent="0.25">
      <c r="A4604" s="1"/>
      <c r="B4604" s="1"/>
      <c r="C4604" s="1"/>
      <c r="D4604" s="1"/>
    </row>
    <row r="4605" spans="1:4" x14ac:dyDescent="0.25">
      <c r="A4605" s="1"/>
      <c r="B4605" s="1"/>
      <c r="C4605" s="1"/>
      <c r="D4605" s="1"/>
    </row>
    <row r="4606" spans="1:4" x14ac:dyDescent="0.25">
      <c r="A4606" s="1"/>
      <c r="B4606" s="1"/>
      <c r="C4606" s="1"/>
      <c r="D4606" s="1"/>
    </row>
    <row r="4607" spans="1:4" x14ac:dyDescent="0.25">
      <c r="A4607" s="1"/>
      <c r="B4607" s="1"/>
      <c r="C4607" s="1"/>
      <c r="D4607" s="1"/>
    </row>
    <row r="4608" spans="1:4" x14ac:dyDescent="0.25">
      <c r="A4608" s="1"/>
      <c r="B4608" s="1"/>
      <c r="C4608" s="1"/>
      <c r="D4608" s="1"/>
    </row>
    <row r="4609" spans="1:4" x14ac:dyDescent="0.25">
      <c r="A4609" s="1"/>
      <c r="B4609" s="1"/>
      <c r="C4609" s="1"/>
      <c r="D4609" s="1"/>
    </row>
    <row r="4610" spans="1:4" x14ac:dyDescent="0.25">
      <c r="A4610" s="1"/>
      <c r="B4610" s="1"/>
      <c r="C4610" s="1"/>
      <c r="D4610" s="1"/>
    </row>
    <row r="4611" spans="1:4" x14ac:dyDescent="0.25">
      <c r="A4611" s="1"/>
      <c r="B4611" s="1"/>
      <c r="C4611" s="1"/>
      <c r="D4611" s="1"/>
    </row>
    <row r="4612" spans="1:4" x14ac:dyDescent="0.25">
      <c r="A4612" s="1"/>
      <c r="B4612" s="1"/>
      <c r="C4612" s="1"/>
      <c r="D4612" s="1"/>
    </row>
    <row r="4613" spans="1:4" x14ac:dyDescent="0.25">
      <c r="A4613" s="1"/>
      <c r="B4613" s="1"/>
      <c r="C4613" s="1"/>
      <c r="D4613" s="1"/>
    </row>
    <row r="4614" spans="1:4" x14ac:dyDescent="0.25">
      <c r="A4614" s="1"/>
      <c r="B4614" s="1"/>
      <c r="C4614" s="1"/>
      <c r="D4614" s="1"/>
    </row>
    <row r="4615" spans="1:4" x14ac:dyDescent="0.25">
      <c r="A4615" s="1"/>
      <c r="B4615" s="1"/>
      <c r="C4615" s="1"/>
      <c r="D4615" s="1"/>
    </row>
    <row r="4616" spans="1:4" x14ac:dyDescent="0.25">
      <c r="A4616" s="1"/>
      <c r="B4616" s="1"/>
      <c r="C4616" s="1"/>
      <c r="D4616" s="1"/>
    </row>
    <row r="4617" spans="1:4" x14ac:dyDescent="0.25">
      <c r="A4617" s="1"/>
      <c r="B4617" s="1"/>
      <c r="C4617" s="1"/>
      <c r="D4617" s="1"/>
    </row>
    <row r="4618" spans="1:4" x14ac:dyDescent="0.25">
      <c r="A4618" s="1"/>
      <c r="B4618" s="1"/>
      <c r="C4618" s="1"/>
      <c r="D4618" s="1"/>
    </row>
    <row r="4619" spans="1:4" x14ac:dyDescent="0.25">
      <c r="A4619" s="1"/>
      <c r="B4619" s="1"/>
      <c r="C4619" s="1"/>
      <c r="D4619" s="1"/>
    </row>
    <row r="4620" spans="1:4" x14ac:dyDescent="0.25">
      <c r="A4620" s="1"/>
      <c r="B4620" s="1"/>
      <c r="C4620" s="1"/>
      <c r="D4620" s="1"/>
    </row>
    <row r="4621" spans="1:4" x14ac:dyDescent="0.25">
      <c r="A4621" s="1"/>
      <c r="B4621" s="1"/>
      <c r="C4621" s="1"/>
      <c r="D4621" s="1"/>
    </row>
    <row r="4622" spans="1:4" x14ac:dyDescent="0.25">
      <c r="A4622" s="1"/>
      <c r="B4622" s="1"/>
      <c r="C4622" s="1"/>
      <c r="D4622" s="1"/>
    </row>
    <row r="4623" spans="1:4" x14ac:dyDescent="0.25">
      <c r="A4623" s="1"/>
      <c r="B4623" s="1"/>
      <c r="C4623" s="1"/>
      <c r="D4623" s="1"/>
    </row>
    <row r="4624" spans="1:4" x14ac:dyDescent="0.25">
      <c r="A4624" s="1"/>
      <c r="B4624" s="1"/>
      <c r="C4624" s="1"/>
      <c r="D4624" s="1"/>
    </row>
    <row r="4625" spans="1:4" x14ac:dyDescent="0.25">
      <c r="A4625" s="1"/>
      <c r="B4625" s="1"/>
      <c r="C4625" s="1"/>
      <c r="D4625" s="1"/>
    </row>
    <row r="4626" spans="1:4" x14ac:dyDescent="0.25">
      <c r="A4626" s="1"/>
      <c r="B4626" s="1"/>
      <c r="C4626" s="1"/>
      <c r="D4626" s="1"/>
    </row>
    <row r="4627" spans="1:4" x14ac:dyDescent="0.25">
      <c r="A4627" s="1"/>
      <c r="B4627" s="1"/>
      <c r="C4627" s="1"/>
      <c r="D4627" s="1"/>
    </row>
    <row r="4628" spans="1:4" x14ac:dyDescent="0.25">
      <c r="A4628" s="1"/>
      <c r="B4628" s="1"/>
      <c r="C4628" s="1"/>
      <c r="D4628" s="1"/>
    </row>
    <row r="4629" spans="1:4" x14ac:dyDescent="0.25">
      <c r="A4629" s="1"/>
      <c r="B4629" s="1"/>
      <c r="C4629" s="1"/>
      <c r="D4629" s="1"/>
    </row>
    <row r="4630" spans="1:4" x14ac:dyDescent="0.25">
      <c r="A4630" s="1"/>
      <c r="B4630" s="1"/>
      <c r="C4630" s="1"/>
      <c r="D4630" s="1"/>
    </row>
    <row r="4631" spans="1:4" x14ac:dyDescent="0.25">
      <c r="A4631" s="1"/>
      <c r="B4631" s="1"/>
      <c r="C4631" s="1"/>
      <c r="D4631" s="1"/>
    </row>
    <row r="4632" spans="1:4" x14ac:dyDescent="0.25">
      <c r="A4632" s="1"/>
      <c r="B4632" s="1"/>
      <c r="C4632" s="1"/>
      <c r="D4632" s="1"/>
    </row>
    <row r="4633" spans="1:4" x14ac:dyDescent="0.25">
      <c r="A4633" s="1"/>
      <c r="B4633" s="1"/>
      <c r="C4633" s="1"/>
      <c r="D4633" s="1"/>
    </row>
    <row r="4634" spans="1:4" x14ac:dyDescent="0.25">
      <c r="A4634" s="1"/>
      <c r="B4634" s="1"/>
      <c r="C4634" s="1"/>
      <c r="D4634" s="1"/>
    </row>
    <row r="4635" spans="1:4" x14ac:dyDescent="0.25">
      <c r="A4635" s="1"/>
      <c r="B4635" s="1"/>
      <c r="C4635" s="1"/>
      <c r="D4635" s="1"/>
    </row>
    <row r="4636" spans="1:4" x14ac:dyDescent="0.25">
      <c r="A4636" s="1"/>
      <c r="B4636" s="1"/>
      <c r="C4636" s="1"/>
      <c r="D4636" s="1"/>
    </row>
    <row r="4637" spans="1:4" x14ac:dyDescent="0.25">
      <c r="A4637" s="1"/>
      <c r="B4637" s="1"/>
      <c r="C4637" s="1"/>
      <c r="D4637" s="1"/>
    </row>
    <row r="4638" spans="1:4" x14ac:dyDescent="0.25">
      <c r="A4638" s="1"/>
      <c r="B4638" s="1"/>
      <c r="C4638" s="1"/>
      <c r="D4638" s="1"/>
    </row>
    <row r="4639" spans="1:4" x14ac:dyDescent="0.25">
      <c r="A4639" s="1"/>
      <c r="B4639" s="1"/>
      <c r="C4639" s="1"/>
      <c r="D4639" s="1"/>
    </row>
    <row r="4640" spans="1:4" x14ac:dyDescent="0.25">
      <c r="A4640" s="1"/>
      <c r="B4640" s="1"/>
      <c r="C4640" s="1"/>
      <c r="D4640" s="1"/>
    </row>
    <row r="4641" spans="1:4" x14ac:dyDescent="0.25">
      <c r="A4641" s="1"/>
      <c r="B4641" s="1"/>
      <c r="C4641" s="1"/>
      <c r="D4641" s="1"/>
    </row>
    <row r="4642" spans="1:4" x14ac:dyDescent="0.25">
      <c r="A4642" s="1"/>
      <c r="B4642" s="1"/>
      <c r="C4642" s="1"/>
      <c r="D4642" s="1"/>
    </row>
    <row r="4643" spans="1:4" x14ac:dyDescent="0.25">
      <c r="A4643" s="1"/>
      <c r="B4643" s="1"/>
      <c r="C4643" s="1"/>
      <c r="D4643" s="1"/>
    </row>
    <row r="4644" spans="1:4" x14ac:dyDescent="0.25">
      <c r="A4644" s="1"/>
      <c r="B4644" s="1"/>
      <c r="C4644" s="1"/>
      <c r="D4644" s="1"/>
    </row>
    <row r="4645" spans="1:4" x14ac:dyDescent="0.25">
      <c r="A4645" s="1"/>
      <c r="B4645" s="1"/>
      <c r="C4645" s="1"/>
      <c r="D4645" s="1"/>
    </row>
    <row r="4646" spans="1:4" x14ac:dyDescent="0.25">
      <c r="A4646" s="1"/>
      <c r="B4646" s="1"/>
      <c r="C4646" s="1"/>
      <c r="D4646" s="1"/>
    </row>
    <row r="4647" spans="1:4" x14ac:dyDescent="0.25">
      <c r="A4647" s="1"/>
      <c r="B4647" s="1"/>
      <c r="C4647" s="1"/>
      <c r="D4647" s="1"/>
    </row>
    <row r="4648" spans="1:4" x14ac:dyDescent="0.25">
      <c r="A4648" s="1"/>
      <c r="B4648" s="1"/>
      <c r="C4648" s="1"/>
      <c r="D4648" s="1"/>
    </row>
    <row r="4649" spans="1:4" x14ac:dyDescent="0.25">
      <c r="A4649" s="1"/>
      <c r="B4649" s="1"/>
      <c r="C4649" s="1"/>
      <c r="D4649" s="1"/>
    </row>
    <row r="4650" spans="1:4" x14ac:dyDescent="0.25">
      <c r="A4650" s="1"/>
      <c r="B4650" s="1"/>
      <c r="C4650" s="1"/>
      <c r="D4650" s="1"/>
    </row>
    <row r="4651" spans="1:4" x14ac:dyDescent="0.25">
      <c r="A4651" s="1"/>
      <c r="B4651" s="1"/>
      <c r="C4651" s="1"/>
      <c r="D4651" s="1"/>
    </row>
    <row r="4652" spans="1:4" x14ac:dyDescent="0.25">
      <c r="A4652" s="1"/>
      <c r="B4652" s="1"/>
      <c r="C4652" s="1"/>
      <c r="D4652" s="1"/>
    </row>
    <row r="4653" spans="1:4" x14ac:dyDescent="0.25">
      <c r="A4653" s="1"/>
      <c r="B4653" s="1"/>
      <c r="C4653" s="1"/>
      <c r="D4653" s="1"/>
    </row>
    <row r="4654" spans="1:4" x14ac:dyDescent="0.25">
      <c r="A4654" s="1"/>
      <c r="B4654" s="1"/>
      <c r="C4654" s="1"/>
      <c r="D4654" s="1"/>
    </row>
    <row r="4655" spans="1:4" x14ac:dyDescent="0.25">
      <c r="A4655" s="1"/>
      <c r="B4655" s="1"/>
      <c r="C4655" s="1"/>
      <c r="D4655" s="1"/>
    </row>
    <row r="4656" spans="1:4" x14ac:dyDescent="0.25">
      <c r="A4656" s="1"/>
      <c r="B4656" s="1"/>
      <c r="C4656" s="1"/>
      <c r="D4656" s="1"/>
    </row>
    <row r="4657" spans="1:4" x14ac:dyDescent="0.25">
      <c r="A4657" s="1"/>
      <c r="B4657" s="1"/>
      <c r="C4657" s="1"/>
      <c r="D4657" s="1"/>
    </row>
    <row r="4658" spans="1:4" x14ac:dyDescent="0.25">
      <c r="A4658" s="1"/>
      <c r="B4658" s="1"/>
      <c r="C4658" s="1"/>
      <c r="D4658" s="1"/>
    </row>
    <row r="4659" spans="1:4" x14ac:dyDescent="0.25">
      <c r="A4659" s="1"/>
      <c r="B4659" s="1"/>
      <c r="C4659" s="1"/>
      <c r="D4659" s="1"/>
    </row>
    <row r="4660" spans="1:4" x14ac:dyDescent="0.25">
      <c r="A4660" s="1"/>
      <c r="B4660" s="1"/>
      <c r="C4660" s="1"/>
      <c r="D4660" s="1"/>
    </row>
    <row r="4661" spans="1:4" x14ac:dyDescent="0.25">
      <c r="A4661" s="1"/>
      <c r="B4661" s="1"/>
      <c r="C4661" s="1"/>
      <c r="D4661" s="1"/>
    </row>
    <row r="4662" spans="1:4" x14ac:dyDescent="0.25">
      <c r="A4662" s="1"/>
      <c r="B4662" s="1"/>
      <c r="C4662" s="1"/>
      <c r="D4662" s="1"/>
    </row>
    <row r="4663" spans="1:4" x14ac:dyDescent="0.25">
      <c r="A4663" s="1"/>
      <c r="B4663" s="1"/>
      <c r="C4663" s="1"/>
      <c r="D4663" s="1"/>
    </row>
    <row r="4664" spans="1:4" x14ac:dyDescent="0.25">
      <c r="A4664" s="1"/>
      <c r="B4664" s="1"/>
      <c r="C4664" s="1"/>
      <c r="D4664" s="1"/>
    </row>
    <row r="4665" spans="1:4" x14ac:dyDescent="0.25">
      <c r="A4665" s="1"/>
      <c r="B4665" s="1"/>
      <c r="C4665" s="1"/>
      <c r="D4665" s="1"/>
    </row>
    <row r="4666" spans="1:4" x14ac:dyDescent="0.25">
      <c r="A4666" s="1"/>
      <c r="B4666" s="1"/>
      <c r="C4666" s="1"/>
      <c r="D4666" s="1"/>
    </row>
    <row r="4667" spans="1:4" x14ac:dyDescent="0.25">
      <c r="A4667" s="1"/>
      <c r="B4667" s="1"/>
      <c r="C4667" s="1"/>
      <c r="D4667" s="1"/>
    </row>
    <row r="4668" spans="1:4" x14ac:dyDescent="0.25">
      <c r="A4668" s="1"/>
      <c r="B4668" s="1"/>
      <c r="C4668" s="1"/>
      <c r="D4668" s="1"/>
    </row>
    <row r="4669" spans="1:4" x14ac:dyDescent="0.25">
      <c r="A4669" s="1"/>
      <c r="B4669" s="1"/>
      <c r="C4669" s="1"/>
      <c r="D4669" s="1"/>
    </row>
    <row r="4670" spans="1:4" x14ac:dyDescent="0.25">
      <c r="A4670" s="1"/>
      <c r="B4670" s="1"/>
      <c r="C4670" s="1"/>
      <c r="D4670" s="1"/>
    </row>
    <row r="4671" spans="1:4" x14ac:dyDescent="0.25">
      <c r="A4671" s="1"/>
      <c r="B4671" s="1"/>
      <c r="C4671" s="1"/>
      <c r="D4671" s="1"/>
    </row>
    <row r="4672" spans="1:4" x14ac:dyDescent="0.25">
      <c r="A4672" s="1"/>
      <c r="B4672" s="1"/>
      <c r="C4672" s="1"/>
      <c r="D4672" s="1"/>
    </row>
    <row r="4673" spans="1:4" x14ac:dyDescent="0.25">
      <c r="A4673" s="1"/>
      <c r="B4673" s="1"/>
      <c r="C4673" s="1"/>
      <c r="D4673" s="1"/>
    </row>
    <row r="4674" spans="1:4" x14ac:dyDescent="0.25">
      <c r="A4674" s="1"/>
      <c r="B4674" s="1"/>
      <c r="C4674" s="1"/>
      <c r="D4674" s="1"/>
    </row>
    <row r="4675" spans="1:4" x14ac:dyDescent="0.25">
      <c r="A4675" s="1"/>
      <c r="B4675" s="1"/>
      <c r="C4675" s="1"/>
      <c r="D4675" s="1"/>
    </row>
    <row r="4676" spans="1:4" x14ac:dyDescent="0.25">
      <c r="A4676" s="1"/>
      <c r="B4676" s="1"/>
      <c r="C4676" s="1"/>
      <c r="D4676" s="1"/>
    </row>
    <row r="4677" spans="1:4" x14ac:dyDescent="0.25">
      <c r="A4677" s="1"/>
      <c r="B4677" s="1"/>
      <c r="C4677" s="1"/>
      <c r="D4677" s="1"/>
    </row>
    <row r="4678" spans="1:4" x14ac:dyDescent="0.25">
      <c r="A4678" s="1"/>
      <c r="B4678" s="1"/>
      <c r="C4678" s="1"/>
      <c r="D4678" s="1"/>
    </row>
    <row r="4679" spans="1:4" x14ac:dyDescent="0.25">
      <c r="A4679" s="1"/>
      <c r="B4679" s="1"/>
      <c r="C4679" s="1"/>
      <c r="D4679" s="1"/>
    </row>
    <row r="4680" spans="1:4" x14ac:dyDescent="0.25">
      <c r="A4680" s="1"/>
      <c r="B4680" s="1"/>
      <c r="C4680" s="1"/>
      <c r="D4680" s="1"/>
    </row>
    <row r="4681" spans="1:4" x14ac:dyDescent="0.25">
      <c r="A4681" s="1"/>
      <c r="B4681" s="1"/>
      <c r="C4681" s="1"/>
      <c r="D4681" s="1"/>
    </row>
    <row r="4682" spans="1:4" x14ac:dyDescent="0.25">
      <c r="A4682" s="1"/>
      <c r="B4682" s="1"/>
      <c r="C4682" s="1"/>
      <c r="D4682" s="1"/>
    </row>
    <row r="4683" spans="1:4" x14ac:dyDescent="0.25">
      <c r="A4683" s="1"/>
      <c r="B4683" s="1"/>
      <c r="C4683" s="1"/>
      <c r="D4683" s="1"/>
    </row>
    <row r="4684" spans="1:4" x14ac:dyDescent="0.25">
      <c r="A4684" s="1"/>
      <c r="B4684" s="1"/>
      <c r="C4684" s="1"/>
      <c r="D4684" s="1"/>
    </row>
    <row r="4685" spans="1:4" x14ac:dyDescent="0.25">
      <c r="A4685" s="1"/>
      <c r="B4685" s="1"/>
      <c r="C4685" s="1"/>
      <c r="D4685" s="1"/>
    </row>
    <row r="4686" spans="1:4" x14ac:dyDescent="0.25">
      <c r="A4686" s="1"/>
      <c r="B4686" s="1"/>
      <c r="C4686" s="1"/>
      <c r="D4686" s="1"/>
    </row>
    <row r="4687" spans="1:4" x14ac:dyDescent="0.25">
      <c r="A4687" s="1"/>
      <c r="B4687" s="1"/>
      <c r="C4687" s="1"/>
      <c r="D4687" s="1"/>
    </row>
    <row r="4688" spans="1:4" x14ac:dyDescent="0.25">
      <c r="A4688" s="1"/>
      <c r="B4688" s="1"/>
      <c r="C4688" s="1"/>
      <c r="D4688" s="1"/>
    </row>
    <row r="4689" spans="1:4" x14ac:dyDescent="0.25">
      <c r="A4689" s="1"/>
      <c r="B4689" s="1"/>
      <c r="C4689" s="1"/>
      <c r="D4689" s="1"/>
    </row>
    <row r="4690" spans="1:4" x14ac:dyDescent="0.25">
      <c r="A4690" s="1"/>
      <c r="B4690" s="1"/>
      <c r="C4690" s="1"/>
      <c r="D4690" s="1"/>
    </row>
    <row r="4691" spans="1:4" x14ac:dyDescent="0.25">
      <c r="A4691" s="1"/>
      <c r="B4691" s="1"/>
      <c r="C4691" s="1"/>
      <c r="D4691" s="1"/>
    </row>
    <row r="4692" spans="1:4" x14ac:dyDescent="0.25">
      <c r="A4692" s="1"/>
      <c r="B4692" s="1"/>
      <c r="C4692" s="1"/>
      <c r="D4692" s="1"/>
    </row>
    <row r="4693" spans="1:4" x14ac:dyDescent="0.25">
      <c r="A4693" s="1"/>
      <c r="B4693" s="1"/>
      <c r="C4693" s="1"/>
      <c r="D4693" s="1"/>
    </row>
    <row r="4694" spans="1:4" x14ac:dyDescent="0.25">
      <c r="A4694" s="1"/>
      <c r="B4694" s="1"/>
      <c r="C4694" s="1"/>
      <c r="D4694" s="1"/>
    </row>
    <row r="4695" spans="1:4" x14ac:dyDescent="0.25">
      <c r="A4695" s="1"/>
      <c r="B4695" s="1"/>
      <c r="C4695" s="1"/>
      <c r="D4695" s="1"/>
    </row>
    <row r="4696" spans="1:4" x14ac:dyDescent="0.25">
      <c r="A4696" s="1"/>
      <c r="B4696" s="1"/>
      <c r="C4696" s="1"/>
      <c r="D4696" s="1"/>
    </row>
    <row r="4697" spans="1:4" x14ac:dyDescent="0.25">
      <c r="A4697" s="1"/>
      <c r="B4697" s="1"/>
      <c r="C4697" s="1"/>
      <c r="D4697" s="1"/>
    </row>
    <row r="4698" spans="1:4" x14ac:dyDescent="0.25">
      <c r="A4698" s="1"/>
      <c r="B4698" s="1"/>
      <c r="C4698" s="1"/>
      <c r="D4698" s="1"/>
    </row>
    <row r="4699" spans="1:4" x14ac:dyDescent="0.25">
      <c r="A4699" s="1"/>
      <c r="B4699" s="1"/>
      <c r="C4699" s="1"/>
      <c r="D4699" s="1"/>
    </row>
    <row r="4700" spans="1:4" x14ac:dyDescent="0.25">
      <c r="A4700" s="1"/>
      <c r="B4700" s="1"/>
      <c r="C4700" s="1"/>
      <c r="D4700" s="1"/>
    </row>
    <row r="4701" spans="1:4" x14ac:dyDescent="0.25">
      <c r="A4701" s="1"/>
      <c r="B4701" s="1"/>
      <c r="C4701" s="1"/>
      <c r="D4701" s="1"/>
    </row>
    <row r="4702" spans="1:4" x14ac:dyDescent="0.25">
      <c r="A4702" s="1"/>
      <c r="B4702" s="1"/>
      <c r="C4702" s="1"/>
      <c r="D4702" s="1"/>
    </row>
    <row r="4703" spans="1:4" x14ac:dyDescent="0.25">
      <c r="A4703" s="1"/>
      <c r="B4703" s="1"/>
      <c r="C4703" s="1"/>
      <c r="D4703" s="1"/>
    </row>
    <row r="4704" spans="1:4" x14ac:dyDescent="0.25">
      <c r="A4704" s="1"/>
      <c r="B4704" s="1"/>
      <c r="C4704" s="1"/>
      <c r="D4704" s="1"/>
    </row>
    <row r="4705" spans="1:4" x14ac:dyDescent="0.25">
      <c r="A4705" s="1"/>
      <c r="B4705" s="1"/>
      <c r="C4705" s="1"/>
      <c r="D4705" s="1"/>
    </row>
    <row r="4706" spans="1:4" x14ac:dyDescent="0.25">
      <c r="A4706" s="1"/>
      <c r="B4706" s="1"/>
      <c r="C4706" s="1"/>
      <c r="D4706" s="1"/>
    </row>
    <row r="4707" spans="1:4" x14ac:dyDescent="0.25">
      <c r="A4707" s="1"/>
      <c r="B4707" s="1"/>
      <c r="C4707" s="1"/>
      <c r="D4707" s="1"/>
    </row>
    <row r="4708" spans="1:4" x14ac:dyDescent="0.25">
      <c r="A4708" s="1"/>
      <c r="B4708" s="1"/>
      <c r="C4708" s="1"/>
      <c r="D4708" s="1"/>
    </row>
    <row r="4709" spans="1:4" x14ac:dyDescent="0.25">
      <c r="A4709" s="1"/>
      <c r="B4709" s="1"/>
      <c r="C4709" s="1"/>
      <c r="D4709" s="1"/>
    </row>
    <row r="4710" spans="1:4" x14ac:dyDescent="0.25">
      <c r="A4710" s="1"/>
      <c r="B4710" s="1"/>
      <c r="C4710" s="1"/>
      <c r="D4710" s="1"/>
    </row>
    <row r="4711" spans="1:4" x14ac:dyDescent="0.25">
      <c r="A4711" s="1"/>
      <c r="B4711" s="1"/>
      <c r="C4711" s="1"/>
      <c r="D4711" s="1"/>
    </row>
    <row r="4712" spans="1:4" x14ac:dyDescent="0.25">
      <c r="A4712" s="1"/>
      <c r="B4712" s="1"/>
      <c r="C4712" s="1"/>
      <c r="D4712" s="1"/>
    </row>
    <row r="4713" spans="1:4" x14ac:dyDescent="0.25">
      <c r="A4713" s="1"/>
      <c r="B4713" s="1"/>
      <c r="C4713" s="1"/>
      <c r="D4713" s="1"/>
    </row>
    <row r="4714" spans="1:4" x14ac:dyDescent="0.25">
      <c r="A4714" s="1"/>
      <c r="B4714" s="1"/>
      <c r="C4714" s="1"/>
      <c r="D4714" s="1"/>
    </row>
    <row r="4715" spans="1:4" x14ac:dyDescent="0.25">
      <c r="A4715" s="1"/>
      <c r="B4715" s="1"/>
      <c r="C4715" s="1"/>
      <c r="D4715" s="1"/>
    </row>
    <row r="4716" spans="1:4" x14ac:dyDescent="0.25">
      <c r="A4716" s="1"/>
      <c r="B4716" s="1"/>
      <c r="C4716" s="1"/>
      <c r="D4716" s="1"/>
    </row>
    <row r="4717" spans="1:4" x14ac:dyDescent="0.25">
      <c r="A4717" s="1"/>
      <c r="B4717" s="1"/>
      <c r="C4717" s="1"/>
      <c r="D4717" s="1"/>
    </row>
    <row r="4718" spans="1:4" x14ac:dyDescent="0.25">
      <c r="A4718" s="1"/>
      <c r="B4718" s="1"/>
      <c r="C4718" s="1"/>
      <c r="D4718" s="1"/>
    </row>
    <row r="4719" spans="1:4" x14ac:dyDescent="0.25">
      <c r="A4719" s="1"/>
      <c r="B4719" s="1"/>
      <c r="C4719" s="1"/>
      <c r="D4719" s="1"/>
    </row>
    <row r="4720" spans="1:4" x14ac:dyDescent="0.25">
      <c r="A4720" s="1"/>
      <c r="B4720" s="1"/>
      <c r="C4720" s="1"/>
      <c r="D4720" s="1"/>
    </row>
    <row r="4721" spans="1:4" x14ac:dyDescent="0.25">
      <c r="A4721" s="1"/>
      <c r="B4721" s="1"/>
      <c r="C4721" s="1"/>
      <c r="D4721" s="1"/>
    </row>
    <row r="4722" spans="1:4" x14ac:dyDescent="0.25">
      <c r="A4722" s="1"/>
      <c r="B4722" s="1"/>
      <c r="C4722" s="1"/>
      <c r="D4722" s="1"/>
    </row>
    <row r="4723" spans="1:4" x14ac:dyDescent="0.25">
      <c r="A4723" s="1"/>
      <c r="B4723" s="1"/>
      <c r="C4723" s="1"/>
      <c r="D4723" s="1"/>
    </row>
    <row r="4724" spans="1:4" x14ac:dyDescent="0.25">
      <c r="A4724" s="1"/>
      <c r="B4724" s="1"/>
      <c r="C4724" s="1"/>
      <c r="D4724" s="1"/>
    </row>
    <row r="4725" spans="1:4" x14ac:dyDescent="0.25">
      <c r="A4725" s="1"/>
      <c r="B4725" s="1"/>
      <c r="C4725" s="1"/>
      <c r="D4725" s="1"/>
    </row>
    <row r="4726" spans="1:4" x14ac:dyDescent="0.25">
      <c r="A4726" s="1"/>
      <c r="B4726" s="1"/>
      <c r="C4726" s="1"/>
      <c r="D4726" s="1"/>
    </row>
    <row r="4727" spans="1:4" x14ac:dyDescent="0.25">
      <c r="A4727" s="1"/>
      <c r="B4727" s="1"/>
      <c r="C4727" s="1"/>
      <c r="D4727" s="1"/>
    </row>
    <row r="4728" spans="1:4" x14ac:dyDescent="0.25">
      <c r="A4728" s="1"/>
      <c r="B4728" s="1"/>
      <c r="C4728" s="1"/>
      <c r="D4728" s="1"/>
    </row>
    <row r="4729" spans="1:4" x14ac:dyDescent="0.25">
      <c r="A4729" s="1"/>
      <c r="B4729" s="1"/>
      <c r="C4729" s="1"/>
      <c r="D4729" s="1"/>
    </row>
    <row r="4730" spans="1:4" x14ac:dyDescent="0.25">
      <c r="A4730" s="1"/>
      <c r="B4730" s="1"/>
      <c r="C4730" s="1"/>
      <c r="D4730" s="1"/>
    </row>
    <row r="4731" spans="1:4" x14ac:dyDescent="0.25">
      <c r="A4731" s="1"/>
      <c r="B4731" s="1"/>
      <c r="C4731" s="1"/>
      <c r="D4731" s="1"/>
    </row>
    <row r="4732" spans="1:4" x14ac:dyDescent="0.25">
      <c r="A4732" s="1"/>
      <c r="B4732" s="1"/>
      <c r="C4732" s="1"/>
      <c r="D4732" s="1"/>
    </row>
    <row r="4733" spans="1:4" x14ac:dyDescent="0.25">
      <c r="A4733" s="1"/>
      <c r="B4733" s="1"/>
      <c r="C4733" s="1"/>
      <c r="D4733" s="1"/>
    </row>
    <row r="4734" spans="1:4" x14ac:dyDescent="0.25">
      <c r="A4734" s="1"/>
      <c r="B4734" s="1"/>
      <c r="C4734" s="1"/>
      <c r="D4734" s="1"/>
    </row>
    <row r="4735" spans="1:4" x14ac:dyDescent="0.25">
      <c r="A4735" s="1"/>
      <c r="B4735" s="1"/>
      <c r="C4735" s="1"/>
      <c r="D4735" s="1"/>
    </row>
    <row r="4736" spans="1:4" x14ac:dyDescent="0.25">
      <c r="A4736" s="1"/>
      <c r="B4736" s="1"/>
      <c r="C4736" s="1"/>
      <c r="D4736" s="1"/>
    </row>
    <row r="4737" spans="1:4" x14ac:dyDescent="0.25">
      <c r="A4737" s="1"/>
      <c r="B4737" s="1"/>
      <c r="C4737" s="1"/>
      <c r="D4737" s="1"/>
    </row>
    <row r="4738" spans="1:4" x14ac:dyDescent="0.25">
      <c r="A4738" s="1"/>
      <c r="B4738" s="1"/>
      <c r="C4738" s="1"/>
      <c r="D4738" s="1"/>
    </row>
    <row r="4739" spans="1:4" x14ac:dyDescent="0.25">
      <c r="A4739" s="1"/>
      <c r="B4739" s="1"/>
      <c r="C4739" s="1"/>
      <c r="D4739" s="1"/>
    </row>
    <row r="4740" spans="1:4" x14ac:dyDescent="0.25">
      <c r="A4740" s="1"/>
      <c r="B4740" s="1"/>
      <c r="C4740" s="1"/>
      <c r="D4740" s="1"/>
    </row>
    <row r="4741" spans="1:4" x14ac:dyDescent="0.25">
      <c r="A4741" s="1"/>
      <c r="B4741" s="1"/>
      <c r="C4741" s="1"/>
      <c r="D4741" s="1"/>
    </row>
    <row r="4742" spans="1:4" x14ac:dyDescent="0.25">
      <c r="A4742" s="1"/>
      <c r="B4742" s="1"/>
      <c r="C4742" s="1"/>
      <c r="D4742" s="1"/>
    </row>
    <row r="4743" spans="1:4" x14ac:dyDescent="0.25">
      <c r="A4743" s="1"/>
      <c r="B4743" s="1"/>
      <c r="C4743" s="1"/>
      <c r="D4743" s="1"/>
    </row>
    <row r="4744" spans="1:4" x14ac:dyDescent="0.25">
      <c r="A4744" s="1"/>
      <c r="B4744" s="1"/>
      <c r="C4744" s="1"/>
      <c r="D4744" s="1"/>
    </row>
    <row r="4745" spans="1:4" x14ac:dyDescent="0.25">
      <c r="A4745" s="1"/>
      <c r="B4745" s="1"/>
      <c r="C4745" s="1"/>
      <c r="D4745" s="1"/>
    </row>
    <row r="4746" spans="1:4" x14ac:dyDescent="0.25">
      <c r="A4746" s="1"/>
      <c r="B4746" s="1"/>
      <c r="C4746" s="1"/>
      <c r="D4746" s="1"/>
    </row>
    <row r="4747" spans="1:4" x14ac:dyDescent="0.25">
      <c r="A4747" s="1"/>
      <c r="B4747" s="1"/>
      <c r="C4747" s="1"/>
      <c r="D4747" s="1"/>
    </row>
    <row r="4748" spans="1:4" x14ac:dyDescent="0.25">
      <c r="A4748" s="1"/>
      <c r="B4748" s="1"/>
      <c r="C4748" s="1"/>
      <c r="D4748" s="1"/>
    </row>
    <row r="4749" spans="1:4" x14ac:dyDescent="0.25">
      <c r="A4749" s="1"/>
      <c r="B4749" s="1"/>
      <c r="C4749" s="1"/>
      <c r="D4749" s="1"/>
    </row>
    <row r="4750" spans="1:4" x14ac:dyDescent="0.25">
      <c r="A4750" s="1"/>
      <c r="B4750" s="1"/>
      <c r="C4750" s="1"/>
      <c r="D4750" s="1"/>
    </row>
    <row r="4751" spans="1:4" x14ac:dyDescent="0.25">
      <c r="A4751" s="1"/>
      <c r="B4751" s="1"/>
      <c r="C4751" s="1"/>
      <c r="D4751" s="1"/>
    </row>
    <row r="4752" spans="1:4" x14ac:dyDescent="0.25">
      <c r="A4752" s="1"/>
      <c r="B4752" s="1"/>
      <c r="C4752" s="1"/>
      <c r="D4752" s="1"/>
    </row>
    <row r="4753" spans="1:4" x14ac:dyDescent="0.25">
      <c r="A4753" s="1"/>
      <c r="B4753" s="1"/>
      <c r="C4753" s="1"/>
      <c r="D4753" s="1"/>
    </row>
    <row r="4754" spans="1:4" x14ac:dyDescent="0.25">
      <c r="A4754" s="1"/>
      <c r="B4754" s="1"/>
      <c r="C4754" s="1"/>
      <c r="D4754" s="1"/>
    </row>
    <row r="4755" spans="1:4" x14ac:dyDescent="0.25">
      <c r="A4755" s="1"/>
      <c r="B4755" s="1"/>
      <c r="C4755" s="1"/>
      <c r="D4755" s="1"/>
    </row>
    <row r="4756" spans="1:4" x14ac:dyDescent="0.25">
      <c r="A4756" s="1"/>
      <c r="B4756" s="1"/>
      <c r="C4756" s="1"/>
      <c r="D4756" s="1"/>
    </row>
    <row r="4757" spans="1:4" x14ac:dyDescent="0.25">
      <c r="A4757" s="1"/>
      <c r="B4757" s="1"/>
      <c r="C4757" s="1"/>
      <c r="D4757" s="1"/>
    </row>
    <row r="4758" spans="1:4" x14ac:dyDescent="0.25">
      <c r="A4758" s="1"/>
      <c r="B4758" s="1"/>
      <c r="C4758" s="1"/>
      <c r="D4758" s="1"/>
    </row>
    <row r="4759" spans="1:4" x14ac:dyDescent="0.25">
      <c r="A4759" s="1"/>
      <c r="B4759" s="1"/>
      <c r="C4759" s="1"/>
      <c r="D4759" s="1"/>
    </row>
    <row r="4760" spans="1:4" x14ac:dyDescent="0.25">
      <c r="A4760" s="1"/>
      <c r="B4760" s="1"/>
      <c r="C4760" s="1"/>
      <c r="D4760" s="1"/>
    </row>
    <row r="4761" spans="1:4" x14ac:dyDescent="0.25">
      <c r="A4761" s="1"/>
      <c r="B4761" s="1"/>
      <c r="C4761" s="1"/>
      <c r="D4761" s="1"/>
    </row>
    <row r="4762" spans="1:4" x14ac:dyDescent="0.25">
      <c r="A4762" s="1"/>
      <c r="B4762" s="1"/>
      <c r="C4762" s="1"/>
      <c r="D4762" s="1"/>
    </row>
    <row r="4763" spans="1:4" x14ac:dyDescent="0.25">
      <c r="A4763" s="1"/>
      <c r="B4763" s="1"/>
      <c r="C4763" s="1"/>
      <c r="D4763" s="1"/>
    </row>
    <row r="4764" spans="1:4" x14ac:dyDescent="0.25">
      <c r="A4764" s="1"/>
      <c r="B4764" s="1"/>
      <c r="C4764" s="1"/>
      <c r="D4764" s="1"/>
    </row>
    <row r="4765" spans="1:4" x14ac:dyDescent="0.25">
      <c r="A4765" s="1"/>
      <c r="B4765" s="1"/>
      <c r="C4765" s="1"/>
      <c r="D4765" s="1"/>
    </row>
    <row r="4766" spans="1:4" x14ac:dyDescent="0.25">
      <c r="A4766" s="1"/>
      <c r="B4766" s="1"/>
      <c r="C4766" s="1"/>
      <c r="D4766" s="1"/>
    </row>
    <row r="4767" spans="1:4" x14ac:dyDescent="0.25">
      <c r="A4767" s="1"/>
      <c r="B4767" s="1"/>
      <c r="C4767" s="1"/>
      <c r="D4767" s="1"/>
    </row>
    <row r="4768" spans="1:4" x14ac:dyDescent="0.25">
      <c r="A4768" s="1"/>
      <c r="B4768" s="1"/>
      <c r="C4768" s="1"/>
      <c r="D4768" s="1"/>
    </row>
    <row r="4769" spans="1:4" x14ac:dyDescent="0.25">
      <c r="A4769" s="1"/>
      <c r="B4769" s="1"/>
      <c r="C4769" s="1"/>
      <c r="D4769" s="1"/>
    </row>
    <row r="4770" spans="1:4" x14ac:dyDescent="0.25">
      <c r="A4770" s="1"/>
      <c r="B4770" s="1"/>
      <c r="C4770" s="1"/>
      <c r="D4770" s="1"/>
    </row>
    <row r="4771" spans="1:4" x14ac:dyDescent="0.25">
      <c r="A4771" s="1"/>
      <c r="B4771" s="1"/>
      <c r="C4771" s="1"/>
      <c r="D4771" s="1"/>
    </row>
    <row r="4772" spans="1:4" x14ac:dyDescent="0.25">
      <c r="A4772" s="1"/>
      <c r="B4772" s="1"/>
      <c r="C4772" s="1"/>
      <c r="D4772" s="1"/>
    </row>
    <row r="4773" spans="1:4" x14ac:dyDescent="0.25">
      <c r="A4773" s="1"/>
      <c r="B4773" s="1"/>
      <c r="C4773" s="1"/>
      <c r="D4773" s="1"/>
    </row>
    <row r="4774" spans="1:4" x14ac:dyDescent="0.25">
      <c r="A4774" s="1"/>
      <c r="B4774" s="1"/>
      <c r="C4774" s="1"/>
      <c r="D4774" s="1"/>
    </row>
    <row r="4775" spans="1:4" x14ac:dyDescent="0.25">
      <c r="A4775" s="1"/>
      <c r="B4775" s="1"/>
      <c r="C4775" s="1"/>
      <c r="D4775" s="1"/>
    </row>
    <row r="4776" spans="1:4" x14ac:dyDescent="0.25">
      <c r="A4776" s="1"/>
      <c r="B4776" s="1"/>
      <c r="C4776" s="1"/>
      <c r="D4776" s="1"/>
    </row>
    <row r="4777" spans="1:4" x14ac:dyDescent="0.25">
      <c r="A4777" s="1"/>
      <c r="B4777" s="1"/>
      <c r="C4777" s="1"/>
      <c r="D4777" s="1"/>
    </row>
    <row r="4778" spans="1:4" x14ac:dyDescent="0.25">
      <c r="A4778" s="1"/>
      <c r="B4778" s="1"/>
      <c r="C4778" s="1"/>
      <c r="D4778" s="1"/>
    </row>
    <row r="4779" spans="1:4" x14ac:dyDescent="0.25">
      <c r="A4779" s="1"/>
      <c r="B4779" s="1"/>
      <c r="C4779" s="1"/>
      <c r="D4779" s="1"/>
    </row>
    <row r="4780" spans="1:4" x14ac:dyDescent="0.25">
      <c r="A4780" s="1"/>
      <c r="B4780" s="1"/>
      <c r="C4780" s="1"/>
      <c r="D4780" s="1"/>
    </row>
    <row r="4781" spans="1:4" x14ac:dyDescent="0.25">
      <c r="A4781" s="1"/>
      <c r="B4781" s="1"/>
      <c r="C4781" s="1"/>
      <c r="D4781" s="1"/>
    </row>
    <row r="4782" spans="1:4" x14ac:dyDescent="0.25">
      <c r="A4782" s="1"/>
      <c r="B4782" s="1"/>
      <c r="C4782" s="1"/>
      <c r="D4782" s="1"/>
    </row>
    <row r="4783" spans="1:4" x14ac:dyDescent="0.25">
      <c r="A4783" s="1"/>
      <c r="B4783" s="1"/>
      <c r="C4783" s="1"/>
      <c r="D4783" s="1"/>
    </row>
    <row r="4784" spans="1:4" x14ac:dyDescent="0.25">
      <c r="A4784" s="1"/>
      <c r="B4784" s="1"/>
      <c r="C4784" s="1"/>
      <c r="D4784" s="1"/>
    </row>
    <row r="4785" spans="1:4" x14ac:dyDescent="0.25">
      <c r="A4785" s="1"/>
      <c r="B4785" s="1"/>
      <c r="C4785" s="1"/>
      <c r="D4785" s="1"/>
    </row>
    <row r="4786" spans="1:4" x14ac:dyDescent="0.25">
      <c r="A4786" s="1"/>
      <c r="B4786" s="1"/>
      <c r="C4786" s="1"/>
      <c r="D4786" s="1"/>
    </row>
    <row r="4787" spans="1:4" x14ac:dyDescent="0.25">
      <c r="A4787" s="1"/>
      <c r="B4787" s="1"/>
      <c r="C4787" s="1"/>
      <c r="D4787" s="1"/>
    </row>
    <row r="4788" spans="1:4" x14ac:dyDescent="0.25">
      <c r="A4788" s="1"/>
      <c r="B4788" s="1"/>
      <c r="C4788" s="1"/>
      <c r="D4788" s="1"/>
    </row>
    <row r="4789" spans="1:4" x14ac:dyDescent="0.25">
      <c r="A4789" s="1"/>
      <c r="B4789" s="1"/>
      <c r="C4789" s="1"/>
      <c r="D4789" s="1"/>
    </row>
    <row r="4790" spans="1:4" x14ac:dyDescent="0.25">
      <c r="A4790" s="1"/>
      <c r="B4790" s="1"/>
      <c r="C4790" s="1"/>
      <c r="D4790" s="1"/>
    </row>
    <row r="4791" spans="1:4" x14ac:dyDescent="0.25">
      <c r="A4791" s="1"/>
      <c r="B4791" s="1"/>
      <c r="C4791" s="1"/>
      <c r="D4791" s="1"/>
    </row>
    <row r="4792" spans="1:4" x14ac:dyDescent="0.25">
      <c r="A4792" s="1"/>
      <c r="B4792" s="1"/>
      <c r="C4792" s="1"/>
      <c r="D4792" s="1"/>
    </row>
    <row r="4793" spans="1:4" x14ac:dyDescent="0.25">
      <c r="A4793" s="1"/>
      <c r="B4793" s="1"/>
      <c r="C4793" s="1"/>
      <c r="D4793" s="1"/>
    </row>
    <row r="4794" spans="1:4" x14ac:dyDescent="0.25">
      <c r="A4794" s="1"/>
      <c r="B4794" s="1"/>
      <c r="C4794" s="1"/>
      <c r="D4794" s="1"/>
    </row>
    <row r="4795" spans="1:4" x14ac:dyDescent="0.25">
      <c r="A4795" s="1"/>
      <c r="B4795" s="1"/>
      <c r="C4795" s="1"/>
      <c r="D4795" s="1"/>
    </row>
    <row r="4796" spans="1:4" x14ac:dyDescent="0.25">
      <c r="A4796" s="1"/>
      <c r="B4796" s="1"/>
      <c r="C4796" s="1"/>
      <c r="D4796" s="1"/>
    </row>
    <row r="4797" spans="1:4" x14ac:dyDescent="0.25">
      <c r="A4797" s="1"/>
      <c r="B4797" s="1"/>
      <c r="C4797" s="1"/>
      <c r="D4797" s="1"/>
    </row>
    <row r="4798" spans="1:4" x14ac:dyDescent="0.25">
      <c r="A4798" s="1"/>
      <c r="B4798" s="1"/>
      <c r="C4798" s="1"/>
      <c r="D4798" s="1"/>
    </row>
    <row r="4799" spans="1:4" x14ac:dyDescent="0.25">
      <c r="A4799" s="1"/>
      <c r="B4799" s="1"/>
      <c r="C4799" s="1"/>
      <c r="D4799" s="1"/>
    </row>
    <row r="4800" spans="1:4" x14ac:dyDescent="0.25">
      <c r="A4800" s="1"/>
      <c r="B4800" s="1"/>
      <c r="C4800" s="1"/>
      <c r="D4800" s="1"/>
    </row>
    <row r="4801" spans="1:4" x14ac:dyDescent="0.25">
      <c r="A4801" s="1"/>
      <c r="B4801" s="1"/>
      <c r="C4801" s="1"/>
      <c r="D4801" s="1"/>
    </row>
    <row r="4802" spans="1:4" x14ac:dyDescent="0.25">
      <c r="A4802" s="1"/>
      <c r="B4802" s="1"/>
      <c r="C4802" s="1"/>
      <c r="D4802" s="1"/>
    </row>
    <row r="4803" spans="1:4" x14ac:dyDescent="0.25">
      <c r="A4803" s="1"/>
      <c r="B4803" s="1"/>
      <c r="C4803" s="1"/>
      <c r="D4803" s="1"/>
    </row>
    <row r="4804" spans="1:4" x14ac:dyDescent="0.25">
      <c r="A4804" s="1"/>
      <c r="B4804" s="1"/>
      <c r="C4804" s="1"/>
      <c r="D4804" s="1"/>
    </row>
    <row r="4805" spans="1:4" x14ac:dyDescent="0.25">
      <c r="A4805" s="1"/>
      <c r="B4805" s="1"/>
      <c r="C4805" s="1"/>
      <c r="D4805" s="1"/>
    </row>
    <row r="4806" spans="1:4" x14ac:dyDescent="0.25">
      <c r="A4806" s="1"/>
      <c r="B4806" s="1"/>
      <c r="C4806" s="1"/>
      <c r="D4806" s="1"/>
    </row>
    <row r="4807" spans="1:4" x14ac:dyDescent="0.25">
      <c r="A4807" s="1"/>
      <c r="B4807" s="1"/>
      <c r="C4807" s="1"/>
      <c r="D4807" s="1"/>
    </row>
    <row r="4808" spans="1:4" x14ac:dyDescent="0.25">
      <c r="A4808" s="1"/>
      <c r="B4808" s="1"/>
      <c r="C4808" s="1"/>
      <c r="D4808" s="1"/>
    </row>
    <row r="4809" spans="1:4" x14ac:dyDescent="0.25">
      <c r="A4809" s="1"/>
      <c r="B4809" s="1"/>
      <c r="C4809" s="1"/>
      <c r="D4809" s="1"/>
    </row>
    <row r="4810" spans="1:4" x14ac:dyDescent="0.25">
      <c r="A4810" s="1"/>
      <c r="B4810" s="1"/>
      <c r="C4810" s="1"/>
      <c r="D4810" s="1"/>
    </row>
    <row r="4811" spans="1:4" x14ac:dyDescent="0.25">
      <c r="A4811" s="1"/>
      <c r="B4811" s="1"/>
      <c r="C4811" s="1"/>
      <c r="D4811" s="1"/>
    </row>
    <row r="4812" spans="1:4" x14ac:dyDescent="0.25">
      <c r="A4812" s="1"/>
      <c r="B4812" s="1"/>
      <c r="C4812" s="1"/>
      <c r="D4812" s="1"/>
    </row>
    <row r="4813" spans="1:4" x14ac:dyDescent="0.25">
      <c r="A4813" s="1"/>
      <c r="B4813" s="1"/>
      <c r="C4813" s="1"/>
      <c r="D4813" s="1"/>
    </row>
    <row r="4814" spans="1:4" x14ac:dyDescent="0.25">
      <c r="A4814" s="1"/>
      <c r="B4814" s="1"/>
      <c r="C4814" s="1"/>
      <c r="D4814" s="1"/>
    </row>
    <row r="4815" spans="1:4" x14ac:dyDescent="0.25">
      <c r="A4815" s="1"/>
      <c r="B4815" s="1"/>
      <c r="C4815" s="1"/>
      <c r="D4815" s="1"/>
    </row>
    <row r="4816" spans="1:4" x14ac:dyDescent="0.25">
      <c r="A4816" s="1"/>
      <c r="B4816" s="1"/>
      <c r="C4816" s="1"/>
      <c r="D4816" s="1"/>
    </row>
    <row r="4817" spans="1:4" x14ac:dyDescent="0.25">
      <c r="A4817" s="1"/>
      <c r="B4817" s="1"/>
      <c r="C4817" s="1"/>
      <c r="D4817" s="1"/>
    </row>
    <row r="4818" spans="1:4" x14ac:dyDescent="0.25">
      <c r="A4818" s="1"/>
      <c r="B4818" s="1"/>
      <c r="C4818" s="1"/>
      <c r="D4818" s="1"/>
    </row>
    <row r="4819" spans="1:4" x14ac:dyDescent="0.25">
      <c r="A4819" s="1"/>
      <c r="B4819" s="1"/>
      <c r="C4819" s="1"/>
      <c r="D4819" s="1"/>
    </row>
    <row r="4820" spans="1:4" x14ac:dyDescent="0.25">
      <c r="A4820" s="1"/>
      <c r="B4820" s="1"/>
      <c r="C4820" s="1"/>
      <c r="D4820" s="1"/>
    </row>
    <row r="4821" spans="1:4" x14ac:dyDescent="0.25">
      <c r="A4821" s="1"/>
      <c r="B4821" s="1"/>
      <c r="C4821" s="1"/>
      <c r="D4821" s="1"/>
    </row>
    <row r="4822" spans="1:4" x14ac:dyDescent="0.25">
      <c r="A4822" s="1"/>
      <c r="B4822" s="1"/>
      <c r="C4822" s="1"/>
      <c r="D4822" s="1"/>
    </row>
    <row r="4823" spans="1:4" x14ac:dyDescent="0.25">
      <c r="A4823" s="1"/>
      <c r="B4823" s="1"/>
      <c r="C4823" s="1"/>
      <c r="D4823" s="1"/>
    </row>
    <row r="4824" spans="1:4" x14ac:dyDescent="0.25">
      <c r="A4824" s="1"/>
      <c r="B4824" s="1"/>
      <c r="C4824" s="1"/>
      <c r="D4824" s="1"/>
    </row>
    <row r="4825" spans="1:4" x14ac:dyDescent="0.25">
      <c r="A4825" s="1"/>
      <c r="B4825" s="1"/>
      <c r="C4825" s="1"/>
      <c r="D4825" s="1"/>
    </row>
    <row r="4826" spans="1:4" x14ac:dyDescent="0.25">
      <c r="A4826" s="1"/>
      <c r="B4826" s="1"/>
      <c r="C4826" s="1"/>
      <c r="D4826" s="1"/>
    </row>
    <row r="4827" spans="1:4" x14ac:dyDescent="0.25">
      <c r="A4827" s="1"/>
      <c r="B4827" s="1"/>
      <c r="C4827" s="1"/>
      <c r="D4827" s="1"/>
    </row>
    <row r="4828" spans="1:4" x14ac:dyDescent="0.25">
      <c r="A4828" s="1"/>
      <c r="B4828" s="1"/>
      <c r="C4828" s="1"/>
      <c r="D4828" s="1"/>
    </row>
    <row r="4829" spans="1:4" x14ac:dyDescent="0.25">
      <c r="A4829" s="1"/>
      <c r="B4829" s="1"/>
      <c r="C4829" s="1"/>
      <c r="D4829" s="1"/>
    </row>
    <row r="4830" spans="1:4" x14ac:dyDescent="0.25">
      <c r="A4830" s="1"/>
      <c r="B4830" s="1"/>
      <c r="C4830" s="1"/>
      <c r="D4830" s="1"/>
    </row>
    <row r="4831" spans="1:4" x14ac:dyDescent="0.25">
      <c r="A4831" s="1"/>
      <c r="B4831" s="1"/>
      <c r="C4831" s="1"/>
      <c r="D4831" s="1"/>
    </row>
    <row r="4832" spans="1:4" x14ac:dyDescent="0.25">
      <c r="A4832" s="1"/>
      <c r="B4832" s="1"/>
      <c r="C4832" s="1"/>
      <c r="D4832" s="1"/>
    </row>
    <row r="4833" spans="1:4" x14ac:dyDescent="0.25">
      <c r="A4833" s="1"/>
      <c r="B4833" s="1"/>
      <c r="C4833" s="1"/>
      <c r="D4833" s="1"/>
    </row>
    <row r="4834" spans="1:4" x14ac:dyDescent="0.25">
      <c r="A4834" s="1"/>
      <c r="B4834" s="1"/>
      <c r="C4834" s="1"/>
      <c r="D4834" s="1"/>
    </row>
    <row r="4835" spans="1:4" x14ac:dyDescent="0.25">
      <c r="A4835" s="1"/>
      <c r="B4835" s="1"/>
      <c r="C4835" s="1"/>
      <c r="D4835" s="1"/>
    </row>
    <row r="4836" spans="1:4" x14ac:dyDescent="0.25">
      <c r="A4836" s="1"/>
      <c r="B4836" s="1"/>
      <c r="C4836" s="1"/>
      <c r="D4836" s="1"/>
    </row>
    <row r="4837" spans="1:4" x14ac:dyDescent="0.25">
      <c r="A4837" s="1"/>
      <c r="B4837" s="1"/>
      <c r="C4837" s="1"/>
      <c r="D4837" s="1"/>
    </row>
    <row r="4838" spans="1:4" x14ac:dyDescent="0.25">
      <c r="A4838" s="1"/>
      <c r="B4838" s="1"/>
      <c r="C4838" s="1"/>
      <c r="D4838" s="1"/>
    </row>
    <row r="4839" spans="1:4" x14ac:dyDescent="0.25">
      <c r="A4839" s="1"/>
      <c r="B4839" s="1"/>
      <c r="C4839" s="1"/>
      <c r="D4839" s="1"/>
    </row>
    <row r="4840" spans="1:4" x14ac:dyDescent="0.25">
      <c r="A4840" s="1"/>
      <c r="B4840" s="1"/>
      <c r="C4840" s="1"/>
      <c r="D4840" s="1"/>
    </row>
    <row r="4841" spans="1:4" x14ac:dyDescent="0.25">
      <c r="A4841" s="1"/>
      <c r="B4841" s="1"/>
      <c r="C4841" s="1"/>
      <c r="D4841" s="1"/>
    </row>
    <row r="4842" spans="1:4" x14ac:dyDescent="0.25">
      <c r="A4842" s="1"/>
      <c r="B4842" s="1"/>
      <c r="C4842" s="1"/>
      <c r="D4842" s="1"/>
    </row>
    <row r="4843" spans="1:4" x14ac:dyDescent="0.25">
      <c r="A4843" s="1"/>
      <c r="B4843" s="1"/>
      <c r="C4843" s="1"/>
      <c r="D4843" s="1"/>
    </row>
    <row r="4844" spans="1:4" x14ac:dyDescent="0.25">
      <c r="A4844" s="1"/>
      <c r="B4844" s="1"/>
      <c r="C4844" s="1"/>
      <c r="D4844" s="1"/>
    </row>
    <row r="4845" spans="1:4" x14ac:dyDescent="0.25">
      <c r="A4845" s="1"/>
      <c r="B4845" s="1"/>
      <c r="C4845" s="1"/>
      <c r="D4845" s="1"/>
    </row>
    <row r="4846" spans="1:4" x14ac:dyDescent="0.25">
      <c r="A4846" s="1"/>
      <c r="B4846" s="1"/>
      <c r="C4846" s="1"/>
      <c r="D4846" s="1"/>
    </row>
    <row r="4847" spans="1:4" x14ac:dyDescent="0.25">
      <c r="A4847" s="1"/>
      <c r="B4847" s="1"/>
      <c r="C4847" s="1"/>
      <c r="D4847" s="1"/>
    </row>
    <row r="4848" spans="1:4" x14ac:dyDescent="0.25">
      <c r="A4848" s="1"/>
      <c r="B4848" s="1"/>
      <c r="C4848" s="1"/>
      <c r="D4848" s="1"/>
    </row>
    <row r="4849" spans="1:4" x14ac:dyDescent="0.25">
      <c r="A4849" s="1"/>
      <c r="B4849" s="1"/>
      <c r="C4849" s="1"/>
      <c r="D4849" s="1"/>
    </row>
    <row r="4850" spans="1:4" x14ac:dyDescent="0.25">
      <c r="A4850" s="1"/>
      <c r="B4850" s="1"/>
      <c r="C4850" s="1"/>
      <c r="D4850" s="1"/>
    </row>
    <row r="4851" spans="1:4" x14ac:dyDescent="0.25">
      <c r="A4851" s="1"/>
      <c r="B4851" s="1"/>
      <c r="C4851" s="1"/>
      <c r="D4851" s="1"/>
    </row>
    <row r="4852" spans="1:4" x14ac:dyDescent="0.25">
      <c r="A4852" s="1"/>
      <c r="B4852" s="1"/>
      <c r="C4852" s="1"/>
      <c r="D4852" s="1"/>
    </row>
    <row r="4853" spans="1:4" x14ac:dyDescent="0.25">
      <c r="A4853" s="1"/>
      <c r="B4853" s="1"/>
      <c r="C4853" s="1"/>
      <c r="D4853" s="1"/>
    </row>
    <row r="4854" spans="1:4" x14ac:dyDescent="0.25">
      <c r="A4854" s="1"/>
      <c r="B4854" s="1"/>
      <c r="C4854" s="1"/>
      <c r="D4854" s="1"/>
    </row>
    <row r="4855" spans="1:4" x14ac:dyDescent="0.25">
      <c r="A4855" s="1"/>
      <c r="B4855" s="1"/>
      <c r="C4855" s="1"/>
      <c r="D4855" s="1"/>
    </row>
    <row r="4856" spans="1:4" x14ac:dyDescent="0.25">
      <c r="A4856" s="1"/>
      <c r="B4856" s="1"/>
      <c r="C4856" s="1"/>
      <c r="D4856" s="1"/>
    </row>
    <row r="4857" spans="1:4" x14ac:dyDescent="0.25">
      <c r="A4857" s="1"/>
      <c r="B4857" s="1"/>
      <c r="C4857" s="1"/>
      <c r="D4857" s="1"/>
    </row>
    <row r="4858" spans="1:4" x14ac:dyDescent="0.25">
      <c r="A4858" s="1"/>
      <c r="B4858" s="1"/>
      <c r="C4858" s="1"/>
      <c r="D4858" s="1"/>
    </row>
    <row r="4859" spans="1:4" x14ac:dyDescent="0.25">
      <c r="A4859" s="1"/>
      <c r="B4859" s="1"/>
      <c r="C4859" s="1"/>
      <c r="D4859" s="1"/>
    </row>
    <row r="4860" spans="1:4" x14ac:dyDescent="0.25">
      <c r="A4860" s="1"/>
      <c r="B4860" s="1"/>
      <c r="C4860" s="1"/>
      <c r="D4860" s="1"/>
    </row>
    <row r="4861" spans="1:4" x14ac:dyDescent="0.25">
      <c r="A4861" s="1"/>
      <c r="B4861" s="1"/>
      <c r="C4861" s="1"/>
      <c r="D4861" s="1"/>
    </row>
    <row r="4862" spans="1:4" x14ac:dyDescent="0.25">
      <c r="A4862" s="1"/>
      <c r="B4862" s="1"/>
      <c r="C4862" s="1"/>
      <c r="D4862" s="1"/>
    </row>
    <row r="4863" spans="1:4" x14ac:dyDescent="0.25">
      <c r="A4863" s="1"/>
      <c r="B4863" s="1"/>
      <c r="C4863" s="1"/>
      <c r="D4863" s="1"/>
    </row>
    <row r="4864" spans="1:4" x14ac:dyDescent="0.25">
      <c r="A4864" s="1"/>
      <c r="B4864" s="1"/>
      <c r="C4864" s="1"/>
      <c r="D4864" s="1"/>
    </row>
    <row r="4865" spans="1:4" x14ac:dyDescent="0.25">
      <c r="A4865" s="1"/>
      <c r="B4865" s="1"/>
      <c r="C4865" s="1"/>
      <c r="D4865" s="1"/>
    </row>
    <row r="4866" spans="1:4" x14ac:dyDescent="0.25">
      <c r="A4866" s="1"/>
      <c r="B4866" s="1"/>
      <c r="C4866" s="1"/>
      <c r="D4866" s="1"/>
    </row>
    <row r="4867" spans="1:4" x14ac:dyDescent="0.25">
      <c r="A4867" s="1"/>
      <c r="B4867" s="1"/>
      <c r="C4867" s="1"/>
      <c r="D4867" s="1"/>
    </row>
    <row r="4868" spans="1:4" x14ac:dyDescent="0.25">
      <c r="A4868" s="1"/>
      <c r="B4868" s="1"/>
      <c r="C4868" s="1"/>
      <c r="D4868" s="1"/>
    </row>
    <row r="4869" spans="1:4" x14ac:dyDescent="0.25">
      <c r="A4869" s="1"/>
      <c r="B4869" s="1"/>
      <c r="C4869" s="1"/>
      <c r="D4869" s="1"/>
    </row>
    <row r="4870" spans="1:4" x14ac:dyDescent="0.25">
      <c r="A4870" s="1"/>
      <c r="B4870" s="1"/>
      <c r="C4870" s="1"/>
      <c r="D4870" s="1"/>
    </row>
    <row r="4871" spans="1:4" x14ac:dyDescent="0.25">
      <c r="A4871" s="1"/>
      <c r="B4871" s="1"/>
      <c r="C4871" s="1"/>
      <c r="D4871" s="1"/>
    </row>
    <row r="4872" spans="1:4" x14ac:dyDescent="0.25">
      <c r="A4872" s="1"/>
      <c r="B4872" s="1"/>
      <c r="C4872" s="1"/>
      <c r="D4872" s="1"/>
    </row>
    <row r="4873" spans="1:4" x14ac:dyDescent="0.25">
      <c r="A4873" s="1"/>
      <c r="B4873" s="1"/>
      <c r="C4873" s="1"/>
      <c r="D4873" s="1"/>
    </row>
    <row r="4874" spans="1:4" x14ac:dyDescent="0.25">
      <c r="A4874" s="1"/>
      <c r="B4874" s="1"/>
      <c r="C4874" s="1"/>
      <c r="D4874" s="1"/>
    </row>
    <row r="4875" spans="1:4" x14ac:dyDescent="0.25">
      <c r="A4875" s="1"/>
      <c r="B4875" s="1"/>
      <c r="C4875" s="1"/>
      <c r="D4875" s="1"/>
    </row>
    <row r="4876" spans="1:4" x14ac:dyDescent="0.25">
      <c r="A4876" s="1"/>
      <c r="B4876" s="1"/>
      <c r="C4876" s="1"/>
      <c r="D4876" s="1"/>
    </row>
    <row r="4877" spans="1:4" x14ac:dyDescent="0.25">
      <c r="A4877" s="1"/>
      <c r="B4877" s="1"/>
      <c r="C4877" s="1"/>
      <c r="D4877" s="1"/>
    </row>
    <row r="4878" spans="1:4" x14ac:dyDescent="0.25">
      <c r="A4878" s="1"/>
      <c r="B4878" s="1"/>
      <c r="C4878" s="1"/>
      <c r="D4878" s="1"/>
    </row>
    <row r="4879" spans="1:4" x14ac:dyDescent="0.25">
      <c r="A4879" s="1"/>
      <c r="B4879" s="1"/>
      <c r="C4879" s="1"/>
      <c r="D4879" s="1"/>
    </row>
    <row r="4880" spans="1:4" x14ac:dyDescent="0.25">
      <c r="A4880" s="1"/>
      <c r="B4880" s="1"/>
      <c r="C4880" s="1"/>
      <c r="D4880" s="1"/>
    </row>
    <row r="4881" spans="1:4" x14ac:dyDescent="0.25">
      <c r="A4881" s="1"/>
      <c r="B4881" s="1"/>
      <c r="C4881" s="1"/>
      <c r="D4881" s="1"/>
    </row>
    <row r="4882" spans="1:4" x14ac:dyDescent="0.25">
      <c r="A4882" s="1"/>
      <c r="B4882" s="1"/>
      <c r="C4882" s="1"/>
      <c r="D4882" s="1"/>
    </row>
    <row r="4883" spans="1:4" x14ac:dyDescent="0.25">
      <c r="A4883" s="1"/>
      <c r="B4883" s="1"/>
      <c r="C4883" s="1"/>
      <c r="D4883" s="1"/>
    </row>
    <row r="4884" spans="1:4" x14ac:dyDescent="0.25">
      <c r="A4884" s="1"/>
      <c r="B4884" s="1"/>
      <c r="C4884" s="1"/>
      <c r="D4884" s="1"/>
    </row>
    <row r="4885" spans="1:4" x14ac:dyDescent="0.25">
      <c r="A4885" s="1"/>
      <c r="B4885" s="1"/>
      <c r="C4885" s="1"/>
      <c r="D4885" s="1"/>
    </row>
    <row r="4886" spans="1:4" x14ac:dyDescent="0.25">
      <c r="A4886" s="1"/>
      <c r="B4886" s="1"/>
      <c r="C4886" s="1"/>
      <c r="D4886" s="1"/>
    </row>
    <row r="4887" spans="1:4" x14ac:dyDescent="0.25">
      <c r="A4887" s="1"/>
      <c r="B4887" s="1"/>
      <c r="C4887" s="1"/>
      <c r="D4887" s="1"/>
    </row>
    <row r="4888" spans="1:4" x14ac:dyDescent="0.25">
      <c r="A4888" s="1"/>
      <c r="B4888" s="1"/>
      <c r="C4888" s="1"/>
      <c r="D4888" s="1"/>
    </row>
    <row r="4889" spans="1:4" x14ac:dyDescent="0.25">
      <c r="A4889" s="1"/>
      <c r="B4889" s="1"/>
      <c r="C4889" s="1"/>
      <c r="D4889" s="1"/>
    </row>
    <row r="4890" spans="1:4" x14ac:dyDescent="0.25">
      <c r="A4890" s="1"/>
      <c r="B4890" s="1"/>
      <c r="C4890" s="1"/>
      <c r="D4890" s="1"/>
    </row>
    <row r="4891" spans="1:4" x14ac:dyDescent="0.25">
      <c r="A4891" s="1"/>
      <c r="B4891" s="1"/>
      <c r="C4891" s="1"/>
      <c r="D4891" s="1"/>
    </row>
    <row r="4892" spans="1:4" x14ac:dyDescent="0.25">
      <c r="A4892" s="1"/>
      <c r="B4892" s="1"/>
      <c r="C4892" s="1"/>
      <c r="D4892" s="1"/>
    </row>
    <row r="4893" spans="1:4" x14ac:dyDescent="0.25">
      <c r="A4893" s="1"/>
      <c r="B4893" s="1"/>
      <c r="C4893" s="1"/>
      <c r="D4893" s="1"/>
    </row>
    <row r="4894" spans="1:4" x14ac:dyDescent="0.25">
      <c r="A4894" s="1"/>
      <c r="B4894" s="1"/>
      <c r="C4894" s="1"/>
      <c r="D4894" s="1"/>
    </row>
    <row r="4895" spans="1:4" x14ac:dyDescent="0.25">
      <c r="A4895" s="1"/>
      <c r="B4895" s="1"/>
      <c r="C4895" s="1"/>
      <c r="D4895" s="1"/>
    </row>
    <row r="4896" spans="1:4" x14ac:dyDescent="0.25">
      <c r="A4896" s="1"/>
      <c r="B4896" s="1"/>
      <c r="C4896" s="1"/>
      <c r="D4896" s="1"/>
    </row>
    <row r="4897" spans="1:4" x14ac:dyDescent="0.25">
      <c r="A4897" s="1"/>
      <c r="B4897" s="1"/>
      <c r="C4897" s="1"/>
      <c r="D4897" s="1"/>
    </row>
    <row r="4898" spans="1:4" x14ac:dyDescent="0.25">
      <c r="A4898" s="1"/>
      <c r="B4898" s="1"/>
      <c r="C4898" s="1"/>
      <c r="D4898" s="1"/>
    </row>
    <row r="4899" spans="1:4" x14ac:dyDescent="0.25">
      <c r="A4899" s="1"/>
      <c r="B4899" s="1"/>
      <c r="C4899" s="1"/>
      <c r="D4899" s="1"/>
    </row>
    <row r="4900" spans="1:4" x14ac:dyDescent="0.25">
      <c r="A4900" s="1"/>
      <c r="B4900" s="1"/>
      <c r="C4900" s="1"/>
      <c r="D4900" s="1"/>
    </row>
    <row r="4901" spans="1:4" x14ac:dyDescent="0.25">
      <c r="A4901" s="1"/>
      <c r="B4901" s="1"/>
      <c r="C4901" s="1"/>
      <c r="D4901" s="1"/>
    </row>
    <row r="4902" spans="1:4" x14ac:dyDescent="0.25">
      <c r="A4902" s="1"/>
      <c r="B4902" s="1"/>
      <c r="C4902" s="1"/>
      <c r="D4902" s="1"/>
    </row>
    <row r="4903" spans="1:4" x14ac:dyDescent="0.25">
      <c r="A4903" s="1"/>
      <c r="B4903" s="1"/>
      <c r="C4903" s="1"/>
      <c r="D4903" s="1"/>
    </row>
    <row r="4904" spans="1:4" x14ac:dyDescent="0.25">
      <c r="A4904" s="1"/>
      <c r="B4904" s="1"/>
      <c r="C4904" s="1"/>
      <c r="D4904" s="1"/>
    </row>
    <row r="4905" spans="1:4" x14ac:dyDescent="0.25">
      <c r="A4905" s="1"/>
      <c r="B4905" s="1"/>
      <c r="C4905" s="1"/>
      <c r="D4905" s="1"/>
    </row>
    <row r="4906" spans="1:4" x14ac:dyDescent="0.25">
      <c r="A4906" s="1"/>
      <c r="B4906" s="1"/>
      <c r="C4906" s="1"/>
      <c r="D4906" s="1"/>
    </row>
    <row r="4907" spans="1:4" x14ac:dyDescent="0.25">
      <c r="A4907" s="1"/>
      <c r="B4907" s="1"/>
      <c r="C4907" s="1"/>
      <c r="D4907" s="1"/>
    </row>
    <row r="4908" spans="1:4" x14ac:dyDescent="0.25">
      <c r="A4908" s="1"/>
      <c r="B4908" s="1"/>
      <c r="C4908" s="1"/>
      <c r="D4908" s="1"/>
    </row>
    <row r="4909" spans="1:4" x14ac:dyDescent="0.25">
      <c r="A4909" s="1"/>
      <c r="B4909" s="1"/>
      <c r="C4909" s="1"/>
      <c r="D4909" s="1"/>
    </row>
    <row r="4910" spans="1:4" x14ac:dyDescent="0.25">
      <c r="A4910" s="1"/>
      <c r="B4910" s="1"/>
      <c r="C4910" s="1"/>
      <c r="D4910" s="1"/>
    </row>
    <row r="4911" spans="1:4" x14ac:dyDescent="0.25">
      <c r="A4911" s="1"/>
      <c r="B4911" s="1"/>
      <c r="C4911" s="1"/>
      <c r="D4911" s="1"/>
    </row>
    <row r="4912" spans="1:4" x14ac:dyDescent="0.25">
      <c r="A4912" s="1"/>
      <c r="B4912" s="1"/>
      <c r="C4912" s="1"/>
      <c r="D4912" s="1"/>
    </row>
    <row r="4913" spans="1:4" x14ac:dyDescent="0.25">
      <c r="A4913" s="1"/>
      <c r="B4913" s="1"/>
      <c r="C4913" s="1"/>
      <c r="D4913" s="1"/>
    </row>
    <row r="4914" spans="1:4" x14ac:dyDescent="0.25">
      <c r="A4914" s="1"/>
      <c r="B4914" s="1"/>
      <c r="C4914" s="1"/>
      <c r="D4914" s="1"/>
    </row>
    <row r="4915" spans="1:4" x14ac:dyDescent="0.25">
      <c r="A4915" s="1"/>
      <c r="B4915" s="1"/>
      <c r="C4915" s="1"/>
      <c r="D4915" s="1"/>
    </row>
    <row r="4916" spans="1:4" x14ac:dyDescent="0.25">
      <c r="A4916" s="1"/>
      <c r="B4916" s="1"/>
      <c r="C4916" s="1"/>
      <c r="D4916" s="1"/>
    </row>
    <row r="4917" spans="1:4" x14ac:dyDescent="0.25">
      <c r="A4917" s="1"/>
      <c r="B4917" s="1"/>
      <c r="C4917" s="1"/>
      <c r="D4917" s="1"/>
    </row>
    <row r="4918" spans="1:4" x14ac:dyDescent="0.25">
      <c r="A4918" s="1"/>
      <c r="B4918" s="1"/>
      <c r="C4918" s="1"/>
      <c r="D4918" s="1"/>
    </row>
    <row r="4919" spans="1:4" x14ac:dyDescent="0.25">
      <c r="A4919" s="1"/>
      <c r="B4919" s="1"/>
      <c r="C4919" s="1"/>
      <c r="D4919" s="1"/>
    </row>
    <row r="4920" spans="1:4" x14ac:dyDescent="0.25">
      <c r="A4920" s="1"/>
      <c r="B4920" s="1"/>
      <c r="C4920" s="1"/>
      <c r="D4920" s="1"/>
    </row>
    <row r="4921" spans="1:4" x14ac:dyDescent="0.25">
      <c r="A4921" s="1"/>
      <c r="B4921" s="1"/>
      <c r="C4921" s="1"/>
      <c r="D4921" s="1"/>
    </row>
    <row r="4922" spans="1:4" x14ac:dyDescent="0.25">
      <c r="A4922" s="1"/>
      <c r="B4922" s="1"/>
      <c r="C4922" s="1"/>
      <c r="D4922" s="1"/>
    </row>
    <row r="4923" spans="1:4" x14ac:dyDescent="0.25">
      <c r="A4923" s="1"/>
      <c r="B4923" s="1"/>
      <c r="C4923" s="1"/>
      <c r="D4923" s="1"/>
    </row>
    <row r="4924" spans="1:4" x14ac:dyDescent="0.25">
      <c r="A4924" s="1"/>
      <c r="B4924" s="1"/>
      <c r="C4924" s="1"/>
      <c r="D4924" s="1"/>
    </row>
    <row r="4925" spans="1:4" x14ac:dyDescent="0.25">
      <c r="A4925" s="1"/>
      <c r="B4925" s="1"/>
      <c r="C4925" s="1"/>
      <c r="D4925" s="1"/>
    </row>
    <row r="4926" spans="1:4" x14ac:dyDescent="0.25">
      <c r="A4926" s="1"/>
      <c r="B4926" s="1"/>
      <c r="C4926" s="1"/>
      <c r="D4926" s="1"/>
    </row>
    <row r="4927" spans="1:4" x14ac:dyDescent="0.25">
      <c r="A4927" s="1"/>
      <c r="B4927" s="1"/>
      <c r="C4927" s="1"/>
      <c r="D4927" s="1"/>
    </row>
    <row r="4928" spans="1:4" x14ac:dyDescent="0.25">
      <c r="A4928" s="1"/>
      <c r="B4928" s="1"/>
      <c r="C4928" s="1"/>
      <c r="D4928" s="1"/>
    </row>
    <row r="4929" spans="1:4" x14ac:dyDescent="0.25">
      <c r="A4929" s="1"/>
      <c r="B4929" s="1"/>
      <c r="C4929" s="1"/>
      <c r="D4929" s="1"/>
    </row>
    <row r="4930" spans="1:4" x14ac:dyDescent="0.25">
      <c r="A4930" s="1"/>
      <c r="B4930" s="1"/>
      <c r="C4930" s="1"/>
      <c r="D4930" s="1"/>
    </row>
    <row r="4931" spans="1:4" x14ac:dyDescent="0.25">
      <c r="A4931" s="1"/>
      <c r="B4931" s="1"/>
      <c r="C4931" s="1"/>
      <c r="D4931" s="1"/>
    </row>
    <row r="4932" spans="1:4" x14ac:dyDescent="0.25">
      <c r="A4932" s="1"/>
      <c r="B4932" s="1"/>
      <c r="C4932" s="1"/>
      <c r="D4932" s="1"/>
    </row>
    <row r="4933" spans="1:4" x14ac:dyDescent="0.25">
      <c r="A4933" s="1"/>
      <c r="B4933" s="1"/>
      <c r="C4933" s="1"/>
      <c r="D4933" s="1"/>
    </row>
    <row r="4934" spans="1:4" x14ac:dyDescent="0.25">
      <c r="A4934" s="1"/>
      <c r="B4934" s="1"/>
      <c r="C4934" s="1"/>
      <c r="D4934" s="1"/>
    </row>
    <row r="4935" spans="1:4" x14ac:dyDescent="0.25">
      <c r="A4935" s="1"/>
      <c r="B4935" s="1"/>
      <c r="C4935" s="1"/>
      <c r="D4935" s="1"/>
    </row>
    <row r="4936" spans="1:4" x14ac:dyDescent="0.25">
      <c r="A4936" s="1"/>
      <c r="B4936" s="1"/>
      <c r="C4936" s="1"/>
      <c r="D4936" s="1"/>
    </row>
    <row r="4937" spans="1:4" x14ac:dyDescent="0.25">
      <c r="A4937" s="1"/>
      <c r="B4937" s="1"/>
      <c r="C4937" s="1"/>
      <c r="D4937" s="1"/>
    </row>
    <row r="4938" spans="1:4" x14ac:dyDescent="0.25">
      <c r="A4938" s="1"/>
      <c r="B4938" s="1"/>
      <c r="C4938" s="1"/>
      <c r="D4938" s="1"/>
    </row>
    <row r="4939" spans="1:4" x14ac:dyDescent="0.25">
      <c r="A4939" s="1"/>
      <c r="B4939" s="1"/>
      <c r="C4939" s="1"/>
      <c r="D4939" s="1"/>
    </row>
    <row r="4940" spans="1:4" x14ac:dyDescent="0.25">
      <c r="A4940" s="1"/>
      <c r="B4940" s="1"/>
      <c r="C4940" s="1"/>
      <c r="D4940" s="1"/>
    </row>
    <row r="4941" spans="1:4" x14ac:dyDescent="0.25">
      <c r="A4941" s="1"/>
      <c r="B4941" s="1"/>
      <c r="C4941" s="1"/>
      <c r="D4941" s="1"/>
    </row>
    <row r="4942" spans="1:4" x14ac:dyDescent="0.25">
      <c r="A4942" s="1"/>
      <c r="B4942" s="1"/>
      <c r="C4942" s="1"/>
      <c r="D4942" s="1"/>
    </row>
    <row r="4943" spans="1:4" x14ac:dyDescent="0.25">
      <c r="A4943" s="1"/>
      <c r="B4943" s="1"/>
      <c r="C4943" s="1"/>
      <c r="D4943" s="1"/>
    </row>
    <row r="4944" spans="1:4" x14ac:dyDescent="0.25">
      <c r="A4944" s="1"/>
      <c r="B4944" s="1"/>
      <c r="C4944" s="1"/>
      <c r="D4944" s="1"/>
    </row>
    <row r="4945" spans="1:4" x14ac:dyDescent="0.25">
      <c r="A4945" s="1"/>
      <c r="B4945" s="1"/>
      <c r="C4945" s="1"/>
      <c r="D4945" s="1"/>
    </row>
    <row r="4946" spans="1:4" x14ac:dyDescent="0.25">
      <c r="A4946" s="1"/>
      <c r="B4946" s="1"/>
      <c r="C4946" s="1"/>
      <c r="D4946" s="1"/>
    </row>
    <row r="4947" spans="1:4" x14ac:dyDescent="0.25">
      <c r="A4947" s="1"/>
      <c r="B4947" s="1"/>
      <c r="C4947" s="1"/>
      <c r="D4947" s="1"/>
    </row>
    <row r="4948" spans="1:4" x14ac:dyDescent="0.25">
      <c r="A4948" s="1"/>
      <c r="B4948" s="1"/>
      <c r="C4948" s="1"/>
      <c r="D4948" s="1"/>
    </row>
    <row r="4949" spans="1:4" x14ac:dyDescent="0.25">
      <c r="A4949" s="1"/>
      <c r="B4949" s="1"/>
      <c r="C4949" s="1"/>
      <c r="D4949" s="1"/>
    </row>
    <row r="4950" spans="1:4" x14ac:dyDescent="0.25">
      <c r="A4950" s="1"/>
      <c r="B4950" s="1"/>
      <c r="C4950" s="1"/>
      <c r="D4950" s="1"/>
    </row>
    <row r="4951" spans="1:4" x14ac:dyDescent="0.25">
      <c r="A4951" s="1"/>
      <c r="B4951" s="1"/>
      <c r="C4951" s="1"/>
      <c r="D4951" s="1"/>
    </row>
    <row r="4952" spans="1:4" x14ac:dyDescent="0.25">
      <c r="A4952" s="1"/>
      <c r="B4952" s="1"/>
      <c r="C4952" s="1"/>
      <c r="D4952" s="1"/>
    </row>
    <row r="4953" spans="1:4" x14ac:dyDescent="0.25">
      <c r="A4953" s="1"/>
      <c r="B4953" s="1"/>
      <c r="C4953" s="1"/>
      <c r="D4953" s="1"/>
    </row>
    <row r="4954" spans="1:4" x14ac:dyDescent="0.25">
      <c r="A4954" s="1"/>
      <c r="B4954" s="1"/>
      <c r="C4954" s="1"/>
      <c r="D4954" s="1"/>
    </row>
    <row r="4955" spans="1:4" x14ac:dyDescent="0.25">
      <c r="A4955" s="1"/>
      <c r="B4955" s="1"/>
      <c r="C4955" s="1"/>
      <c r="D4955" s="1"/>
    </row>
    <row r="4956" spans="1:4" x14ac:dyDescent="0.25">
      <c r="A4956" s="1"/>
      <c r="B4956" s="1"/>
      <c r="C4956" s="1"/>
      <c r="D4956" s="1"/>
    </row>
    <row r="4957" spans="1:4" x14ac:dyDescent="0.25">
      <c r="A4957" s="1"/>
      <c r="B4957" s="1"/>
      <c r="C4957" s="1"/>
      <c r="D4957" s="1"/>
    </row>
    <row r="4958" spans="1:4" x14ac:dyDescent="0.25">
      <c r="A4958" s="1"/>
      <c r="B4958" s="1"/>
      <c r="C4958" s="1"/>
      <c r="D4958" s="1"/>
    </row>
    <row r="4959" spans="1:4" x14ac:dyDescent="0.25">
      <c r="A4959" s="1"/>
      <c r="B4959" s="1"/>
      <c r="C4959" s="1"/>
      <c r="D4959" s="1"/>
    </row>
    <row r="4960" spans="1:4" x14ac:dyDescent="0.25">
      <c r="A4960" s="1"/>
      <c r="B4960" s="1"/>
      <c r="C4960" s="1"/>
      <c r="D4960" s="1"/>
    </row>
    <row r="4961" spans="1:4" x14ac:dyDescent="0.25">
      <c r="A4961" s="1"/>
      <c r="B4961" s="1"/>
      <c r="C4961" s="1"/>
      <c r="D4961" s="1"/>
    </row>
    <row r="4962" spans="1:4" x14ac:dyDescent="0.25">
      <c r="A4962" s="1"/>
      <c r="B4962" s="1"/>
      <c r="C4962" s="1"/>
      <c r="D4962" s="1"/>
    </row>
    <row r="4963" spans="1:4" x14ac:dyDescent="0.25">
      <c r="A4963" s="1"/>
      <c r="B4963" s="1"/>
      <c r="C4963" s="1"/>
      <c r="D4963" s="1"/>
    </row>
    <row r="4964" spans="1:4" x14ac:dyDescent="0.25">
      <c r="A4964" s="1"/>
      <c r="B4964" s="1"/>
      <c r="C4964" s="1"/>
      <c r="D4964" s="1"/>
    </row>
    <row r="4965" spans="1:4" x14ac:dyDescent="0.25">
      <c r="A4965" s="1"/>
      <c r="B4965" s="1"/>
      <c r="C4965" s="1"/>
      <c r="D4965" s="1"/>
    </row>
    <row r="4966" spans="1:4" x14ac:dyDescent="0.25">
      <c r="A4966" s="1"/>
      <c r="B4966" s="1"/>
      <c r="C4966" s="1"/>
      <c r="D4966" s="1"/>
    </row>
    <row r="4967" spans="1:4" x14ac:dyDescent="0.25">
      <c r="A4967" s="1"/>
      <c r="B4967" s="1"/>
      <c r="C4967" s="1"/>
      <c r="D4967" s="1"/>
    </row>
    <row r="4968" spans="1:4" x14ac:dyDescent="0.25">
      <c r="A4968" s="1"/>
      <c r="B4968" s="1"/>
      <c r="C4968" s="1"/>
      <c r="D4968" s="1"/>
    </row>
    <row r="4969" spans="1:4" x14ac:dyDescent="0.25">
      <c r="A4969" s="1"/>
      <c r="B4969" s="1"/>
      <c r="C4969" s="1"/>
      <c r="D4969" s="1"/>
    </row>
    <row r="4970" spans="1:4" x14ac:dyDescent="0.25">
      <c r="A4970" s="1"/>
      <c r="B4970" s="1"/>
      <c r="C4970" s="1"/>
      <c r="D4970" s="1"/>
    </row>
    <row r="4971" spans="1:4" x14ac:dyDescent="0.25">
      <c r="A4971" s="1"/>
      <c r="B4971" s="1"/>
      <c r="C4971" s="1"/>
      <c r="D4971" s="1"/>
    </row>
    <row r="4972" spans="1:4" x14ac:dyDescent="0.25">
      <c r="A4972" s="1"/>
      <c r="B4972" s="1"/>
      <c r="C4972" s="1"/>
      <c r="D4972" s="1"/>
    </row>
    <row r="4973" spans="1:4" x14ac:dyDescent="0.25">
      <c r="A4973" s="1"/>
      <c r="B4973" s="1"/>
      <c r="C4973" s="1"/>
      <c r="D4973" s="1"/>
    </row>
    <row r="4974" spans="1:4" x14ac:dyDescent="0.25">
      <c r="A4974" s="1"/>
      <c r="B4974" s="1"/>
      <c r="C4974" s="1"/>
      <c r="D4974" s="1"/>
    </row>
    <row r="4975" spans="1:4" x14ac:dyDescent="0.25">
      <c r="A4975" s="1"/>
      <c r="B4975" s="1"/>
      <c r="C4975" s="1"/>
      <c r="D4975" s="1"/>
    </row>
    <row r="4976" spans="1:4" x14ac:dyDescent="0.25">
      <c r="A4976" s="1"/>
      <c r="B4976" s="1"/>
      <c r="C4976" s="1"/>
      <c r="D4976" s="1"/>
    </row>
    <row r="4977" spans="1:4" x14ac:dyDescent="0.25">
      <c r="A4977" s="1"/>
      <c r="B4977" s="1"/>
      <c r="C4977" s="1"/>
      <c r="D4977" s="1"/>
    </row>
    <row r="4978" spans="1:4" x14ac:dyDescent="0.25">
      <c r="A4978" s="1"/>
      <c r="B4978" s="1"/>
      <c r="C4978" s="1"/>
      <c r="D4978" s="1"/>
    </row>
    <row r="4979" spans="1:4" x14ac:dyDescent="0.25">
      <c r="A4979" s="1"/>
      <c r="B4979" s="1"/>
      <c r="C4979" s="1"/>
      <c r="D4979" s="1"/>
    </row>
    <row r="4980" spans="1:4" x14ac:dyDescent="0.25">
      <c r="A4980" s="1"/>
      <c r="B4980" s="1"/>
      <c r="C4980" s="1"/>
      <c r="D4980" s="1"/>
    </row>
    <row r="4981" spans="1:4" x14ac:dyDescent="0.25">
      <c r="A4981" s="1"/>
      <c r="B4981" s="1"/>
      <c r="C4981" s="1"/>
      <c r="D4981" s="1"/>
    </row>
    <row r="4982" spans="1:4" x14ac:dyDescent="0.25">
      <c r="A4982" s="1"/>
      <c r="B4982" s="1"/>
      <c r="C4982" s="1"/>
      <c r="D4982" s="1"/>
    </row>
    <row r="4983" spans="1:4" x14ac:dyDescent="0.25">
      <c r="A4983" s="1"/>
      <c r="B4983" s="1"/>
      <c r="C4983" s="1"/>
      <c r="D4983" s="1"/>
    </row>
    <row r="4984" spans="1:4" x14ac:dyDescent="0.25">
      <c r="A4984" s="1"/>
      <c r="B4984" s="1"/>
      <c r="C4984" s="1"/>
      <c r="D4984" s="1"/>
    </row>
    <row r="4985" spans="1:4" x14ac:dyDescent="0.25">
      <c r="A4985" s="1"/>
      <c r="B4985" s="1"/>
      <c r="C4985" s="1"/>
      <c r="D4985" s="1"/>
    </row>
    <row r="4986" spans="1:4" x14ac:dyDescent="0.25">
      <c r="A4986" s="1"/>
      <c r="B4986" s="1"/>
      <c r="C4986" s="1"/>
      <c r="D4986" s="1"/>
    </row>
    <row r="4987" spans="1:4" x14ac:dyDescent="0.25">
      <c r="A4987" s="1"/>
      <c r="B4987" s="1"/>
      <c r="C4987" s="1"/>
      <c r="D4987" s="1"/>
    </row>
    <row r="4988" spans="1:4" x14ac:dyDescent="0.25">
      <c r="A4988" s="1"/>
      <c r="B4988" s="1"/>
      <c r="C4988" s="1"/>
      <c r="D4988" s="1"/>
    </row>
    <row r="4989" spans="1:4" x14ac:dyDescent="0.25">
      <c r="A4989" s="1"/>
      <c r="B4989" s="1"/>
      <c r="C4989" s="1"/>
      <c r="D4989" s="1"/>
    </row>
    <row r="4990" spans="1:4" x14ac:dyDescent="0.25">
      <c r="A4990" s="1"/>
      <c r="B4990" s="1"/>
      <c r="C4990" s="1"/>
      <c r="D4990" s="1"/>
    </row>
    <row r="4991" spans="1:4" x14ac:dyDescent="0.25">
      <c r="A4991" s="1"/>
      <c r="B4991" s="1"/>
      <c r="C4991" s="1"/>
      <c r="D4991" s="1"/>
    </row>
    <row r="4992" spans="1:4" x14ac:dyDescent="0.25">
      <c r="A4992" s="1"/>
      <c r="B4992" s="1"/>
      <c r="C4992" s="1"/>
      <c r="D4992" s="1"/>
    </row>
    <row r="4993" spans="1:4" x14ac:dyDescent="0.25">
      <c r="A4993" s="1"/>
      <c r="B4993" s="1"/>
      <c r="C4993" s="1"/>
      <c r="D4993" s="1"/>
    </row>
    <row r="4994" spans="1:4" x14ac:dyDescent="0.25">
      <c r="A4994" s="1"/>
      <c r="B4994" s="1"/>
      <c r="C4994" s="1"/>
      <c r="D4994" s="1"/>
    </row>
    <row r="4995" spans="1:4" x14ac:dyDescent="0.25">
      <c r="A4995" s="1"/>
      <c r="B4995" s="1"/>
      <c r="C4995" s="1"/>
      <c r="D4995" s="1"/>
    </row>
    <row r="4996" spans="1:4" x14ac:dyDescent="0.25">
      <c r="A4996" s="1"/>
      <c r="B4996" s="1"/>
      <c r="C4996" s="1"/>
      <c r="D4996" s="1"/>
    </row>
    <row r="4997" spans="1:4" x14ac:dyDescent="0.25">
      <c r="A4997" s="1"/>
      <c r="B4997" s="1"/>
      <c r="C4997" s="1"/>
      <c r="D4997" s="1"/>
    </row>
    <row r="4998" spans="1:4" x14ac:dyDescent="0.25">
      <c r="A4998" s="1"/>
      <c r="B4998" s="1"/>
      <c r="C4998" s="1"/>
      <c r="D4998" s="1"/>
    </row>
    <row r="4999" spans="1:4" x14ac:dyDescent="0.25">
      <c r="A4999" s="1"/>
      <c r="B4999" s="1"/>
      <c r="C4999" s="1"/>
      <c r="D4999" s="1"/>
    </row>
    <row r="5000" spans="1:4" x14ac:dyDescent="0.25">
      <c r="A5000" s="1"/>
      <c r="B5000" s="1"/>
      <c r="C5000" s="1"/>
      <c r="D5000" s="1"/>
    </row>
    <row r="5001" spans="1:4" x14ac:dyDescent="0.25">
      <c r="A5001" s="1"/>
      <c r="B5001" s="1"/>
      <c r="C5001" s="1"/>
      <c r="D5001" s="1"/>
    </row>
    <row r="5002" spans="1:4" x14ac:dyDescent="0.25">
      <c r="A5002" s="1"/>
      <c r="B5002" s="1"/>
      <c r="C5002" s="1"/>
      <c r="D5002" s="1"/>
    </row>
    <row r="5003" spans="1:4" x14ac:dyDescent="0.25">
      <c r="A5003" s="1"/>
      <c r="B5003" s="1"/>
      <c r="C5003" s="1"/>
      <c r="D5003" s="1"/>
    </row>
    <row r="5004" spans="1:4" x14ac:dyDescent="0.25">
      <c r="A5004" s="1"/>
      <c r="B5004" s="1"/>
      <c r="C5004" s="1"/>
      <c r="D5004" s="1"/>
    </row>
    <row r="5005" spans="1:4" x14ac:dyDescent="0.25">
      <c r="A5005" s="1"/>
      <c r="B5005" s="1"/>
      <c r="C5005" s="1"/>
      <c r="D5005" s="1"/>
    </row>
    <row r="5006" spans="1:4" x14ac:dyDescent="0.25">
      <c r="A5006" s="1"/>
      <c r="B5006" s="1"/>
      <c r="C5006" s="1"/>
      <c r="D5006" s="1"/>
    </row>
    <row r="5007" spans="1:4" x14ac:dyDescent="0.25">
      <c r="A5007" s="1"/>
      <c r="B5007" s="1"/>
      <c r="C5007" s="1"/>
      <c r="D5007" s="1"/>
    </row>
    <row r="5008" spans="1:4" x14ac:dyDescent="0.25">
      <c r="A5008" s="1"/>
      <c r="B5008" s="1"/>
      <c r="C5008" s="1"/>
      <c r="D5008" s="1"/>
    </row>
    <row r="5009" spans="1:4" x14ac:dyDescent="0.25">
      <c r="A5009" s="1"/>
      <c r="B5009" s="1"/>
      <c r="C5009" s="1"/>
      <c r="D5009" s="1"/>
    </row>
    <row r="5010" spans="1:4" x14ac:dyDescent="0.25">
      <c r="A5010" s="1"/>
      <c r="B5010" s="1"/>
      <c r="C5010" s="1"/>
      <c r="D5010" s="1"/>
    </row>
    <row r="5011" spans="1:4" x14ac:dyDescent="0.25">
      <c r="A5011" s="1"/>
      <c r="B5011" s="1"/>
      <c r="C5011" s="1"/>
      <c r="D5011" s="1"/>
    </row>
    <row r="5012" spans="1:4" x14ac:dyDescent="0.25">
      <c r="A5012" s="1"/>
      <c r="B5012" s="1"/>
      <c r="C5012" s="1"/>
      <c r="D5012" s="1"/>
    </row>
    <row r="5013" spans="1:4" x14ac:dyDescent="0.25">
      <c r="A5013" s="1"/>
      <c r="B5013" s="1"/>
      <c r="C5013" s="1"/>
      <c r="D5013" s="1"/>
    </row>
    <row r="5014" spans="1:4" x14ac:dyDescent="0.25">
      <c r="A5014" s="1"/>
      <c r="B5014" s="1"/>
      <c r="C5014" s="1"/>
      <c r="D5014" s="1"/>
    </row>
    <row r="5015" spans="1:4" x14ac:dyDescent="0.25">
      <c r="A5015" s="1"/>
      <c r="B5015" s="1"/>
      <c r="C5015" s="1"/>
      <c r="D5015" s="1"/>
    </row>
    <row r="5016" spans="1:4" x14ac:dyDescent="0.25">
      <c r="A5016" s="1"/>
      <c r="B5016" s="1"/>
      <c r="C5016" s="1"/>
      <c r="D5016" s="1"/>
    </row>
    <row r="5017" spans="1:4" x14ac:dyDescent="0.25">
      <c r="A5017" s="1"/>
      <c r="B5017" s="1"/>
      <c r="C5017" s="1"/>
      <c r="D5017" s="1"/>
    </row>
    <row r="5018" spans="1:4" x14ac:dyDescent="0.25">
      <c r="A5018" s="1"/>
      <c r="B5018" s="1"/>
      <c r="C5018" s="1"/>
      <c r="D5018" s="1"/>
    </row>
    <row r="5019" spans="1:4" x14ac:dyDescent="0.25">
      <c r="A5019" s="1"/>
      <c r="B5019" s="1"/>
      <c r="C5019" s="1"/>
      <c r="D5019" s="1"/>
    </row>
    <row r="5020" spans="1:4" x14ac:dyDescent="0.25">
      <c r="A5020" s="1"/>
      <c r="B5020" s="1"/>
      <c r="C5020" s="1"/>
      <c r="D5020" s="1"/>
    </row>
    <row r="5021" spans="1:4" x14ac:dyDescent="0.25">
      <c r="A5021" s="1"/>
      <c r="B5021" s="1"/>
      <c r="C5021" s="1"/>
      <c r="D5021" s="1"/>
    </row>
    <row r="5022" spans="1:4" x14ac:dyDescent="0.25">
      <c r="A5022" s="1"/>
      <c r="B5022" s="1"/>
      <c r="C5022" s="1"/>
      <c r="D5022" s="1"/>
    </row>
    <row r="5023" spans="1:4" x14ac:dyDescent="0.25">
      <c r="A5023" s="1"/>
      <c r="B5023" s="1"/>
      <c r="C5023" s="1"/>
      <c r="D5023" s="1"/>
    </row>
    <row r="5024" spans="1:4" x14ac:dyDescent="0.25">
      <c r="A5024" s="1"/>
      <c r="B5024" s="1"/>
      <c r="C5024" s="1"/>
      <c r="D5024" s="1"/>
    </row>
    <row r="5025" spans="1:4" x14ac:dyDescent="0.25">
      <c r="A5025" s="1"/>
      <c r="B5025" s="1"/>
      <c r="C5025" s="1"/>
      <c r="D5025" s="1"/>
    </row>
    <row r="5026" spans="1:4" x14ac:dyDescent="0.25">
      <c r="A5026" s="1"/>
      <c r="B5026" s="1"/>
      <c r="C5026" s="1"/>
      <c r="D5026" s="1"/>
    </row>
    <row r="5027" spans="1:4" x14ac:dyDescent="0.25">
      <c r="A5027" s="1"/>
      <c r="B5027" s="1"/>
      <c r="C5027" s="1"/>
      <c r="D5027" s="1"/>
    </row>
    <row r="5028" spans="1:4" x14ac:dyDescent="0.25">
      <c r="A5028" s="1"/>
      <c r="B5028" s="1"/>
      <c r="C5028" s="1"/>
      <c r="D5028" s="1"/>
    </row>
    <row r="5029" spans="1:4" x14ac:dyDescent="0.25">
      <c r="A5029" s="1"/>
      <c r="B5029" s="1"/>
      <c r="C5029" s="1"/>
      <c r="D5029" s="1"/>
    </row>
    <row r="5030" spans="1:4" x14ac:dyDescent="0.25">
      <c r="A5030" s="1"/>
      <c r="B5030" s="1"/>
      <c r="C5030" s="1"/>
      <c r="D5030" s="1"/>
    </row>
    <row r="5031" spans="1:4" x14ac:dyDescent="0.25">
      <c r="A5031" s="1"/>
      <c r="B5031" s="1"/>
      <c r="C5031" s="1"/>
      <c r="D5031" s="1"/>
    </row>
    <row r="5032" spans="1:4" x14ac:dyDescent="0.25">
      <c r="A5032" s="1"/>
      <c r="B5032" s="1"/>
      <c r="C5032" s="1"/>
      <c r="D5032" s="1"/>
    </row>
    <row r="5033" spans="1:4" x14ac:dyDescent="0.25">
      <c r="A5033" s="1"/>
      <c r="B5033" s="1"/>
      <c r="C5033" s="1"/>
      <c r="D5033" s="1"/>
    </row>
    <row r="5034" spans="1:4" x14ac:dyDescent="0.25">
      <c r="A5034" s="1"/>
      <c r="B5034" s="1"/>
      <c r="C5034" s="1"/>
      <c r="D5034" s="1"/>
    </row>
    <row r="5035" spans="1:4" x14ac:dyDescent="0.25">
      <c r="A5035" s="1"/>
      <c r="B5035" s="1"/>
      <c r="C5035" s="1"/>
      <c r="D5035" s="1"/>
    </row>
    <row r="5036" spans="1:4" x14ac:dyDescent="0.25">
      <c r="A5036" s="1"/>
      <c r="B5036" s="1"/>
      <c r="C5036" s="1"/>
      <c r="D5036" s="1"/>
    </row>
    <row r="5037" spans="1:4" x14ac:dyDescent="0.25">
      <c r="A5037" s="1"/>
      <c r="B5037" s="1"/>
      <c r="C5037" s="1"/>
      <c r="D5037" s="1"/>
    </row>
    <row r="5038" spans="1:4" x14ac:dyDescent="0.25">
      <c r="A5038" s="1"/>
      <c r="B5038" s="1"/>
      <c r="C5038" s="1"/>
      <c r="D5038" s="1"/>
    </row>
    <row r="5039" spans="1:4" x14ac:dyDescent="0.25">
      <c r="A5039" s="1"/>
      <c r="B5039" s="1"/>
      <c r="C5039" s="1"/>
      <c r="D5039" s="1"/>
    </row>
    <row r="5040" spans="1:4" x14ac:dyDescent="0.25">
      <c r="A5040" s="1"/>
      <c r="B5040" s="1"/>
      <c r="C5040" s="1"/>
      <c r="D5040" s="1"/>
    </row>
    <row r="5041" spans="1:4" x14ac:dyDescent="0.25">
      <c r="A5041" s="1"/>
      <c r="B5041" s="1"/>
      <c r="C5041" s="1"/>
      <c r="D5041" s="1"/>
    </row>
    <row r="5042" spans="1:4" x14ac:dyDescent="0.25">
      <c r="A5042" s="1"/>
      <c r="B5042" s="1"/>
      <c r="C5042" s="1"/>
      <c r="D5042" s="1"/>
    </row>
    <row r="5043" spans="1:4" x14ac:dyDescent="0.25">
      <c r="A5043" s="1"/>
      <c r="B5043" s="1"/>
      <c r="C5043" s="1"/>
      <c r="D5043" s="1"/>
    </row>
    <row r="5044" spans="1:4" x14ac:dyDescent="0.25">
      <c r="A5044" s="1"/>
      <c r="B5044" s="1"/>
      <c r="C5044" s="1"/>
      <c r="D5044" s="1"/>
    </row>
    <row r="5045" spans="1:4" x14ac:dyDescent="0.25">
      <c r="A5045" s="1"/>
      <c r="B5045" s="1"/>
      <c r="C5045" s="1"/>
      <c r="D5045" s="1"/>
    </row>
    <row r="5046" spans="1:4" x14ac:dyDescent="0.25">
      <c r="A5046" s="1"/>
      <c r="B5046" s="1"/>
      <c r="C5046" s="1"/>
      <c r="D5046" s="1"/>
    </row>
    <row r="5047" spans="1:4" x14ac:dyDescent="0.25">
      <c r="A5047" s="1"/>
      <c r="B5047" s="1"/>
      <c r="C5047" s="1"/>
      <c r="D5047" s="1"/>
    </row>
    <row r="5048" spans="1:4" x14ac:dyDescent="0.25">
      <c r="A5048" s="1"/>
      <c r="B5048" s="1"/>
      <c r="C5048" s="1"/>
      <c r="D5048" s="1"/>
    </row>
    <row r="5049" spans="1:4" x14ac:dyDescent="0.25">
      <c r="A5049" s="1"/>
      <c r="B5049" s="1"/>
      <c r="C5049" s="1"/>
      <c r="D5049" s="1"/>
    </row>
    <row r="5050" spans="1:4" x14ac:dyDescent="0.25">
      <c r="A5050" s="1"/>
      <c r="B5050" s="1"/>
      <c r="C5050" s="1"/>
      <c r="D5050" s="1"/>
    </row>
    <row r="5051" spans="1:4" x14ac:dyDescent="0.25">
      <c r="A5051" s="1"/>
      <c r="B5051" s="1"/>
      <c r="C5051" s="1"/>
      <c r="D5051" s="1"/>
    </row>
    <row r="5052" spans="1:4" x14ac:dyDescent="0.25">
      <c r="A5052" s="1"/>
      <c r="B5052" s="1"/>
      <c r="C5052" s="1"/>
      <c r="D5052" s="1"/>
    </row>
    <row r="5053" spans="1:4" x14ac:dyDescent="0.25">
      <c r="A5053" s="1"/>
      <c r="B5053" s="1"/>
      <c r="C5053" s="1"/>
      <c r="D5053" s="1"/>
    </row>
    <row r="5054" spans="1:4" x14ac:dyDescent="0.25">
      <c r="A5054" s="1"/>
      <c r="B5054" s="1"/>
      <c r="C5054" s="1"/>
      <c r="D5054" s="1"/>
    </row>
    <row r="5055" spans="1:4" x14ac:dyDescent="0.25">
      <c r="A5055" s="1"/>
      <c r="B5055" s="1"/>
      <c r="C5055" s="1"/>
      <c r="D5055" s="1"/>
    </row>
    <row r="5056" spans="1:4" x14ac:dyDescent="0.25">
      <c r="A5056" s="1"/>
      <c r="B5056" s="1"/>
      <c r="C5056" s="1"/>
      <c r="D5056" s="1"/>
    </row>
    <row r="5057" spans="1:4" x14ac:dyDescent="0.25">
      <c r="A5057" s="1"/>
      <c r="B5057" s="1"/>
      <c r="C5057" s="1"/>
      <c r="D5057" s="1"/>
    </row>
    <row r="5058" spans="1:4" x14ac:dyDescent="0.25">
      <c r="A5058" s="1"/>
      <c r="B5058" s="1"/>
      <c r="C5058" s="1"/>
      <c r="D5058" s="1"/>
    </row>
    <row r="5059" spans="1:4" x14ac:dyDescent="0.25">
      <c r="A5059" s="1"/>
      <c r="B5059" s="1"/>
      <c r="C5059" s="1"/>
      <c r="D5059" s="1"/>
    </row>
    <row r="5060" spans="1:4" x14ac:dyDescent="0.25">
      <c r="A5060" s="1"/>
      <c r="B5060" s="1"/>
      <c r="C5060" s="1"/>
      <c r="D5060" s="1"/>
    </row>
    <row r="5061" spans="1:4" x14ac:dyDescent="0.25">
      <c r="A5061" s="1"/>
      <c r="B5061" s="1"/>
      <c r="C5061" s="1"/>
      <c r="D5061" s="1"/>
    </row>
    <row r="5062" spans="1:4" x14ac:dyDescent="0.25">
      <c r="A5062" s="1"/>
      <c r="B5062" s="1"/>
      <c r="C5062" s="1"/>
      <c r="D5062" s="1"/>
    </row>
    <row r="5063" spans="1:4" x14ac:dyDescent="0.25">
      <c r="A5063" s="1"/>
      <c r="B5063" s="1"/>
      <c r="C5063" s="1"/>
      <c r="D5063" s="1"/>
    </row>
    <row r="5064" spans="1:4" x14ac:dyDescent="0.25">
      <c r="A5064" s="1"/>
      <c r="B5064" s="1"/>
      <c r="C5064" s="1"/>
      <c r="D5064" s="1"/>
    </row>
    <row r="5065" spans="1:4" x14ac:dyDescent="0.25">
      <c r="A5065" s="1"/>
      <c r="B5065" s="1"/>
      <c r="C5065" s="1"/>
      <c r="D5065" s="1"/>
    </row>
    <row r="5066" spans="1:4" x14ac:dyDescent="0.25">
      <c r="A5066" s="1"/>
      <c r="B5066" s="1"/>
      <c r="C5066" s="1"/>
      <c r="D5066" s="1"/>
    </row>
    <row r="5067" spans="1:4" x14ac:dyDescent="0.25">
      <c r="A5067" s="1"/>
      <c r="B5067" s="1"/>
      <c r="C5067" s="1"/>
      <c r="D5067" s="1"/>
    </row>
    <row r="5068" spans="1:4" x14ac:dyDescent="0.25">
      <c r="A5068" s="1"/>
      <c r="B5068" s="1"/>
      <c r="C5068" s="1"/>
      <c r="D5068" s="1"/>
    </row>
    <row r="5069" spans="1:4" x14ac:dyDescent="0.25">
      <c r="A5069" s="1"/>
      <c r="B5069" s="1"/>
      <c r="C5069" s="1"/>
      <c r="D5069" s="1"/>
    </row>
    <row r="5070" spans="1:4" x14ac:dyDescent="0.25">
      <c r="A5070" s="1"/>
      <c r="B5070" s="1"/>
      <c r="C5070" s="1"/>
      <c r="D5070" s="1"/>
    </row>
    <row r="5071" spans="1:4" x14ac:dyDescent="0.25">
      <c r="A5071" s="1"/>
      <c r="B5071" s="1"/>
      <c r="C5071" s="1"/>
      <c r="D5071" s="1"/>
    </row>
    <row r="5072" spans="1:4" x14ac:dyDescent="0.25">
      <c r="A5072" s="1"/>
      <c r="B5072" s="1"/>
      <c r="C5072" s="1"/>
      <c r="D5072" s="1"/>
    </row>
    <row r="5073" spans="1:4" x14ac:dyDescent="0.25">
      <c r="A5073" s="1"/>
      <c r="B5073" s="1"/>
      <c r="C5073" s="1"/>
      <c r="D5073" s="1"/>
    </row>
    <row r="5074" spans="1:4" x14ac:dyDescent="0.25">
      <c r="A5074" s="1"/>
      <c r="B5074" s="1"/>
      <c r="C5074" s="1"/>
      <c r="D5074" s="1"/>
    </row>
    <row r="5075" spans="1:4" x14ac:dyDescent="0.25">
      <c r="A5075" s="1"/>
      <c r="B5075" s="1"/>
      <c r="C5075" s="1"/>
      <c r="D5075" s="1"/>
    </row>
    <row r="5076" spans="1:4" x14ac:dyDescent="0.25">
      <c r="A5076" s="1"/>
      <c r="B5076" s="1"/>
      <c r="C5076" s="1"/>
      <c r="D5076" s="1"/>
    </row>
    <row r="5077" spans="1:4" x14ac:dyDescent="0.25">
      <c r="A5077" s="1"/>
      <c r="B5077" s="1"/>
      <c r="C5077" s="1"/>
      <c r="D5077" s="1"/>
    </row>
    <row r="5078" spans="1:4" x14ac:dyDescent="0.25">
      <c r="A5078" s="1"/>
      <c r="B5078" s="1"/>
      <c r="C5078" s="1"/>
      <c r="D5078" s="1"/>
    </row>
    <row r="5079" spans="1:4" x14ac:dyDescent="0.25">
      <c r="A5079" s="1"/>
      <c r="B5079" s="1"/>
      <c r="C5079" s="1"/>
      <c r="D5079" s="1"/>
    </row>
    <row r="5080" spans="1:4" x14ac:dyDescent="0.25">
      <c r="A5080" s="1"/>
      <c r="B5080" s="1"/>
      <c r="C5080" s="1"/>
      <c r="D5080" s="1"/>
    </row>
    <row r="5081" spans="1:4" x14ac:dyDescent="0.25">
      <c r="A5081" s="1"/>
      <c r="B5081" s="1"/>
      <c r="C5081" s="1"/>
      <c r="D5081" s="1"/>
    </row>
    <row r="5082" spans="1:4" x14ac:dyDescent="0.25">
      <c r="A5082" s="1"/>
      <c r="B5082" s="1"/>
      <c r="C5082" s="1"/>
      <c r="D5082" s="1"/>
    </row>
    <row r="5083" spans="1:4" x14ac:dyDescent="0.25">
      <c r="A5083" s="1"/>
      <c r="B5083" s="1"/>
      <c r="C5083" s="1"/>
      <c r="D5083" s="1"/>
    </row>
    <row r="5084" spans="1:4" x14ac:dyDescent="0.25">
      <c r="A5084" s="1"/>
      <c r="B5084" s="1"/>
      <c r="C5084" s="1"/>
      <c r="D5084" s="1"/>
    </row>
    <row r="5085" spans="1:4" x14ac:dyDescent="0.25">
      <c r="A5085" s="1"/>
      <c r="B5085" s="1"/>
      <c r="C5085" s="1"/>
      <c r="D5085" s="1"/>
    </row>
    <row r="5086" spans="1:4" x14ac:dyDescent="0.25">
      <c r="A5086" s="1"/>
      <c r="B5086" s="1"/>
      <c r="C5086" s="1"/>
      <c r="D5086" s="1"/>
    </row>
    <row r="5087" spans="1:4" x14ac:dyDescent="0.25">
      <c r="A5087" s="1"/>
      <c r="B5087" s="1"/>
      <c r="C5087" s="1"/>
      <c r="D5087" s="1"/>
    </row>
    <row r="5088" spans="1:4" x14ac:dyDescent="0.25">
      <c r="A5088" s="1"/>
      <c r="B5088" s="1"/>
      <c r="C5088" s="1"/>
      <c r="D5088" s="1"/>
    </row>
    <row r="5089" spans="1:4" x14ac:dyDescent="0.25">
      <c r="A5089" s="1"/>
      <c r="B5089" s="1"/>
      <c r="C5089" s="1"/>
      <c r="D5089" s="1"/>
    </row>
    <row r="5090" spans="1:4" x14ac:dyDescent="0.25">
      <c r="A5090" s="1"/>
      <c r="B5090" s="1"/>
      <c r="C5090" s="1"/>
      <c r="D5090" s="1"/>
    </row>
    <row r="5091" spans="1:4" x14ac:dyDescent="0.25">
      <c r="A5091" s="1"/>
      <c r="B5091" s="1"/>
      <c r="C5091" s="1"/>
      <c r="D5091" s="1"/>
    </row>
    <row r="5092" spans="1:4" x14ac:dyDescent="0.25">
      <c r="A5092" s="1"/>
      <c r="B5092" s="1"/>
      <c r="C5092" s="1"/>
      <c r="D5092" s="1"/>
    </row>
    <row r="5093" spans="1:4" x14ac:dyDescent="0.25">
      <c r="A5093" s="1"/>
      <c r="B5093" s="1"/>
      <c r="C5093" s="1"/>
      <c r="D5093" s="1"/>
    </row>
    <row r="5094" spans="1:4" x14ac:dyDescent="0.25">
      <c r="A5094" s="1"/>
      <c r="B5094" s="1"/>
      <c r="C5094" s="1"/>
      <c r="D5094" s="1"/>
    </row>
    <row r="5095" spans="1:4" x14ac:dyDescent="0.25">
      <c r="A5095" s="1"/>
      <c r="B5095" s="1"/>
      <c r="C5095" s="1"/>
      <c r="D5095" s="1"/>
    </row>
    <row r="5096" spans="1:4" x14ac:dyDescent="0.25">
      <c r="A5096" s="1"/>
      <c r="B5096" s="1"/>
      <c r="C5096" s="1"/>
      <c r="D5096" s="1"/>
    </row>
    <row r="5097" spans="1:4" x14ac:dyDescent="0.25">
      <c r="A5097" s="1"/>
      <c r="B5097" s="1"/>
      <c r="C5097" s="1"/>
      <c r="D5097" s="1"/>
    </row>
    <row r="5098" spans="1:4" x14ac:dyDescent="0.25">
      <c r="A5098" s="1"/>
      <c r="B5098" s="1"/>
      <c r="C5098" s="1"/>
      <c r="D5098" s="1"/>
    </row>
    <row r="5099" spans="1:4" x14ac:dyDescent="0.25">
      <c r="A5099" s="1"/>
      <c r="B5099" s="1"/>
      <c r="C5099" s="1"/>
      <c r="D5099" s="1"/>
    </row>
    <row r="5100" spans="1:4" x14ac:dyDescent="0.25">
      <c r="A5100" s="1"/>
      <c r="B5100" s="1"/>
      <c r="C5100" s="1"/>
      <c r="D5100" s="1"/>
    </row>
    <row r="5101" spans="1:4" x14ac:dyDescent="0.25">
      <c r="A5101" s="1"/>
      <c r="B5101" s="1"/>
      <c r="C5101" s="1"/>
      <c r="D5101" s="1"/>
    </row>
    <row r="5102" spans="1:4" x14ac:dyDescent="0.25">
      <c r="A5102" s="1"/>
      <c r="B5102" s="1"/>
      <c r="C5102" s="1"/>
      <c r="D5102" s="1"/>
    </row>
    <row r="5103" spans="1:4" x14ac:dyDescent="0.25">
      <c r="A5103" s="1"/>
      <c r="B5103" s="1"/>
      <c r="C5103" s="1"/>
      <c r="D5103" s="1"/>
    </row>
    <row r="5104" spans="1:4" x14ac:dyDescent="0.25">
      <c r="A5104" s="1"/>
      <c r="B5104" s="1"/>
      <c r="C5104" s="1"/>
      <c r="D5104" s="1"/>
    </row>
    <row r="5105" spans="1:4" x14ac:dyDescent="0.25">
      <c r="A5105" s="1"/>
      <c r="B5105" s="1"/>
      <c r="C5105" s="1"/>
      <c r="D5105" s="1"/>
    </row>
    <row r="5106" spans="1:4" x14ac:dyDescent="0.25">
      <c r="A5106" s="1"/>
      <c r="B5106" s="1"/>
      <c r="C5106" s="1"/>
      <c r="D5106" s="1"/>
    </row>
    <row r="5107" spans="1:4" x14ac:dyDescent="0.25">
      <c r="A5107" s="1"/>
      <c r="B5107" s="1"/>
      <c r="C5107" s="1"/>
      <c r="D5107" s="1"/>
    </row>
    <row r="5108" spans="1:4" x14ac:dyDescent="0.25">
      <c r="A5108" s="1"/>
      <c r="B5108" s="1"/>
      <c r="C5108" s="1"/>
      <c r="D5108" s="1"/>
    </row>
    <row r="5109" spans="1:4" x14ac:dyDescent="0.25">
      <c r="A5109" s="1"/>
      <c r="B5109" s="1"/>
      <c r="C5109" s="1"/>
      <c r="D5109" s="1"/>
    </row>
    <row r="5110" spans="1:4" x14ac:dyDescent="0.25">
      <c r="A5110" s="1"/>
      <c r="B5110" s="1"/>
      <c r="C5110" s="1"/>
      <c r="D5110" s="1"/>
    </row>
    <row r="5111" spans="1:4" x14ac:dyDescent="0.25">
      <c r="A5111" s="1"/>
      <c r="B5111" s="1"/>
      <c r="C5111" s="1"/>
      <c r="D5111" s="1"/>
    </row>
    <row r="5112" spans="1:4" x14ac:dyDescent="0.25">
      <c r="A5112" s="1"/>
      <c r="B5112" s="1"/>
      <c r="C5112" s="1"/>
      <c r="D5112" s="1"/>
    </row>
    <row r="5113" spans="1:4" x14ac:dyDescent="0.25">
      <c r="A5113" s="1"/>
      <c r="B5113" s="1"/>
      <c r="C5113" s="1"/>
      <c r="D5113" s="1"/>
    </row>
    <row r="5114" spans="1:4" x14ac:dyDescent="0.25">
      <c r="A5114" s="1"/>
      <c r="B5114" s="1"/>
      <c r="C5114" s="1"/>
      <c r="D5114" s="1"/>
    </row>
    <row r="5115" spans="1:4" x14ac:dyDescent="0.25">
      <c r="A5115" s="1"/>
      <c r="B5115" s="1"/>
      <c r="C5115" s="1"/>
      <c r="D5115" s="1"/>
    </row>
    <row r="5116" spans="1:4" x14ac:dyDescent="0.25">
      <c r="A5116" s="1"/>
      <c r="B5116" s="1"/>
      <c r="C5116" s="1"/>
      <c r="D5116" s="1"/>
    </row>
    <row r="5117" spans="1:4" x14ac:dyDescent="0.25">
      <c r="A5117" s="1"/>
      <c r="B5117" s="1"/>
      <c r="C5117" s="1"/>
      <c r="D5117" s="1"/>
    </row>
    <row r="5118" spans="1:4" x14ac:dyDescent="0.25">
      <c r="A5118" s="1"/>
      <c r="B5118" s="1"/>
      <c r="C5118" s="1"/>
      <c r="D5118" s="1"/>
    </row>
    <row r="5119" spans="1:4" x14ac:dyDescent="0.25">
      <c r="A5119" s="1"/>
      <c r="B5119" s="1"/>
      <c r="C5119" s="1"/>
      <c r="D5119" s="1"/>
    </row>
    <row r="5120" spans="1:4" x14ac:dyDescent="0.25">
      <c r="A5120" s="1"/>
      <c r="B5120" s="1"/>
      <c r="C5120" s="1"/>
      <c r="D5120" s="1"/>
    </row>
    <row r="5121" spans="1:4" x14ac:dyDescent="0.25">
      <c r="A5121" s="1"/>
      <c r="B5121" s="1"/>
      <c r="C5121" s="1"/>
      <c r="D5121" s="1"/>
    </row>
    <row r="5122" spans="1:4" x14ac:dyDescent="0.25">
      <c r="A5122" s="1"/>
      <c r="B5122" s="1"/>
      <c r="C5122" s="1"/>
      <c r="D5122" s="1"/>
    </row>
    <row r="5123" spans="1:4" x14ac:dyDescent="0.25">
      <c r="A5123" s="1"/>
      <c r="B5123" s="1"/>
      <c r="C5123" s="1"/>
      <c r="D5123" s="1"/>
    </row>
    <row r="5124" spans="1:4" x14ac:dyDescent="0.25">
      <c r="A5124" s="1"/>
      <c r="B5124" s="1"/>
      <c r="C5124" s="1"/>
      <c r="D5124" s="1"/>
    </row>
    <row r="5125" spans="1:4" x14ac:dyDescent="0.25">
      <c r="A5125" s="1"/>
      <c r="B5125" s="1"/>
      <c r="C5125" s="1"/>
      <c r="D5125" s="1"/>
    </row>
    <row r="5126" spans="1:4" x14ac:dyDescent="0.25">
      <c r="A5126" s="1"/>
      <c r="B5126" s="1"/>
      <c r="C5126" s="1"/>
      <c r="D5126" s="1"/>
    </row>
    <row r="5127" spans="1:4" x14ac:dyDescent="0.25">
      <c r="A5127" s="1"/>
      <c r="B5127" s="1"/>
      <c r="C5127" s="1"/>
      <c r="D5127" s="1"/>
    </row>
    <row r="5128" spans="1:4" x14ac:dyDescent="0.25">
      <c r="A5128" s="1"/>
      <c r="B5128" s="1"/>
      <c r="C5128" s="1"/>
      <c r="D5128" s="1"/>
    </row>
    <row r="5129" spans="1:4" x14ac:dyDescent="0.25">
      <c r="A5129" s="1"/>
      <c r="B5129" s="1"/>
      <c r="C5129" s="1"/>
      <c r="D5129" s="1"/>
    </row>
    <row r="5130" spans="1:4" x14ac:dyDescent="0.25">
      <c r="A5130" s="1"/>
      <c r="B5130" s="1"/>
      <c r="C5130" s="1"/>
      <c r="D5130" s="1"/>
    </row>
    <row r="5131" spans="1:4" x14ac:dyDescent="0.25">
      <c r="A5131" s="1"/>
      <c r="B5131" s="1"/>
      <c r="C5131" s="1"/>
      <c r="D5131" s="1"/>
    </row>
    <row r="5132" spans="1:4" x14ac:dyDescent="0.25">
      <c r="A5132" s="1"/>
      <c r="B5132" s="1"/>
      <c r="C5132" s="1"/>
      <c r="D5132" s="1"/>
    </row>
    <row r="5133" spans="1:4" x14ac:dyDescent="0.25">
      <c r="A5133" s="1"/>
      <c r="B5133" s="1"/>
      <c r="C5133" s="1"/>
      <c r="D5133" s="1"/>
    </row>
    <row r="5134" spans="1:4" x14ac:dyDescent="0.25">
      <c r="A5134" s="1"/>
      <c r="B5134" s="1"/>
      <c r="C5134" s="1"/>
      <c r="D5134" s="1"/>
    </row>
    <row r="5135" spans="1:4" x14ac:dyDescent="0.25">
      <c r="A5135" s="1"/>
      <c r="B5135" s="1"/>
      <c r="C5135" s="1"/>
      <c r="D5135" s="1"/>
    </row>
    <row r="5136" spans="1:4" x14ac:dyDescent="0.25">
      <c r="A5136" s="1"/>
      <c r="B5136" s="1"/>
      <c r="C5136" s="1"/>
      <c r="D5136" s="1"/>
    </row>
    <row r="5137" spans="1:4" x14ac:dyDescent="0.25">
      <c r="A5137" s="1"/>
      <c r="B5137" s="1"/>
      <c r="C5137" s="1"/>
      <c r="D5137" s="1"/>
    </row>
    <row r="5138" spans="1:4" x14ac:dyDescent="0.25">
      <c r="A5138" s="1"/>
      <c r="B5138" s="1"/>
      <c r="C5138" s="1"/>
      <c r="D5138" s="1"/>
    </row>
    <row r="5139" spans="1:4" x14ac:dyDescent="0.25">
      <c r="A5139" s="1"/>
      <c r="B5139" s="1"/>
      <c r="C5139" s="1"/>
      <c r="D5139" s="1"/>
    </row>
    <row r="5140" spans="1:4" x14ac:dyDescent="0.25">
      <c r="A5140" s="1"/>
      <c r="B5140" s="1"/>
      <c r="C5140" s="1"/>
      <c r="D5140" s="1"/>
    </row>
    <row r="5141" spans="1:4" x14ac:dyDescent="0.25">
      <c r="A5141" s="1"/>
      <c r="B5141" s="1"/>
      <c r="C5141" s="1"/>
      <c r="D5141" s="1"/>
    </row>
    <row r="5142" spans="1:4" x14ac:dyDescent="0.25">
      <c r="A5142" s="1"/>
      <c r="B5142" s="1"/>
      <c r="C5142" s="1"/>
      <c r="D5142" s="1"/>
    </row>
    <row r="5143" spans="1:4" x14ac:dyDescent="0.25">
      <c r="A5143" s="1"/>
      <c r="B5143" s="1"/>
      <c r="C5143" s="1"/>
      <c r="D5143" s="1"/>
    </row>
    <row r="5144" spans="1:4" x14ac:dyDescent="0.25">
      <c r="A5144" s="1"/>
      <c r="B5144" s="1"/>
      <c r="C5144" s="1"/>
      <c r="D5144" s="1"/>
    </row>
    <row r="5145" spans="1:4" x14ac:dyDescent="0.25">
      <c r="A5145" s="1"/>
      <c r="B5145" s="1"/>
      <c r="C5145" s="1"/>
      <c r="D5145" s="1"/>
    </row>
    <row r="5146" spans="1:4" x14ac:dyDescent="0.25">
      <c r="A5146" s="1"/>
      <c r="B5146" s="1"/>
      <c r="C5146" s="1"/>
      <c r="D5146" s="1"/>
    </row>
    <row r="5147" spans="1:4" x14ac:dyDescent="0.25">
      <c r="A5147" s="1"/>
      <c r="B5147" s="1"/>
      <c r="C5147" s="1"/>
      <c r="D5147" s="1"/>
    </row>
    <row r="5148" spans="1:4" x14ac:dyDescent="0.25">
      <c r="A5148" s="1"/>
      <c r="B5148" s="1"/>
      <c r="C5148" s="1"/>
      <c r="D5148" s="1"/>
    </row>
    <row r="5149" spans="1:4" x14ac:dyDescent="0.25">
      <c r="A5149" s="1"/>
      <c r="B5149" s="1"/>
      <c r="C5149" s="1"/>
      <c r="D5149" s="1"/>
    </row>
    <row r="5150" spans="1:4" x14ac:dyDescent="0.25">
      <c r="A5150" s="1"/>
      <c r="B5150" s="1"/>
      <c r="C5150" s="1"/>
      <c r="D5150" s="1"/>
    </row>
    <row r="5151" spans="1:4" x14ac:dyDescent="0.25">
      <c r="A5151" s="1"/>
      <c r="B5151" s="1"/>
      <c r="C5151" s="1"/>
      <c r="D5151" s="1"/>
    </row>
    <row r="5152" spans="1:4" x14ac:dyDescent="0.25">
      <c r="A5152" s="1"/>
      <c r="B5152" s="1"/>
      <c r="C5152" s="1"/>
      <c r="D5152" s="1"/>
    </row>
    <row r="5153" spans="1:4" x14ac:dyDescent="0.25">
      <c r="A5153" s="1"/>
      <c r="B5153" s="1"/>
      <c r="C5153" s="1"/>
      <c r="D5153" s="1"/>
    </row>
    <row r="5154" spans="1:4" x14ac:dyDescent="0.25">
      <c r="A5154" s="1"/>
      <c r="B5154" s="1"/>
      <c r="C5154" s="1"/>
      <c r="D5154" s="1"/>
    </row>
    <row r="5155" spans="1:4" x14ac:dyDescent="0.25">
      <c r="A5155" s="1"/>
      <c r="B5155" s="1"/>
      <c r="C5155" s="1"/>
      <c r="D5155" s="1"/>
    </row>
    <row r="5156" spans="1:4" x14ac:dyDescent="0.25">
      <c r="A5156" s="1"/>
      <c r="B5156" s="1"/>
      <c r="C5156" s="1"/>
      <c r="D5156" s="1"/>
    </row>
    <row r="5157" spans="1:4" x14ac:dyDescent="0.25">
      <c r="A5157" s="1"/>
      <c r="B5157" s="1"/>
      <c r="C5157" s="1"/>
      <c r="D5157" s="1"/>
    </row>
    <row r="5158" spans="1:4" x14ac:dyDescent="0.25">
      <c r="A5158" s="1"/>
      <c r="B5158" s="1"/>
      <c r="C5158" s="1"/>
      <c r="D5158" s="1"/>
    </row>
    <row r="5159" spans="1:4" x14ac:dyDescent="0.25">
      <c r="A5159" s="1"/>
      <c r="B5159" s="1"/>
      <c r="C5159" s="1"/>
      <c r="D5159" s="1"/>
    </row>
    <row r="5160" spans="1:4" x14ac:dyDescent="0.25">
      <c r="A5160" s="1"/>
      <c r="B5160" s="1"/>
      <c r="C5160" s="1"/>
      <c r="D5160" s="1"/>
    </row>
    <row r="5161" spans="1:4" x14ac:dyDescent="0.25">
      <c r="A5161" s="1"/>
      <c r="B5161" s="1"/>
      <c r="C5161" s="1"/>
      <c r="D5161" s="1"/>
    </row>
    <row r="5162" spans="1:4" x14ac:dyDescent="0.25">
      <c r="A5162" s="1"/>
      <c r="B5162" s="1"/>
      <c r="C5162" s="1"/>
      <c r="D5162" s="1"/>
    </row>
    <row r="5163" spans="1:4" x14ac:dyDescent="0.25">
      <c r="A5163" s="1"/>
      <c r="B5163" s="1"/>
      <c r="C5163" s="1"/>
      <c r="D5163" s="1"/>
    </row>
    <row r="5164" spans="1:4" x14ac:dyDescent="0.25">
      <c r="A5164" s="1"/>
      <c r="B5164" s="1"/>
      <c r="C5164" s="1"/>
      <c r="D5164" s="1"/>
    </row>
    <row r="5165" spans="1:4" x14ac:dyDescent="0.25">
      <c r="A5165" s="1"/>
      <c r="B5165" s="1"/>
      <c r="C5165" s="1"/>
      <c r="D5165" s="1"/>
    </row>
    <row r="5166" spans="1:4" x14ac:dyDescent="0.25">
      <c r="A5166" s="1"/>
      <c r="B5166" s="1"/>
      <c r="C5166" s="1"/>
      <c r="D5166" s="1"/>
    </row>
    <row r="5167" spans="1:4" x14ac:dyDescent="0.25">
      <c r="A5167" s="1"/>
      <c r="B5167" s="1"/>
      <c r="C5167" s="1"/>
      <c r="D5167" s="1"/>
    </row>
    <row r="5168" spans="1:4" x14ac:dyDescent="0.25">
      <c r="A5168" s="1"/>
      <c r="B5168" s="1"/>
      <c r="C5168" s="1"/>
      <c r="D5168" s="1"/>
    </row>
    <row r="5169" spans="1:4" x14ac:dyDescent="0.25">
      <c r="A5169" s="1"/>
      <c r="B5169" s="1"/>
      <c r="C5169" s="1"/>
      <c r="D516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E24C-DFE8-41B1-8123-4F8111CE5F56}">
  <dimension ref="A1:D812"/>
  <sheetViews>
    <sheetView workbookViewId="0">
      <selection activeCell="D2" sqref="A2:D2"/>
    </sheetView>
  </sheetViews>
  <sheetFormatPr defaultRowHeight="15" x14ac:dyDescent="0.25"/>
  <cols>
    <col min="1" max="1" width="15.28515625" bestFit="1" customWidth="1"/>
    <col min="2" max="2" width="34" bestFit="1" customWidth="1"/>
    <col min="3" max="3" width="10.42578125" customWidth="1"/>
    <col min="4" max="4" width="11.5703125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D2" s="2"/>
    </row>
    <row r="3" spans="1:4" x14ac:dyDescent="0.25">
      <c r="A3" s="1" t="s">
        <v>146</v>
      </c>
      <c r="B3" s="1" t="s">
        <v>173</v>
      </c>
      <c r="C3" s="1" t="s">
        <v>194</v>
      </c>
      <c r="D3" s="1" t="s">
        <v>95</v>
      </c>
    </row>
    <row r="4" spans="1:4" x14ac:dyDescent="0.25">
      <c r="A4" s="1" t="s">
        <v>146</v>
      </c>
      <c r="B4" s="1" t="s">
        <v>174</v>
      </c>
      <c r="C4" s="1" t="s">
        <v>195</v>
      </c>
      <c r="D4" s="1" t="s">
        <v>78</v>
      </c>
    </row>
    <row r="5" spans="1:4" x14ac:dyDescent="0.25">
      <c r="A5" s="1" t="s">
        <v>146</v>
      </c>
      <c r="B5" s="1" t="s">
        <v>175</v>
      </c>
      <c r="C5" s="1" t="s">
        <v>196</v>
      </c>
      <c r="D5" s="1" t="s">
        <v>97</v>
      </c>
    </row>
    <row r="6" spans="1:4" x14ac:dyDescent="0.25">
      <c r="A6" s="1" t="s">
        <v>146</v>
      </c>
      <c r="B6" s="1" t="s">
        <v>176</v>
      </c>
      <c r="C6" s="1" t="s">
        <v>197</v>
      </c>
      <c r="D6" s="1" t="s">
        <v>78</v>
      </c>
    </row>
    <row r="7" spans="1:4" x14ac:dyDescent="0.25">
      <c r="A7" s="1" t="s">
        <v>146</v>
      </c>
      <c r="B7" s="1" t="s">
        <v>177</v>
      </c>
      <c r="C7" s="1" t="s">
        <v>198</v>
      </c>
      <c r="D7" s="1" t="s">
        <v>223</v>
      </c>
    </row>
    <row r="8" spans="1:4" x14ac:dyDescent="0.25">
      <c r="A8" s="1" t="s">
        <v>146</v>
      </c>
      <c r="B8" s="1" t="s">
        <v>33</v>
      </c>
      <c r="C8" s="1" t="s">
        <v>199</v>
      </c>
      <c r="D8" s="1" t="s">
        <v>224</v>
      </c>
    </row>
    <row r="9" spans="1:4" x14ac:dyDescent="0.25">
      <c r="A9" s="1" t="s">
        <v>146</v>
      </c>
      <c r="B9" s="1" t="s">
        <v>34</v>
      </c>
      <c r="C9" s="1" t="s">
        <v>200</v>
      </c>
      <c r="D9" s="1" t="s">
        <v>225</v>
      </c>
    </row>
    <row r="10" spans="1:4" x14ac:dyDescent="0.25">
      <c r="A10" s="1" t="s">
        <v>146</v>
      </c>
      <c r="B10" s="1" t="s">
        <v>35</v>
      </c>
      <c r="C10" s="1" t="s">
        <v>201</v>
      </c>
      <c r="D10" s="1" t="s">
        <v>226</v>
      </c>
    </row>
    <row r="11" spans="1:4" x14ac:dyDescent="0.25">
      <c r="A11" s="1" t="s">
        <v>146</v>
      </c>
      <c r="B11" s="1" t="s">
        <v>36</v>
      </c>
      <c r="C11" s="1" t="s">
        <v>202</v>
      </c>
      <c r="D11" s="1" t="s">
        <v>227</v>
      </c>
    </row>
    <row r="12" spans="1:4" x14ac:dyDescent="0.25">
      <c r="A12" s="1" t="s">
        <v>146</v>
      </c>
      <c r="B12" s="1" t="s">
        <v>37</v>
      </c>
      <c r="C12" s="1" t="s">
        <v>203</v>
      </c>
      <c r="D12" s="1" t="s">
        <v>228</v>
      </c>
    </row>
    <row r="13" spans="1:4" x14ac:dyDescent="0.25">
      <c r="A13" s="1" t="s">
        <v>146</v>
      </c>
      <c r="B13" s="1" t="s">
        <v>38</v>
      </c>
      <c r="C13" s="1" t="s">
        <v>204</v>
      </c>
      <c r="D13" s="1" t="s">
        <v>229</v>
      </c>
    </row>
    <row r="14" spans="1:4" x14ac:dyDescent="0.25">
      <c r="A14" s="1" t="s">
        <v>146</v>
      </c>
      <c r="B14" s="1" t="s">
        <v>178</v>
      </c>
      <c r="C14" s="1" t="s">
        <v>205</v>
      </c>
      <c r="D14" s="1" t="s">
        <v>78</v>
      </c>
    </row>
    <row r="15" spans="1:4" x14ac:dyDescent="0.25">
      <c r="A15" s="1" t="s">
        <v>146</v>
      </c>
      <c r="B15" s="1" t="s">
        <v>179</v>
      </c>
      <c r="C15" s="1" t="s">
        <v>206</v>
      </c>
      <c r="D15" s="1" t="s">
        <v>230</v>
      </c>
    </row>
    <row r="16" spans="1:4" x14ac:dyDescent="0.25">
      <c r="A16" s="1" t="s">
        <v>146</v>
      </c>
      <c r="B16" s="1" t="s">
        <v>40</v>
      </c>
      <c r="C16" s="1" t="s">
        <v>207</v>
      </c>
      <c r="D16" s="1" t="s">
        <v>231</v>
      </c>
    </row>
    <row r="17" spans="1:4" x14ac:dyDescent="0.25">
      <c r="A17" s="1" t="s">
        <v>146</v>
      </c>
      <c r="B17" s="1" t="s">
        <v>180</v>
      </c>
      <c r="C17" s="1" t="s">
        <v>208</v>
      </c>
      <c r="D17" s="1" t="s">
        <v>97</v>
      </c>
    </row>
    <row r="18" spans="1:4" x14ac:dyDescent="0.25">
      <c r="A18" s="1" t="s">
        <v>146</v>
      </c>
      <c r="B18" s="1" t="s">
        <v>43</v>
      </c>
      <c r="C18" s="1" t="s">
        <v>209</v>
      </c>
      <c r="D18" s="1" t="s">
        <v>232</v>
      </c>
    </row>
    <row r="19" spans="1:4" x14ac:dyDescent="0.25">
      <c r="A19" s="1" t="s">
        <v>146</v>
      </c>
      <c r="B19" s="1" t="s">
        <v>181</v>
      </c>
      <c r="C19" s="1" t="s">
        <v>210</v>
      </c>
      <c r="D19" s="1" t="s">
        <v>78</v>
      </c>
    </row>
    <row r="20" spans="1:4" x14ac:dyDescent="0.25">
      <c r="A20" s="1" t="s">
        <v>146</v>
      </c>
      <c r="B20" s="1" t="s">
        <v>182</v>
      </c>
      <c r="C20" s="1" t="s">
        <v>211</v>
      </c>
      <c r="D20" s="1" t="s">
        <v>78</v>
      </c>
    </row>
    <row r="21" spans="1:4" x14ac:dyDescent="0.25">
      <c r="A21" s="1" t="s">
        <v>146</v>
      </c>
      <c r="B21" s="1" t="s">
        <v>183</v>
      </c>
      <c r="C21" s="1" t="s">
        <v>212</v>
      </c>
      <c r="D21" s="1" t="s">
        <v>233</v>
      </c>
    </row>
    <row r="22" spans="1:4" x14ac:dyDescent="0.25">
      <c r="A22" s="1" t="s">
        <v>146</v>
      </c>
      <c r="B22" s="1" t="s">
        <v>184</v>
      </c>
      <c r="C22" s="1" t="s">
        <v>213</v>
      </c>
      <c r="D22" s="1" t="s">
        <v>234</v>
      </c>
    </row>
    <row r="23" spans="1:4" x14ac:dyDescent="0.25">
      <c r="A23" s="1" t="s">
        <v>146</v>
      </c>
      <c r="B23" s="1" t="s">
        <v>185</v>
      </c>
      <c r="C23" s="1" t="s">
        <v>214</v>
      </c>
      <c r="D23" s="1" t="s">
        <v>78</v>
      </c>
    </row>
    <row r="24" spans="1:4" x14ac:dyDescent="0.25">
      <c r="A24" s="1" t="s">
        <v>146</v>
      </c>
      <c r="B24" s="1" t="s">
        <v>186</v>
      </c>
      <c r="C24" s="1" t="s">
        <v>215</v>
      </c>
      <c r="D24" s="1" t="s">
        <v>95</v>
      </c>
    </row>
    <row r="25" spans="1:4" x14ac:dyDescent="0.25">
      <c r="A25" s="1" t="s">
        <v>146</v>
      </c>
      <c r="B25" s="1" t="s">
        <v>187</v>
      </c>
      <c r="C25" s="1" t="s">
        <v>216</v>
      </c>
      <c r="D25" s="1" t="s">
        <v>235</v>
      </c>
    </row>
    <row r="26" spans="1:4" x14ac:dyDescent="0.25">
      <c r="A26" s="1" t="s">
        <v>146</v>
      </c>
      <c r="B26" s="1" t="s">
        <v>188</v>
      </c>
      <c r="C26" s="1" t="s">
        <v>217</v>
      </c>
      <c r="D26" s="1" t="s">
        <v>78</v>
      </c>
    </row>
    <row r="27" spans="1:4" x14ac:dyDescent="0.25">
      <c r="A27" s="1" t="s">
        <v>146</v>
      </c>
      <c r="B27" s="1" t="s">
        <v>189</v>
      </c>
      <c r="C27" s="1" t="s">
        <v>218</v>
      </c>
      <c r="D27" s="1" t="s">
        <v>78</v>
      </c>
    </row>
    <row r="28" spans="1:4" x14ac:dyDescent="0.25">
      <c r="A28" s="1" t="s">
        <v>146</v>
      </c>
      <c r="B28" s="1" t="s">
        <v>190</v>
      </c>
      <c r="C28" s="1" t="s">
        <v>219</v>
      </c>
      <c r="D28" s="1" t="s">
        <v>145</v>
      </c>
    </row>
    <row r="29" spans="1:4" x14ac:dyDescent="0.25">
      <c r="A29" s="1" t="s">
        <v>146</v>
      </c>
      <c r="B29" s="1" t="s">
        <v>191</v>
      </c>
      <c r="C29" s="1" t="s">
        <v>220</v>
      </c>
      <c r="D29" s="1" t="s">
        <v>92</v>
      </c>
    </row>
    <row r="30" spans="1:4" x14ac:dyDescent="0.25">
      <c r="A30" s="1" t="s">
        <v>146</v>
      </c>
      <c r="B30" s="1" t="s">
        <v>192</v>
      </c>
      <c r="C30" s="1" t="s">
        <v>221</v>
      </c>
      <c r="D30" s="1" t="s">
        <v>92</v>
      </c>
    </row>
    <row r="31" spans="1:4" x14ac:dyDescent="0.25">
      <c r="A31" s="1" t="s">
        <v>146</v>
      </c>
      <c r="B31" s="1" t="s">
        <v>193</v>
      </c>
      <c r="C31" s="1" t="s">
        <v>222</v>
      </c>
      <c r="D31" s="1" t="s">
        <v>95</v>
      </c>
    </row>
    <row r="32" spans="1:4" x14ac:dyDescent="0.25">
      <c r="A32" s="1" t="s">
        <v>146</v>
      </c>
      <c r="B32" s="1"/>
      <c r="C32" s="1"/>
      <c r="D32" s="1"/>
    </row>
    <row r="33" spans="1:4" x14ac:dyDescent="0.25">
      <c r="A33" s="1" t="s">
        <v>147</v>
      </c>
      <c r="B33" s="1" t="s">
        <v>173</v>
      </c>
      <c r="C33" s="1" t="s">
        <v>194</v>
      </c>
      <c r="D33" s="1" t="s">
        <v>95</v>
      </c>
    </row>
    <row r="34" spans="1:4" x14ac:dyDescent="0.25">
      <c r="A34" s="1" t="s">
        <v>147</v>
      </c>
      <c r="B34" s="1" t="s">
        <v>174</v>
      </c>
      <c r="C34" s="1" t="s">
        <v>195</v>
      </c>
      <c r="D34" s="1" t="s">
        <v>97</v>
      </c>
    </row>
    <row r="35" spans="1:4" x14ac:dyDescent="0.25">
      <c r="A35" s="1" t="s">
        <v>147</v>
      </c>
      <c r="B35" s="1" t="s">
        <v>175</v>
      </c>
      <c r="C35" s="1" t="s">
        <v>196</v>
      </c>
      <c r="D35" s="1" t="s">
        <v>97</v>
      </c>
    </row>
    <row r="36" spans="1:4" x14ac:dyDescent="0.25">
      <c r="A36" s="1" t="s">
        <v>147</v>
      </c>
      <c r="B36" s="1" t="s">
        <v>176</v>
      </c>
      <c r="C36" s="1" t="s">
        <v>197</v>
      </c>
      <c r="D36" s="1" t="s">
        <v>78</v>
      </c>
    </row>
    <row r="37" spans="1:4" x14ac:dyDescent="0.25">
      <c r="A37" s="1" t="s">
        <v>147</v>
      </c>
      <c r="B37" s="1" t="s">
        <v>177</v>
      </c>
      <c r="C37" s="1" t="s">
        <v>198</v>
      </c>
      <c r="D37" s="1" t="s">
        <v>223</v>
      </c>
    </row>
    <row r="38" spans="1:4" x14ac:dyDescent="0.25">
      <c r="A38" s="1" t="s">
        <v>147</v>
      </c>
      <c r="B38" s="1" t="s">
        <v>33</v>
      </c>
      <c r="C38" s="1" t="s">
        <v>199</v>
      </c>
      <c r="D38" s="1" t="s">
        <v>236</v>
      </c>
    </row>
    <row r="39" spans="1:4" x14ac:dyDescent="0.25">
      <c r="A39" s="1" t="s">
        <v>147</v>
      </c>
      <c r="B39" s="1" t="s">
        <v>34</v>
      </c>
      <c r="C39" s="1" t="s">
        <v>200</v>
      </c>
      <c r="D39" s="1" t="s">
        <v>237</v>
      </c>
    </row>
    <row r="40" spans="1:4" x14ac:dyDescent="0.25">
      <c r="A40" s="1" t="s">
        <v>147</v>
      </c>
      <c r="B40" s="1" t="s">
        <v>35</v>
      </c>
      <c r="C40" s="1" t="s">
        <v>201</v>
      </c>
      <c r="D40" s="1" t="s">
        <v>238</v>
      </c>
    </row>
    <row r="41" spans="1:4" x14ac:dyDescent="0.25">
      <c r="A41" s="1" t="s">
        <v>147</v>
      </c>
      <c r="B41" s="1" t="s">
        <v>36</v>
      </c>
      <c r="C41" s="1" t="s">
        <v>202</v>
      </c>
      <c r="D41" s="1" t="s">
        <v>239</v>
      </c>
    </row>
    <row r="42" spans="1:4" x14ac:dyDescent="0.25">
      <c r="A42" s="1" t="s">
        <v>147</v>
      </c>
      <c r="B42" s="1" t="s">
        <v>37</v>
      </c>
      <c r="C42" s="1" t="s">
        <v>203</v>
      </c>
      <c r="D42" s="1" t="s">
        <v>240</v>
      </c>
    </row>
    <row r="43" spans="1:4" x14ac:dyDescent="0.25">
      <c r="A43" s="1" t="s">
        <v>147</v>
      </c>
      <c r="B43" s="1" t="s">
        <v>38</v>
      </c>
      <c r="C43" s="1" t="s">
        <v>204</v>
      </c>
      <c r="D43" s="1" t="s">
        <v>241</v>
      </c>
    </row>
    <row r="44" spans="1:4" x14ac:dyDescent="0.25">
      <c r="A44" s="1" t="s">
        <v>147</v>
      </c>
      <c r="B44" s="1" t="s">
        <v>178</v>
      </c>
      <c r="C44" s="1" t="s">
        <v>205</v>
      </c>
      <c r="D44" s="1" t="s">
        <v>78</v>
      </c>
    </row>
    <row r="45" spans="1:4" x14ac:dyDescent="0.25">
      <c r="A45" s="1" t="s">
        <v>147</v>
      </c>
      <c r="B45" s="1" t="s">
        <v>179</v>
      </c>
      <c r="C45" s="1" t="s">
        <v>206</v>
      </c>
      <c r="D45" s="1" t="s">
        <v>242</v>
      </c>
    </row>
    <row r="46" spans="1:4" x14ac:dyDescent="0.25">
      <c r="A46" s="1" t="s">
        <v>147</v>
      </c>
      <c r="B46" s="1" t="s">
        <v>40</v>
      </c>
      <c r="C46" s="1" t="s">
        <v>207</v>
      </c>
      <c r="D46" s="1" t="s">
        <v>243</v>
      </c>
    </row>
    <row r="47" spans="1:4" x14ac:dyDescent="0.25">
      <c r="A47" s="1" t="s">
        <v>147</v>
      </c>
      <c r="B47" s="1" t="s">
        <v>180</v>
      </c>
      <c r="C47" s="1" t="s">
        <v>208</v>
      </c>
      <c r="D47" s="1" t="s">
        <v>244</v>
      </c>
    </row>
    <row r="48" spans="1:4" x14ac:dyDescent="0.25">
      <c r="A48" s="1" t="s">
        <v>147</v>
      </c>
      <c r="B48" s="1" t="s">
        <v>43</v>
      </c>
      <c r="C48" s="1" t="s">
        <v>209</v>
      </c>
      <c r="D48" s="1" t="s">
        <v>96</v>
      </c>
    </row>
    <row r="49" spans="1:4" x14ac:dyDescent="0.25">
      <c r="A49" s="1" t="s">
        <v>147</v>
      </c>
      <c r="B49" s="1" t="s">
        <v>181</v>
      </c>
      <c r="C49" s="1" t="s">
        <v>210</v>
      </c>
      <c r="D49" s="1" t="s">
        <v>78</v>
      </c>
    </row>
    <row r="50" spans="1:4" x14ac:dyDescent="0.25">
      <c r="A50" s="1" t="s">
        <v>147</v>
      </c>
      <c r="B50" s="1" t="s">
        <v>182</v>
      </c>
      <c r="C50" s="1" t="s">
        <v>211</v>
      </c>
      <c r="D50" s="1" t="s">
        <v>78</v>
      </c>
    </row>
    <row r="51" spans="1:4" x14ac:dyDescent="0.25">
      <c r="A51" s="1" t="s">
        <v>147</v>
      </c>
      <c r="B51" s="1" t="s">
        <v>183</v>
      </c>
      <c r="C51" s="1" t="s">
        <v>212</v>
      </c>
      <c r="D51" s="1" t="s">
        <v>233</v>
      </c>
    </row>
    <row r="52" spans="1:4" x14ac:dyDescent="0.25">
      <c r="A52" s="1" t="s">
        <v>147</v>
      </c>
      <c r="B52" s="1" t="s">
        <v>184</v>
      </c>
      <c r="C52" s="1" t="s">
        <v>213</v>
      </c>
      <c r="D52" s="1" t="s">
        <v>234</v>
      </c>
    </row>
    <row r="53" spans="1:4" x14ac:dyDescent="0.25">
      <c r="A53" s="1" t="s">
        <v>147</v>
      </c>
      <c r="B53" s="1" t="s">
        <v>185</v>
      </c>
      <c r="C53" s="1" t="s">
        <v>214</v>
      </c>
      <c r="D53" s="1" t="s">
        <v>78</v>
      </c>
    </row>
    <row r="54" spans="1:4" x14ac:dyDescent="0.25">
      <c r="A54" s="1" t="s">
        <v>147</v>
      </c>
      <c r="B54" s="1" t="s">
        <v>186</v>
      </c>
      <c r="C54" s="1" t="s">
        <v>215</v>
      </c>
      <c r="D54" s="1" t="s">
        <v>95</v>
      </c>
    </row>
    <row r="55" spans="1:4" x14ac:dyDescent="0.25">
      <c r="A55" s="1" t="s">
        <v>147</v>
      </c>
      <c r="B55" s="1" t="s">
        <v>187</v>
      </c>
      <c r="C55" s="1" t="s">
        <v>216</v>
      </c>
      <c r="D55" s="1" t="s">
        <v>235</v>
      </c>
    </row>
    <row r="56" spans="1:4" x14ac:dyDescent="0.25">
      <c r="A56" s="1" t="s">
        <v>147</v>
      </c>
      <c r="B56" s="1" t="s">
        <v>188</v>
      </c>
      <c r="C56" s="1" t="s">
        <v>217</v>
      </c>
      <c r="D56" s="1" t="s">
        <v>78</v>
      </c>
    </row>
    <row r="57" spans="1:4" x14ac:dyDescent="0.25">
      <c r="A57" s="1" t="s">
        <v>147</v>
      </c>
      <c r="B57" s="1" t="s">
        <v>189</v>
      </c>
      <c r="C57" s="1" t="s">
        <v>218</v>
      </c>
      <c r="D57" s="1" t="s">
        <v>78</v>
      </c>
    </row>
    <row r="58" spans="1:4" x14ac:dyDescent="0.25">
      <c r="A58" s="1" t="s">
        <v>147</v>
      </c>
      <c r="B58" s="1" t="s">
        <v>190</v>
      </c>
      <c r="C58" s="1" t="s">
        <v>219</v>
      </c>
      <c r="D58" s="1" t="s">
        <v>98</v>
      </c>
    </row>
    <row r="59" spans="1:4" x14ac:dyDescent="0.25">
      <c r="A59" s="1" t="s">
        <v>147</v>
      </c>
      <c r="B59" s="1" t="s">
        <v>191</v>
      </c>
      <c r="C59" s="1" t="s">
        <v>220</v>
      </c>
      <c r="D59" s="1" t="s">
        <v>92</v>
      </c>
    </row>
    <row r="60" spans="1:4" x14ac:dyDescent="0.25">
      <c r="A60" s="1" t="s">
        <v>147</v>
      </c>
      <c r="B60" s="1" t="s">
        <v>192</v>
      </c>
      <c r="C60" s="1" t="s">
        <v>221</v>
      </c>
      <c r="D60" s="1" t="s">
        <v>92</v>
      </c>
    </row>
    <row r="61" spans="1:4" x14ac:dyDescent="0.25">
      <c r="A61" s="1" t="s">
        <v>147</v>
      </c>
      <c r="B61" s="1" t="s">
        <v>193</v>
      </c>
      <c r="C61" s="1" t="s">
        <v>222</v>
      </c>
      <c r="D61" s="1" t="s">
        <v>245</v>
      </c>
    </row>
    <row r="62" spans="1:4" x14ac:dyDescent="0.25">
      <c r="A62" s="1" t="s">
        <v>147</v>
      </c>
      <c r="B62" s="1"/>
      <c r="C62" s="1"/>
      <c r="D62" s="1"/>
    </row>
    <row r="63" spans="1:4" x14ac:dyDescent="0.25">
      <c r="A63" s="1" t="s">
        <v>148</v>
      </c>
      <c r="B63" s="1" t="s">
        <v>173</v>
      </c>
      <c r="C63" s="1" t="s">
        <v>194</v>
      </c>
      <c r="D63" s="1" t="s">
        <v>95</v>
      </c>
    </row>
    <row r="64" spans="1:4" x14ac:dyDescent="0.25">
      <c r="A64" s="1" t="s">
        <v>148</v>
      </c>
      <c r="B64" s="1" t="s">
        <v>174</v>
      </c>
      <c r="C64" s="1" t="s">
        <v>195</v>
      </c>
      <c r="D64" s="1" t="s">
        <v>97</v>
      </c>
    </row>
    <row r="65" spans="1:4" x14ac:dyDescent="0.25">
      <c r="A65" s="1" t="s">
        <v>148</v>
      </c>
      <c r="B65" s="1" t="s">
        <v>175</v>
      </c>
      <c r="C65" s="1" t="s">
        <v>196</v>
      </c>
      <c r="D65" s="1" t="s">
        <v>97</v>
      </c>
    </row>
    <row r="66" spans="1:4" x14ac:dyDescent="0.25">
      <c r="A66" s="1" t="s">
        <v>148</v>
      </c>
      <c r="B66" s="1" t="s">
        <v>176</v>
      </c>
      <c r="C66" s="1" t="s">
        <v>197</v>
      </c>
      <c r="D66" s="1" t="s">
        <v>78</v>
      </c>
    </row>
    <row r="67" spans="1:4" x14ac:dyDescent="0.25">
      <c r="A67" s="1" t="s">
        <v>148</v>
      </c>
      <c r="B67" s="1" t="s">
        <v>177</v>
      </c>
      <c r="C67" s="1" t="s">
        <v>198</v>
      </c>
      <c r="D67" s="1" t="s">
        <v>223</v>
      </c>
    </row>
    <row r="68" spans="1:4" x14ac:dyDescent="0.25">
      <c r="A68" s="1" t="s">
        <v>148</v>
      </c>
      <c r="B68" s="1" t="s">
        <v>33</v>
      </c>
      <c r="C68" s="1" t="s">
        <v>199</v>
      </c>
      <c r="D68" s="1" t="s">
        <v>236</v>
      </c>
    </row>
    <row r="69" spans="1:4" x14ac:dyDescent="0.25">
      <c r="A69" s="1" t="s">
        <v>148</v>
      </c>
      <c r="B69" s="1" t="s">
        <v>34</v>
      </c>
      <c r="C69" s="1" t="s">
        <v>200</v>
      </c>
      <c r="D69" s="1" t="s">
        <v>237</v>
      </c>
    </row>
    <row r="70" spans="1:4" x14ac:dyDescent="0.25">
      <c r="A70" s="1" t="s">
        <v>148</v>
      </c>
      <c r="B70" s="1" t="s">
        <v>35</v>
      </c>
      <c r="C70" s="1" t="s">
        <v>201</v>
      </c>
      <c r="D70" s="1" t="s">
        <v>238</v>
      </c>
    </row>
    <row r="71" spans="1:4" x14ac:dyDescent="0.25">
      <c r="A71" s="1" t="s">
        <v>148</v>
      </c>
      <c r="B71" s="1" t="s">
        <v>36</v>
      </c>
      <c r="C71" s="1" t="s">
        <v>202</v>
      </c>
      <c r="D71" s="1" t="s">
        <v>239</v>
      </c>
    </row>
    <row r="72" spans="1:4" x14ac:dyDescent="0.25">
      <c r="A72" s="1" t="s">
        <v>148</v>
      </c>
      <c r="B72" s="1" t="s">
        <v>37</v>
      </c>
      <c r="C72" s="1" t="s">
        <v>203</v>
      </c>
      <c r="D72" s="1" t="s">
        <v>240</v>
      </c>
    </row>
    <row r="73" spans="1:4" x14ac:dyDescent="0.25">
      <c r="A73" s="1" t="s">
        <v>148</v>
      </c>
      <c r="B73" s="1" t="s">
        <v>38</v>
      </c>
      <c r="C73" s="1" t="s">
        <v>204</v>
      </c>
      <c r="D73" s="1" t="s">
        <v>241</v>
      </c>
    </row>
    <row r="74" spans="1:4" x14ac:dyDescent="0.25">
      <c r="A74" s="1" t="s">
        <v>148</v>
      </c>
      <c r="B74" s="1" t="s">
        <v>178</v>
      </c>
      <c r="C74" s="1" t="s">
        <v>205</v>
      </c>
      <c r="D74" s="1" t="s">
        <v>78</v>
      </c>
    </row>
    <row r="75" spans="1:4" x14ac:dyDescent="0.25">
      <c r="A75" s="1" t="s">
        <v>148</v>
      </c>
      <c r="B75" s="1" t="s">
        <v>179</v>
      </c>
      <c r="C75" s="1" t="s">
        <v>206</v>
      </c>
      <c r="D75" s="1" t="s">
        <v>242</v>
      </c>
    </row>
    <row r="76" spans="1:4" x14ac:dyDescent="0.25">
      <c r="A76" s="1" t="s">
        <v>148</v>
      </c>
      <c r="B76" s="1" t="s">
        <v>40</v>
      </c>
      <c r="C76" s="1" t="s">
        <v>207</v>
      </c>
      <c r="D76" s="1" t="s">
        <v>243</v>
      </c>
    </row>
    <row r="77" spans="1:4" x14ac:dyDescent="0.25">
      <c r="A77" s="1" t="s">
        <v>148</v>
      </c>
      <c r="B77" s="1" t="s">
        <v>180</v>
      </c>
      <c r="C77" s="1" t="s">
        <v>208</v>
      </c>
      <c r="D77" s="1" t="s">
        <v>244</v>
      </c>
    </row>
    <row r="78" spans="1:4" x14ac:dyDescent="0.25">
      <c r="A78" s="1" t="s">
        <v>148</v>
      </c>
      <c r="B78" s="1" t="s">
        <v>43</v>
      </c>
      <c r="C78" s="1" t="s">
        <v>209</v>
      </c>
      <c r="D78" s="1" t="s">
        <v>96</v>
      </c>
    </row>
    <row r="79" spans="1:4" x14ac:dyDescent="0.25">
      <c r="A79" s="1" t="s">
        <v>148</v>
      </c>
      <c r="B79" s="1" t="s">
        <v>181</v>
      </c>
      <c r="C79" s="1" t="s">
        <v>210</v>
      </c>
      <c r="D79" s="1" t="s">
        <v>78</v>
      </c>
    </row>
    <row r="80" spans="1:4" x14ac:dyDescent="0.25">
      <c r="A80" s="1" t="s">
        <v>148</v>
      </c>
      <c r="B80" s="1" t="s">
        <v>182</v>
      </c>
      <c r="C80" s="1" t="s">
        <v>211</v>
      </c>
      <c r="D80" s="1" t="s">
        <v>78</v>
      </c>
    </row>
    <row r="81" spans="1:4" x14ac:dyDescent="0.25">
      <c r="A81" s="1" t="s">
        <v>148</v>
      </c>
      <c r="B81" s="1" t="s">
        <v>183</v>
      </c>
      <c r="C81" s="1" t="s">
        <v>212</v>
      </c>
      <c r="D81" s="1" t="s">
        <v>233</v>
      </c>
    </row>
    <row r="82" spans="1:4" x14ac:dyDescent="0.25">
      <c r="A82" s="1" t="s">
        <v>148</v>
      </c>
      <c r="B82" s="1" t="s">
        <v>184</v>
      </c>
      <c r="C82" s="1" t="s">
        <v>213</v>
      </c>
      <c r="D82" s="1" t="s">
        <v>234</v>
      </c>
    </row>
    <row r="83" spans="1:4" x14ac:dyDescent="0.25">
      <c r="A83" s="1" t="s">
        <v>148</v>
      </c>
      <c r="B83" s="1" t="s">
        <v>185</v>
      </c>
      <c r="C83" s="1" t="s">
        <v>214</v>
      </c>
      <c r="D83" s="1" t="s">
        <v>78</v>
      </c>
    </row>
    <row r="84" spans="1:4" x14ac:dyDescent="0.25">
      <c r="A84" s="1" t="s">
        <v>148</v>
      </c>
      <c r="B84" s="1" t="s">
        <v>186</v>
      </c>
      <c r="C84" s="1" t="s">
        <v>215</v>
      </c>
      <c r="D84" s="1" t="s">
        <v>95</v>
      </c>
    </row>
    <row r="85" spans="1:4" x14ac:dyDescent="0.25">
      <c r="A85" s="1" t="s">
        <v>148</v>
      </c>
      <c r="B85" s="1" t="s">
        <v>187</v>
      </c>
      <c r="C85" s="1" t="s">
        <v>216</v>
      </c>
      <c r="D85" s="1" t="s">
        <v>235</v>
      </c>
    </row>
    <row r="86" spans="1:4" x14ac:dyDescent="0.25">
      <c r="A86" s="1" t="s">
        <v>148</v>
      </c>
      <c r="B86" s="1" t="s">
        <v>188</v>
      </c>
      <c r="C86" s="1" t="s">
        <v>217</v>
      </c>
      <c r="D86" s="1" t="s">
        <v>78</v>
      </c>
    </row>
    <row r="87" spans="1:4" x14ac:dyDescent="0.25">
      <c r="A87" s="1" t="s">
        <v>148</v>
      </c>
      <c r="B87" s="1" t="s">
        <v>189</v>
      </c>
      <c r="C87" s="1" t="s">
        <v>218</v>
      </c>
      <c r="D87" s="1" t="s">
        <v>78</v>
      </c>
    </row>
    <row r="88" spans="1:4" x14ac:dyDescent="0.25">
      <c r="A88" s="1" t="s">
        <v>148</v>
      </c>
      <c r="B88" s="1" t="s">
        <v>190</v>
      </c>
      <c r="C88" s="1" t="s">
        <v>219</v>
      </c>
      <c r="D88" s="1" t="s">
        <v>98</v>
      </c>
    </row>
    <row r="89" spans="1:4" x14ac:dyDescent="0.25">
      <c r="A89" s="1" t="s">
        <v>148</v>
      </c>
      <c r="B89" s="1" t="s">
        <v>191</v>
      </c>
      <c r="C89" s="1" t="s">
        <v>220</v>
      </c>
      <c r="D89" s="1" t="s">
        <v>92</v>
      </c>
    </row>
    <row r="90" spans="1:4" x14ac:dyDescent="0.25">
      <c r="A90" s="1" t="s">
        <v>148</v>
      </c>
      <c r="B90" s="1" t="s">
        <v>192</v>
      </c>
      <c r="C90" s="1" t="s">
        <v>221</v>
      </c>
      <c r="D90" s="1" t="s">
        <v>92</v>
      </c>
    </row>
    <row r="91" spans="1:4" x14ac:dyDescent="0.25">
      <c r="A91" s="1" t="s">
        <v>148</v>
      </c>
      <c r="B91" s="1" t="s">
        <v>193</v>
      </c>
      <c r="C91" s="1" t="s">
        <v>222</v>
      </c>
      <c r="D91" s="1" t="s">
        <v>245</v>
      </c>
    </row>
    <row r="92" spans="1:4" x14ac:dyDescent="0.25">
      <c r="A92" s="1" t="s">
        <v>148</v>
      </c>
      <c r="B92" s="1"/>
      <c r="C92" s="1"/>
      <c r="D92" s="1"/>
    </row>
    <row r="93" spans="1:4" x14ac:dyDescent="0.25">
      <c r="A93" s="1" t="s">
        <v>149</v>
      </c>
      <c r="B93" s="1" t="s">
        <v>173</v>
      </c>
      <c r="C93" s="1" t="s">
        <v>194</v>
      </c>
      <c r="D93" s="1" t="s">
        <v>95</v>
      </c>
    </row>
    <row r="94" spans="1:4" x14ac:dyDescent="0.25">
      <c r="A94" s="1" t="s">
        <v>149</v>
      </c>
      <c r="B94" s="1" t="s">
        <v>174</v>
      </c>
      <c r="C94" s="1" t="s">
        <v>195</v>
      </c>
      <c r="D94" s="1" t="s">
        <v>95</v>
      </c>
    </row>
    <row r="95" spans="1:4" x14ac:dyDescent="0.25">
      <c r="A95" s="1" t="s">
        <v>149</v>
      </c>
      <c r="B95" s="1" t="s">
        <v>175</v>
      </c>
      <c r="C95" s="1" t="s">
        <v>196</v>
      </c>
      <c r="D95" s="1" t="s">
        <v>246</v>
      </c>
    </row>
    <row r="96" spans="1:4" x14ac:dyDescent="0.25">
      <c r="A96" s="1" t="s">
        <v>149</v>
      </c>
      <c r="B96" s="1" t="s">
        <v>176</v>
      </c>
      <c r="C96" s="1" t="s">
        <v>197</v>
      </c>
      <c r="D96" s="1" t="s">
        <v>246</v>
      </c>
    </row>
    <row r="97" spans="1:4" x14ac:dyDescent="0.25">
      <c r="A97" s="1" t="s">
        <v>149</v>
      </c>
      <c r="B97" s="1" t="s">
        <v>177</v>
      </c>
      <c r="C97" s="1" t="s">
        <v>198</v>
      </c>
      <c r="D97" s="1" t="s">
        <v>246</v>
      </c>
    </row>
    <row r="98" spans="1:4" x14ac:dyDescent="0.25">
      <c r="A98" s="1" t="s">
        <v>149</v>
      </c>
      <c r="B98" s="1" t="s">
        <v>33</v>
      </c>
      <c r="C98" s="1" t="s">
        <v>199</v>
      </c>
      <c r="D98" s="1" t="s">
        <v>246</v>
      </c>
    </row>
    <row r="99" spans="1:4" x14ac:dyDescent="0.25">
      <c r="A99" s="1" t="s">
        <v>149</v>
      </c>
      <c r="B99" s="1" t="s">
        <v>34</v>
      </c>
      <c r="C99" s="1" t="s">
        <v>200</v>
      </c>
      <c r="D99" s="1" t="s">
        <v>246</v>
      </c>
    </row>
    <row r="100" spans="1:4" x14ac:dyDescent="0.25">
      <c r="A100" s="1" t="s">
        <v>149</v>
      </c>
      <c r="B100" s="1" t="s">
        <v>35</v>
      </c>
      <c r="C100" s="1" t="s">
        <v>201</v>
      </c>
      <c r="D100" s="1" t="s">
        <v>246</v>
      </c>
    </row>
    <row r="101" spans="1:4" x14ac:dyDescent="0.25">
      <c r="A101" s="1" t="s">
        <v>149</v>
      </c>
      <c r="B101" s="1" t="s">
        <v>36</v>
      </c>
      <c r="C101" s="1" t="s">
        <v>202</v>
      </c>
      <c r="D101" s="1" t="s">
        <v>246</v>
      </c>
    </row>
    <row r="102" spans="1:4" x14ac:dyDescent="0.25">
      <c r="A102" s="1" t="s">
        <v>149</v>
      </c>
      <c r="B102" s="1" t="s">
        <v>37</v>
      </c>
      <c r="C102" s="1" t="s">
        <v>203</v>
      </c>
      <c r="D102" s="1" t="s">
        <v>246</v>
      </c>
    </row>
    <row r="103" spans="1:4" x14ac:dyDescent="0.25">
      <c r="A103" s="1" t="s">
        <v>149</v>
      </c>
      <c r="B103" s="1" t="s">
        <v>38</v>
      </c>
      <c r="C103" s="1" t="s">
        <v>204</v>
      </c>
      <c r="D103" s="1" t="s">
        <v>246</v>
      </c>
    </row>
    <row r="104" spans="1:4" x14ac:dyDescent="0.25">
      <c r="A104" s="1" t="s">
        <v>149</v>
      </c>
      <c r="B104" s="1" t="s">
        <v>178</v>
      </c>
      <c r="C104" s="1" t="s">
        <v>205</v>
      </c>
      <c r="D104" s="1" t="s">
        <v>246</v>
      </c>
    </row>
    <row r="105" spans="1:4" x14ac:dyDescent="0.25">
      <c r="A105" s="1" t="s">
        <v>149</v>
      </c>
      <c r="B105" s="1" t="s">
        <v>179</v>
      </c>
      <c r="C105" s="1" t="s">
        <v>206</v>
      </c>
      <c r="D105" s="1" t="s">
        <v>247</v>
      </c>
    </row>
    <row r="106" spans="1:4" x14ac:dyDescent="0.25">
      <c r="A106" s="1" t="s">
        <v>149</v>
      </c>
      <c r="B106" s="1" t="s">
        <v>40</v>
      </c>
      <c r="C106" s="1" t="s">
        <v>207</v>
      </c>
      <c r="D106" s="1" t="s">
        <v>248</v>
      </c>
    </row>
    <row r="107" spans="1:4" x14ac:dyDescent="0.25">
      <c r="A107" s="1" t="s">
        <v>149</v>
      </c>
      <c r="B107" s="1" t="s">
        <v>180</v>
      </c>
      <c r="C107" s="1" t="s">
        <v>208</v>
      </c>
      <c r="D107" s="1" t="s">
        <v>246</v>
      </c>
    </row>
    <row r="108" spans="1:4" x14ac:dyDescent="0.25">
      <c r="A108" s="1" t="s">
        <v>149</v>
      </c>
      <c r="B108" s="1" t="s">
        <v>43</v>
      </c>
      <c r="C108" s="1" t="s">
        <v>209</v>
      </c>
      <c r="D108" s="1" t="s">
        <v>249</v>
      </c>
    </row>
    <row r="109" spans="1:4" x14ac:dyDescent="0.25">
      <c r="A109" s="1" t="s">
        <v>149</v>
      </c>
      <c r="B109" s="1" t="s">
        <v>181</v>
      </c>
      <c r="C109" s="1" t="s">
        <v>210</v>
      </c>
      <c r="D109" s="1" t="s">
        <v>246</v>
      </c>
    </row>
    <row r="110" spans="1:4" x14ac:dyDescent="0.25">
      <c r="A110" s="1" t="s">
        <v>149</v>
      </c>
      <c r="B110" s="1" t="s">
        <v>182</v>
      </c>
      <c r="C110" s="1" t="s">
        <v>211</v>
      </c>
      <c r="D110" s="1" t="s">
        <v>246</v>
      </c>
    </row>
    <row r="111" spans="1:4" x14ac:dyDescent="0.25">
      <c r="A111" s="1" t="s">
        <v>149</v>
      </c>
      <c r="B111" s="1" t="s">
        <v>183</v>
      </c>
      <c r="C111" s="1" t="s">
        <v>212</v>
      </c>
      <c r="D111" s="1" t="s">
        <v>246</v>
      </c>
    </row>
    <row r="112" spans="1:4" x14ac:dyDescent="0.25">
      <c r="A112" s="1" t="s">
        <v>149</v>
      </c>
      <c r="B112" s="1" t="s">
        <v>184</v>
      </c>
      <c r="C112" s="1" t="s">
        <v>213</v>
      </c>
      <c r="D112" s="1" t="s">
        <v>246</v>
      </c>
    </row>
    <row r="113" spans="1:4" x14ac:dyDescent="0.25">
      <c r="A113" s="1" t="s">
        <v>149</v>
      </c>
      <c r="B113" s="1" t="s">
        <v>185</v>
      </c>
      <c r="C113" s="1" t="s">
        <v>214</v>
      </c>
      <c r="D113" s="1" t="s">
        <v>246</v>
      </c>
    </row>
    <row r="114" spans="1:4" x14ac:dyDescent="0.25">
      <c r="A114" s="1" t="s">
        <v>149</v>
      </c>
      <c r="B114" s="1" t="s">
        <v>186</v>
      </c>
      <c r="C114" s="1" t="s">
        <v>215</v>
      </c>
      <c r="D114" s="1" t="s">
        <v>246</v>
      </c>
    </row>
    <row r="115" spans="1:4" x14ac:dyDescent="0.25">
      <c r="A115" s="1" t="s">
        <v>149</v>
      </c>
      <c r="B115" s="1" t="s">
        <v>187</v>
      </c>
      <c r="C115" s="1" t="s">
        <v>216</v>
      </c>
      <c r="D115" s="1" t="s">
        <v>246</v>
      </c>
    </row>
    <row r="116" spans="1:4" x14ac:dyDescent="0.25">
      <c r="A116" s="1" t="s">
        <v>149</v>
      </c>
      <c r="B116" s="1" t="s">
        <v>188</v>
      </c>
      <c r="C116" s="1" t="s">
        <v>217</v>
      </c>
      <c r="D116" s="1" t="s">
        <v>246</v>
      </c>
    </row>
    <row r="117" spans="1:4" x14ac:dyDescent="0.25">
      <c r="A117" s="1" t="s">
        <v>149</v>
      </c>
      <c r="B117" s="1" t="s">
        <v>189</v>
      </c>
      <c r="C117" s="1" t="s">
        <v>218</v>
      </c>
      <c r="D117" s="1" t="s">
        <v>246</v>
      </c>
    </row>
    <row r="118" spans="1:4" x14ac:dyDescent="0.25">
      <c r="A118" s="1" t="s">
        <v>149</v>
      </c>
      <c r="B118" s="1" t="s">
        <v>190</v>
      </c>
      <c r="C118" s="1" t="s">
        <v>219</v>
      </c>
      <c r="D118" s="1" t="s">
        <v>246</v>
      </c>
    </row>
    <row r="119" spans="1:4" x14ac:dyDescent="0.25">
      <c r="A119" s="1" t="s">
        <v>149</v>
      </c>
      <c r="B119" s="1" t="s">
        <v>191</v>
      </c>
      <c r="C119" s="1" t="s">
        <v>220</v>
      </c>
      <c r="D119" s="1" t="s">
        <v>246</v>
      </c>
    </row>
    <row r="120" spans="1:4" x14ac:dyDescent="0.25">
      <c r="A120" s="1" t="s">
        <v>149</v>
      </c>
      <c r="B120" s="1" t="s">
        <v>192</v>
      </c>
      <c r="C120" s="1" t="s">
        <v>221</v>
      </c>
      <c r="D120" s="1" t="s">
        <v>246</v>
      </c>
    </row>
    <row r="121" spans="1:4" x14ac:dyDescent="0.25">
      <c r="A121" s="1" t="s">
        <v>149</v>
      </c>
      <c r="B121" s="1" t="s">
        <v>193</v>
      </c>
      <c r="C121" s="1" t="s">
        <v>222</v>
      </c>
      <c r="D121" s="1" t="s">
        <v>246</v>
      </c>
    </row>
    <row r="122" spans="1:4" x14ac:dyDescent="0.25">
      <c r="A122" s="1" t="s">
        <v>149</v>
      </c>
      <c r="B122" s="1"/>
      <c r="C122" s="1"/>
      <c r="D122" s="1"/>
    </row>
    <row r="123" spans="1:4" x14ac:dyDescent="0.25">
      <c r="A123" s="1" t="s">
        <v>150</v>
      </c>
      <c r="B123" s="1" t="s">
        <v>173</v>
      </c>
      <c r="C123" s="1" t="s">
        <v>194</v>
      </c>
      <c r="D123" s="1" t="s">
        <v>223</v>
      </c>
    </row>
    <row r="124" spans="1:4" x14ac:dyDescent="0.25">
      <c r="A124" s="1" t="s">
        <v>150</v>
      </c>
      <c r="B124" s="1" t="s">
        <v>174</v>
      </c>
      <c r="C124" s="1" t="s">
        <v>195</v>
      </c>
      <c r="D124" s="1" t="s">
        <v>227</v>
      </c>
    </row>
    <row r="125" spans="1:4" x14ac:dyDescent="0.25">
      <c r="A125" s="1" t="s">
        <v>150</v>
      </c>
      <c r="B125" s="1" t="s">
        <v>175</v>
      </c>
      <c r="C125" s="1" t="s">
        <v>196</v>
      </c>
      <c r="D125" s="1" t="s">
        <v>133</v>
      </c>
    </row>
    <row r="126" spans="1:4" x14ac:dyDescent="0.25">
      <c r="A126" s="1" t="s">
        <v>150</v>
      </c>
      <c r="B126" s="1" t="s">
        <v>176</v>
      </c>
      <c r="C126" s="1" t="s">
        <v>197</v>
      </c>
      <c r="D126" s="1" t="s">
        <v>95</v>
      </c>
    </row>
    <row r="127" spans="1:4" x14ac:dyDescent="0.25">
      <c r="A127" s="1" t="s">
        <v>150</v>
      </c>
      <c r="B127" s="1" t="s">
        <v>177</v>
      </c>
      <c r="C127" s="1" t="s">
        <v>198</v>
      </c>
      <c r="D127" s="1" t="s">
        <v>95</v>
      </c>
    </row>
    <row r="128" spans="1:4" x14ac:dyDescent="0.25">
      <c r="A128" s="1" t="s">
        <v>150</v>
      </c>
      <c r="B128" s="1" t="s">
        <v>33</v>
      </c>
      <c r="C128" s="1" t="s">
        <v>199</v>
      </c>
      <c r="D128" s="1" t="s">
        <v>250</v>
      </c>
    </row>
    <row r="129" spans="1:4" x14ac:dyDescent="0.25">
      <c r="A129" s="1" t="s">
        <v>150</v>
      </c>
      <c r="B129" s="1" t="s">
        <v>34</v>
      </c>
      <c r="C129" s="1" t="s">
        <v>200</v>
      </c>
      <c r="D129" s="1" t="s">
        <v>251</v>
      </c>
    </row>
    <row r="130" spans="1:4" x14ac:dyDescent="0.25">
      <c r="A130" s="1" t="s">
        <v>150</v>
      </c>
      <c r="B130" s="1" t="s">
        <v>35</v>
      </c>
      <c r="C130" s="1" t="s">
        <v>201</v>
      </c>
      <c r="D130" s="1" t="s">
        <v>252</v>
      </c>
    </row>
    <row r="131" spans="1:4" x14ac:dyDescent="0.25">
      <c r="A131" s="1" t="s">
        <v>150</v>
      </c>
      <c r="B131" s="1" t="s">
        <v>36</v>
      </c>
      <c r="C131" s="1" t="s">
        <v>202</v>
      </c>
      <c r="D131" s="1" t="s">
        <v>253</v>
      </c>
    </row>
    <row r="132" spans="1:4" x14ac:dyDescent="0.25">
      <c r="A132" s="1" t="s">
        <v>150</v>
      </c>
      <c r="B132" s="1" t="s">
        <v>37</v>
      </c>
      <c r="C132" s="1" t="s">
        <v>203</v>
      </c>
      <c r="D132" s="1" t="s">
        <v>254</v>
      </c>
    </row>
    <row r="133" spans="1:4" x14ac:dyDescent="0.25">
      <c r="A133" s="1" t="s">
        <v>150</v>
      </c>
      <c r="B133" s="1" t="s">
        <v>38</v>
      </c>
      <c r="C133" s="1" t="s">
        <v>204</v>
      </c>
      <c r="D133" s="1" t="s">
        <v>255</v>
      </c>
    </row>
    <row r="134" spans="1:4" x14ac:dyDescent="0.25">
      <c r="A134" s="1" t="s">
        <v>150</v>
      </c>
      <c r="B134" s="1" t="s">
        <v>178</v>
      </c>
      <c r="C134" s="1" t="s">
        <v>205</v>
      </c>
      <c r="D134" s="1" t="s">
        <v>95</v>
      </c>
    </row>
    <row r="135" spans="1:4" x14ac:dyDescent="0.25">
      <c r="A135" s="1" t="s">
        <v>150</v>
      </c>
      <c r="B135" s="1" t="s">
        <v>179</v>
      </c>
      <c r="C135" s="1" t="s">
        <v>206</v>
      </c>
      <c r="D135" s="1" t="s">
        <v>256</v>
      </c>
    </row>
    <row r="136" spans="1:4" x14ac:dyDescent="0.25">
      <c r="A136" s="1" t="s">
        <v>150</v>
      </c>
      <c r="B136" s="1" t="s">
        <v>40</v>
      </c>
      <c r="C136" s="1" t="s">
        <v>207</v>
      </c>
      <c r="D136" s="1" t="s">
        <v>257</v>
      </c>
    </row>
    <row r="137" spans="1:4" x14ac:dyDescent="0.25">
      <c r="A137" s="1" t="s">
        <v>150</v>
      </c>
      <c r="B137" s="1" t="s">
        <v>180</v>
      </c>
      <c r="C137" s="1" t="s">
        <v>208</v>
      </c>
      <c r="D137" s="1" t="s">
        <v>258</v>
      </c>
    </row>
    <row r="138" spans="1:4" x14ac:dyDescent="0.25">
      <c r="A138" s="1" t="s">
        <v>150</v>
      </c>
      <c r="B138" s="1" t="s">
        <v>43</v>
      </c>
      <c r="C138" s="1" t="s">
        <v>209</v>
      </c>
      <c r="D138" s="1" t="s">
        <v>259</v>
      </c>
    </row>
    <row r="139" spans="1:4" x14ac:dyDescent="0.25">
      <c r="A139" s="1" t="s">
        <v>150</v>
      </c>
      <c r="B139" s="1" t="s">
        <v>181</v>
      </c>
      <c r="C139" s="1" t="s">
        <v>210</v>
      </c>
      <c r="D139" s="1" t="s">
        <v>95</v>
      </c>
    </row>
    <row r="140" spans="1:4" x14ac:dyDescent="0.25">
      <c r="A140" s="1" t="s">
        <v>150</v>
      </c>
      <c r="B140" s="1" t="s">
        <v>182</v>
      </c>
      <c r="C140" s="1" t="s">
        <v>211</v>
      </c>
      <c r="D140" s="1" t="s">
        <v>133</v>
      </c>
    </row>
    <row r="141" spans="1:4" x14ac:dyDescent="0.25">
      <c r="A141" s="1" t="s">
        <v>150</v>
      </c>
      <c r="B141" s="1" t="s">
        <v>183</v>
      </c>
      <c r="C141" s="1" t="s">
        <v>212</v>
      </c>
      <c r="D141" s="1" t="s">
        <v>223</v>
      </c>
    </row>
    <row r="142" spans="1:4" x14ac:dyDescent="0.25">
      <c r="A142" s="1" t="s">
        <v>150</v>
      </c>
      <c r="B142" s="1" t="s">
        <v>184</v>
      </c>
      <c r="C142" s="1" t="s">
        <v>213</v>
      </c>
      <c r="D142" s="1" t="s">
        <v>249</v>
      </c>
    </row>
    <row r="143" spans="1:4" x14ac:dyDescent="0.25">
      <c r="A143" s="1" t="s">
        <v>150</v>
      </c>
      <c r="B143" s="1" t="s">
        <v>185</v>
      </c>
      <c r="C143" s="1" t="s">
        <v>214</v>
      </c>
      <c r="D143" s="1" t="s">
        <v>78</v>
      </c>
    </row>
    <row r="144" spans="1:4" x14ac:dyDescent="0.25">
      <c r="A144" s="1" t="s">
        <v>150</v>
      </c>
      <c r="B144" s="1" t="s">
        <v>186</v>
      </c>
      <c r="C144" s="1" t="s">
        <v>215</v>
      </c>
      <c r="D144" s="1" t="s">
        <v>228</v>
      </c>
    </row>
    <row r="145" spans="1:4" x14ac:dyDescent="0.25">
      <c r="A145" s="1" t="s">
        <v>150</v>
      </c>
      <c r="B145" s="1" t="s">
        <v>187</v>
      </c>
      <c r="C145" s="1" t="s">
        <v>216</v>
      </c>
      <c r="D145" s="1" t="s">
        <v>249</v>
      </c>
    </row>
    <row r="146" spans="1:4" x14ac:dyDescent="0.25">
      <c r="A146" s="1" t="s">
        <v>150</v>
      </c>
      <c r="B146" s="1" t="s">
        <v>188</v>
      </c>
      <c r="C146" s="1" t="s">
        <v>217</v>
      </c>
      <c r="D146" s="1" t="s">
        <v>78</v>
      </c>
    </row>
    <row r="147" spans="1:4" x14ac:dyDescent="0.25">
      <c r="A147" s="1" t="s">
        <v>150</v>
      </c>
      <c r="B147" s="1" t="s">
        <v>189</v>
      </c>
      <c r="C147" s="1" t="s">
        <v>218</v>
      </c>
      <c r="D147" s="1" t="s">
        <v>78</v>
      </c>
    </row>
    <row r="148" spans="1:4" x14ac:dyDescent="0.25">
      <c r="A148" s="1" t="s">
        <v>150</v>
      </c>
      <c r="B148" s="1" t="s">
        <v>190</v>
      </c>
      <c r="C148" s="1" t="s">
        <v>219</v>
      </c>
      <c r="D148" s="1" t="s">
        <v>258</v>
      </c>
    </row>
    <row r="149" spans="1:4" x14ac:dyDescent="0.25">
      <c r="A149" s="1" t="s">
        <v>150</v>
      </c>
      <c r="B149" s="1" t="s">
        <v>191</v>
      </c>
      <c r="C149" s="1" t="s">
        <v>220</v>
      </c>
      <c r="D149" s="1" t="s">
        <v>260</v>
      </c>
    </row>
    <row r="150" spans="1:4" x14ac:dyDescent="0.25">
      <c r="A150" s="1" t="s">
        <v>150</v>
      </c>
      <c r="B150" s="1" t="s">
        <v>192</v>
      </c>
      <c r="C150" s="1" t="s">
        <v>221</v>
      </c>
      <c r="D150" s="1" t="s">
        <v>261</v>
      </c>
    </row>
    <row r="151" spans="1:4" x14ac:dyDescent="0.25">
      <c r="A151" s="1" t="s">
        <v>150</v>
      </c>
      <c r="B151" s="1" t="s">
        <v>193</v>
      </c>
      <c r="C151" s="1" t="s">
        <v>222</v>
      </c>
      <c r="D151" s="1" t="s">
        <v>240</v>
      </c>
    </row>
    <row r="152" spans="1:4" x14ac:dyDescent="0.25">
      <c r="A152" s="1" t="s">
        <v>150</v>
      </c>
      <c r="B152" s="1"/>
      <c r="C152" s="1"/>
      <c r="D152" s="1"/>
    </row>
    <row r="153" spans="1:4" x14ac:dyDescent="0.25">
      <c r="A153" s="1" t="s">
        <v>151</v>
      </c>
      <c r="B153" s="1" t="s">
        <v>173</v>
      </c>
      <c r="C153" s="1" t="s">
        <v>194</v>
      </c>
      <c r="D153" s="1" t="s">
        <v>95</v>
      </c>
    </row>
    <row r="154" spans="1:4" x14ac:dyDescent="0.25">
      <c r="A154" s="1" t="s">
        <v>151</v>
      </c>
      <c r="B154" s="1" t="s">
        <v>174</v>
      </c>
      <c r="C154" s="1" t="s">
        <v>195</v>
      </c>
      <c r="D154" s="1" t="s">
        <v>97</v>
      </c>
    </row>
    <row r="155" spans="1:4" x14ac:dyDescent="0.25">
      <c r="A155" s="1" t="s">
        <v>151</v>
      </c>
      <c r="B155" s="1" t="s">
        <v>175</v>
      </c>
      <c r="C155" s="1" t="s">
        <v>196</v>
      </c>
      <c r="D155" s="1" t="s">
        <v>97</v>
      </c>
    </row>
    <row r="156" spans="1:4" x14ac:dyDescent="0.25">
      <c r="A156" s="1" t="s">
        <v>151</v>
      </c>
      <c r="B156" s="1" t="s">
        <v>176</v>
      </c>
      <c r="C156" s="1" t="s">
        <v>197</v>
      </c>
      <c r="D156" s="1" t="s">
        <v>78</v>
      </c>
    </row>
    <row r="157" spans="1:4" x14ac:dyDescent="0.25">
      <c r="A157" s="1" t="s">
        <v>151</v>
      </c>
      <c r="B157" s="1" t="s">
        <v>177</v>
      </c>
      <c r="C157" s="1" t="s">
        <v>198</v>
      </c>
      <c r="D157" s="1" t="s">
        <v>223</v>
      </c>
    </row>
    <row r="158" spans="1:4" x14ac:dyDescent="0.25">
      <c r="A158" s="1" t="s">
        <v>151</v>
      </c>
      <c r="B158" s="1" t="s">
        <v>33</v>
      </c>
      <c r="C158" s="1" t="s">
        <v>199</v>
      </c>
      <c r="D158" s="1" t="s">
        <v>236</v>
      </c>
    </row>
    <row r="159" spans="1:4" x14ac:dyDescent="0.25">
      <c r="A159" s="1" t="s">
        <v>151</v>
      </c>
      <c r="B159" s="1" t="s">
        <v>34</v>
      </c>
      <c r="C159" s="1" t="s">
        <v>200</v>
      </c>
      <c r="D159" s="1" t="s">
        <v>237</v>
      </c>
    </row>
    <row r="160" spans="1:4" x14ac:dyDescent="0.25">
      <c r="A160" s="1" t="s">
        <v>151</v>
      </c>
      <c r="B160" s="1" t="s">
        <v>35</v>
      </c>
      <c r="C160" s="1" t="s">
        <v>201</v>
      </c>
      <c r="D160" s="1" t="s">
        <v>238</v>
      </c>
    </row>
    <row r="161" spans="1:4" x14ac:dyDescent="0.25">
      <c r="A161" s="1" t="s">
        <v>151</v>
      </c>
      <c r="B161" s="1" t="s">
        <v>36</v>
      </c>
      <c r="C161" s="1" t="s">
        <v>202</v>
      </c>
      <c r="D161" s="1" t="s">
        <v>239</v>
      </c>
    </row>
    <row r="162" spans="1:4" x14ac:dyDescent="0.25">
      <c r="A162" s="1" t="s">
        <v>151</v>
      </c>
      <c r="B162" s="1" t="s">
        <v>37</v>
      </c>
      <c r="C162" s="1" t="s">
        <v>203</v>
      </c>
      <c r="D162" s="1" t="s">
        <v>240</v>
      </c>
    </row>
    <row r="163" spans="1:4" x14ac:dyDescent="0.25">
      <c r="A163" s="1" t="s">
        <v>151</v>
      </c>
      <c r="B163" s="1" t="s">
        <v>38</v>
      </c>
      <c r="C163" s="1" t="s">
        <v>204</v>
      </c>
      <c r="D163" s="1" t="s">
        <v>241</v>
      </c>
    </row>
    <row r="164" spans="1:4" x14ac:dyDescent="0.25">
      <c r="A164" s="1" t="s">
        <v>151</v>
      </c>
      <c r="B164" s="1" t="s">
        <v>178</v>
      </c>
      <c r="C164" s="1" t="s">
        <v>205</v>
      </c>
      <c r="D164" s="1" t="s">
        <v>78</v>
      </c>
    </row>
    <row r="165" spans="1:4" x14ac:dyDescent="0.25">
      <c r="A165" s="1" t="s">
        <v>151</v>
      </c>
      <c r="B165" s="1" t="s">
        <v>179</v>
      </c>
      <c r="C165" s="1" t="s">
        <v>206</v>
      </c>
      <c r="D165" s="1" t="s">
        <v>242</v>
      </c>
    </row>
    <row r="166" spans="1:4" x14ac:dyDescent="0.25">
      <c r="A166" s="1" t="s">
        <v>151</v>
      </c>
      <c r="B166" s="1" t="s">
        <v>40</v>
      </c>
      <c r="C166" s="1" t="s">
        <v>207</v>
      </c>
      <c r="D166" s="1" t="s">
        <v>243</v>
      </c>
    </row>
    <row r="167" spans="1:4" x14ac:dyDescent="0.25">
      <c r="A167" s="1" t="s">
        <v>151</v>
      </c>
      <c r="B167" s="1" t="s">
        <v>180</v>
      </c>
      <c r="C167" s="1" t="s">
        <v>208</v>
      </c>
      <c r="D167" s="1" t="s">
        <v>244</v>
      </c>
    </row>
    <row r="168" spans="1:4" x14ac:dyDescent="0.25">
      <c r="A168" s="1" t="s">
        <v>151</v>
      </c>
      <c r="B168" s="1" t="s">
        <v>43</v>
      </c>
      <c r="C168" s="1" t="s">
        <v>209</v>
      </c>
      <c r="D168" s="1" t="s">
        <v>96</v>
      </c>
    </row>
    <row r="169" spans="1:4" x14ac:dyDescent="0.25">
      <c r="A169" s="1" t="s">
        <v>151</v>
      </c>
      <c r="B169" s="1" t="s">
        <v>181</v>
      </c>
      <c r="C169" s="1" t="s">
        <v>210</v>
      </c>
      <c r="D169" s="1" t="s">
        <v>78</v>
      </c>
    </row>
    <row r="170" spans="1:4" x14ac:dyDescent="0.25">
      <c r="A170" s="1" t="s">
        <v>151</v>
      </c>
      <c r="B170" s="1" t="s">
        <v>182</v>
      </c>
      <c r="C170" s="1" t="s">
        <v>211</v>
      </c>
      <c r="D170" s="1" t="s">
        <v>78</v>
      </c>
    </row>
    <row r="171" spans="1:4" x14ac:dyDescent="0.25">
      <c r="A171" s="1" t="s">
        <v>151</v>
      </c>
      <c r="B171" s="1" t="s">
        <v>183</v>
      </c>
      <c r="C171" s="1" t="s">
        <v>212</v>
      </c>
      <c r="D171" s="1" t="s">
        <v>233</v>
      </c>
    </row>
    <row r="172" spans="1:4" x14ac:dyDescent="0.25">
      <c r="A172" s="1" t="s">
        <v>151</v>
      </c>
      <c r="B172" s="1" t="s">
        <v>184</v>
      </c>
      <c r="C172" s="1" t="s">
        <v>213</v>
      </c>
      <c r="D172" s="1" t="s">
        <v>234</v>
      </c>
    </row>
    <row r="173" spans="1:4" x14ac:dyDescent="0.25">
      <c r="A173" s="1" t="s">
        <v>151</v>
      </c>
      <c r="B173" s="1" t="s">
        <v>185</v>
      </c>
      <c r="C173" s="1" t="s">
        <v>214</v>
      </c>
      <c r="D173" s="1" t="s">
        <v>78</v>
      </c>
    </row>
    <row r="174" spans="1:4" x14ac:dyDescent="0.25">
      <c r="A174" s="1" t="s">
        <v>151</v>
      </c>
      <c r="B174" s="1" t="s">
        <v>186</v>
      </c>
      <c r="C174" s="1" t="s">
        <v>215</v>
      </c>
      <c r="D174" s="1" t="s">
        <v>95</v>
      </c>
    </row>
    <row r="175" spans="1:4" x14ac:dyDescent="0.25">
      <c r="A175" s="1" t="s">
        <v>151</v>
      </c>
      <c r="B175" s="1" t="s">
        <v>187</v>
      </c>
      <c r="C175" s="1" t="s">
        <v>216</v>
      </c>
      <c r="D175" s="1" t="s">
        <v>235</v>
      </c>
    </row>
    <row r="176" spans="1:4" x14ac:dyDescent="0.25">
      <c r="A176" s="1" t="s">
        <v>151</v>
      </c>
      <c r="B176" s="1" t="s">
        <v>188</v>
      </c>
      <c r="C176" s="1" t="s">
        <v>217</v>
      </c>
      <c r="D176" s="1" t="s">
        <v>78</v>
      </c>
    </row>
    <row r="177" spans="1:4" x14ac:dyDescent="0.25">
      <c r="A177" s="1" t="s">
        <v>151</v>
      </c>
      <c r="B177" s="1" t="s">
        <v>189</v>
      </c>
      <c r="C177" s="1" t="s">
        <v>218</v>
      </c>
      <c r="D177" s="1" t="s">
        <v>78</v>
      </c>
    </row>
    <row r="178" spans="1:4" x14ac:dyDescent="0.25">
      <c r="A178" s="1" t="s">
        <v>151</v>
      </c>
      <c r="B178" s="1" t="s">
        <v>190</v>
      </c>
      <c r="C178" s="1" t="s">
        <v>219</v>
      </c>
      <c r="D178" s="1" t="s">
        <v>98</v>
      </c>
    </row>
    <row r="179" spans="1:4" x14ac:dyDescent="0.25">
      <c r="A179" s="1" t="s">
        <v>151</v>
      </c>
      <c r="B179" s="1" t="s">
        <v>191</v>
      </c>
      <c r="C179" s="1" t="s">
        <v>220</v>
      </c>
      <c r="D179" s="1" t="s">
        <v>92</v>
      </c>
    </row>
    <row r="180" spans="1:4" x14ac:dyDescent="0.25">
      <c r="A180" s="1" t="s">
        <v>151</v>
      </c>
      <c r="B180" s="1" t="s">
        <v>192</v>
      </c>
      <c r="C180" s="1" t="s">
        <v>221</v>
      </c>
      <c r="D180" s="1" t="s">
        <v>92</v>
      </c>
    </row>
    <row r="181" spans="1:4" x14ac:dyDescent="0.25">
      <c r="A181" s="1" t="s">
        <v>151</v>
      </c>
      <c r="B181" s="1" t="s">
        <v>193</v>
      </c>
      <c r="C181" s="1" t="s">
        <v>222</v>
      </c>
      <c r="D181" s="1" t="s">
        <v>245</v>
      </c>
    </row>
    <row r="182" spans="1:4" x14ac:dyDescent="0.25">
      <c r="A182" s="1" t="s">
        <v>151</v>
      </c>
      <c r="B182" s="1"/>
      <c r="C182" s="1"/>
      <c r="D182" s="1"/>
    </row>
    <row r="183" spans="1:4" x14ac:dyDescent="0.25">
      <c r="A183" s="1" t="s">
        <v>152</v>
      </c>
      <c r="B183" s="1" t="s">
        <v>173</v>
      </c>
      <c r="C183" s="1" t="s">
        <v>194</v>
      </c>
      <c r="D183" s="1" t="s">
        <v>95</v>
      </c>
    </row>
    <row r="184" spans="1:4" x14ac:dyDescent="0.25">
      <c r="A184" s="1" t="s">
        <v>152</v>
      </c>
      <c r="B184" s="1" t="s">
        <v>174</v>
      </c>
      <c r="C184" s="1" t="s">
        <v>195</v>
      </c>
      <c r="D184" s="1" t="s">
        <v>262</v>
      </c>
    </row>
    <row r="185" spans="1:4" x14ac:dyDescent="0.25">
      <c r="A185" s="1" t="s">
        <v>152</v>
      </c>
      <c r="B185" s="1" t="s">
        <v>175</v>
      </c>
      <c r="C185" s="1" t="s">
        <v>196</v>
      </c>
      <c r="D185" s="1" t="s">
        <v>97</v>
      </c>
    </row>
    <row r="186" spans="1:4" x14ac:dyDescent="0.25">
      <c r="A186" s="1" t="s">
        <v>152</v>
      </c>
      <c r="B186" s="1" t="s">
        <v>176</v>
      </c>
      <c r="C186" s="1" t="s">
        <v>197</v>
      </c>
      <c r="D186" s="1" t="s">
        <v>78</v>
      </c>
    </row>
    <row r="187" spans="1:4" x14ac:dyDescent="0.25">
      <c r="A187" s="1" t="s">
        <v>152</v>
      </c>
      <c r="B187" s="1" t="s">
        <v>177</v>
      </c>
      <c r="C187" s="1" t="s">
        <v>198</v>
      </c>
      <c r="D187" s="1" t="s">
        <v>223</v>
      </c>
    </row>
    <row r="188" spans="1:4" x14ac:dyDescent="0.25">
      <c r="A188" s="1" t="s">
        <v>152</v>
      </c>
      <c r="B188" s="1" t="s">
        <v>33</v>
      </c>
      <c r="C188" s="1" t="s">
        <v>199</v>
      </c>
      <c r="D188" s="1" t="s">
        <v>263</v>
      </c>
    </row>
    <row r="189" spans="1:4" x14ac:dyDescent="0.25">
      <c r="A189" s="1" t="s">
        <v>152</v>
      </c>
      <c r="B189" s="1" t="s">
        <v>34</v>
      </c>
      <c r="C189" s="1" t="s">
        <v>200</v>
      </c>
      <c r="D189" s="1" t="s">
        <v>264</v>
      </c>
    </row>
    <row r="190" spans="1:4" x14ac:dyDescent="0.25">
      <c r="A190" s="1" t="s">
        <v>152</v>
      </c>
      <c r="B190" s="1" t="s">
        <v>35</v>
      </c>
      <c r="C190" s="1" t="s">
        <v>201</v>
      </c>
      <c r="D190" s="1" t="s">
        <v>265</v>
      </c>
    </row>
    <row r="191" spans="1:4" x14ac:dyDescent="0.25">
      <c r="A191" s="1" t="s">
        <v>152</v>
      </c>
      <c r="B191" s="1" t="s">
        <v>36</v>
      </c>
      <c r="C191" s="1" t="s">
        <v>202</v>
      </c>
      <c r="D191" s="1" t="s">
        <v>266</v>
      </c>
    </row>
    <row r="192" spans="1:4" x14ac:dyDescent="0.25">
      <c r="A192" s="1" t="s">
        <v>152</v>
      </c>
      <c r="B192" s="1" t="s">
        <v>37</v>
      </c>
      <c r="C192" s="1" t="s">
        <v>203</v>
      </c>
      <c r="D192" s="1" t="s">
        <v>267</v>
      </c>
    </row>
    <row r="193" spans="1:4" x14ac:dyDescent="0.25">
      <c r="A193" s="1" t="s">
        <v>152</v>
      </c>
      <c r="B193" s="1" t="s">
        <v>38</v>
      </c>
      <c r="C193" s="1" t="s">
        <v>204</v>
      </c>
      <c r="D193" s="1" t="s">
        <v>268</v>
      </c>
    </row>
    <row r="194" spans="1:4" x14ac:dyDescent="0.25">
      <c r="A194" s="1" t="s">
        <v>152</v>
      </c>
      <c r="B194" s="1" t="s">
        <v>178</v>
      </c>
      <c r="C194" s="1" t="s">
        <v>205</v>
      </c>
      <c r="D194" s="1" t="s">
        <v>78</v>
      </c>
    </row>
    <row r="195" spans="1:4" x14ac:dyDescent="0.25">
      <c r="A195" s="1" t="s">
        <v>152</v>
      </c>
      <c r="B195" s="1" t="s">
        <v>179</v>
      </c>
      <c r="C195" s="1" t="s">
        <v>206</v>
      </c>
      <c r="D195" s="1" t="s">
        <v>269</v>
      </c>
    </row>
    <row r="196" spans="1:4" x14ac:dyDescent="0.25">
      <c r="A196" s="1" t="s">
        <v>152</v>
      </c>
      <c r="B196" s="1" t="s">
        <v>40</v>
      </c>
      <c r="C196" s="1" t="s">
        <v>207</v>
      </c>
      <c r="D196" s="1" t="s">
        <v>270</v>
      </c>
    </row>
    <row r="197" spans="1:4" x14ac:dyDescent="0.25">
      <c r="A197" s="1" t="s">
        <v>152</v>
      </c>
      <c r="B197" s="1" t="s">
        <v>180</v>
      </c>
      <c r="C197" s="1" t="s">
        <v>208</v>
      </c>
      <c r="D197" s="1" t="s">
        <v>271</v>
      </c>
    </row>
    <row r="198" spans="1:4" x14ac:dyDescent="0.25">
      <c r="A198" s="1" t="s">
        <v>152</v>
      </c>
      <c r="B198" s="1" t="s">
        <v>43</v>
      </c>
      <c r="C198" s="1" t="s">
        <v>209</v>
      </c>
      <c r="D198" s="1" t="s">
        <v>272</v>
      </c>
    </row>
    <row r="199" spans="1:4" x14ac:dyDescent="0.25">
      <c r="A199" s="1" t="s">
        <v>152</v>
      </c>
      <c r="B199" s="1" t="s">
        <v>181</v>
      </c>
      <c r="C199" s="1" t="s">
        <v>210</v>
      </c>
      <c r="D199" s="1" t="s">
        <v>78</v>
      </c>
    </row>
    <row r="200" spans="1:4" x14ac:dyDescent="0.25">
      <c r="A200" s="1" t="s">
        <v>152</v>
      </c>
      <c r="B200" s="1" t="s">
        <v>182</v>
      </c>
      <c r="C200" s="1" t="s">
        <v>211</v>
      </c>
      <c r="D200" s="1" t="s">
        <v>232</v>
      </c>
    </row>
    <row r="201" spans="1:4" x14ac:dyDescent="0.25">
      <c r="A201" s="1" t="s">
        <v>152</v>
      </c>
      <c r="B201" s="1" t="s">
        <v>183</v>
      </c>
      <c r="C201" s="1" t="s">
        <v>212</v>
      </c>
      <c r="D201" s="1" t="s">
        <v>233</v>
      </c>
    </row>
    <row r="202" spans="1:4" x14ac:dyDescent="0.25">
      <c r="A202" s="1" t="s">
        <v>152</v>
      </c>
      <c r="B202" s="1" t="s">
        <v>184</v>
      </c>
      <c r="C202" s="1" t="s">
        <v>213</v>
      </c>
      <c r="D202" s="1" t="s">
        <v>273</v>
      </c>
    </row>
    <row r="203" spans="1:4" x14ac:dyDescent="0.25">
      <c r="A203" s="1" t="s">
        <v>152</v>
      </c>
      <c r="B203" s="1" t="s">
        <v>185</v>
      </c>
      <c r="C203" s="1" t="s">
        <v>214</v>
      </c>
      <c r="D203" s="1" t="s">
        <v>78</v>
      </c>
    </row>
    <row r="204" spans="1:4" x14ac:dyDescent="0.25">
      <c r="A204" s="1" t="s">
        <v>152</v>
      </c>
      <c r="B204" s="1" t="s">
        <v>186</v>
      </c>
      <c r="C204" s="1" t="s">
        <v>215</v>
      </c>
      <c r="D204" s="1" t="s">
        <v>97</v>
      </c>
    </row>
    <row r="205" spans="1:4" x14ac:dyDescent="0.25">
      <c r="A205" s="1" t="s">
        <v>152</v>
      </c>
      <c r="B205" s="1" t="s">
        <v>187</v>
      </c>
      <c r="C205" s="1" t="s">
        <v>216</v>
      </c>
      <c r="D205" s="1" t="s">
        <v>234</v>
      </c>
    </row>
    <row r="206" spans="1:4" x14ac:dyDescent="0.25">
      <c r="A206" s="1" t="s">
        <v>152</v>
      </c>
      <c r="B206" s="1" t="s">
        <v>188</v>
      </c>
      <c r="C206" s="1" t="s">
        <v>217</v>
      </c>
      <c r="D206" s="1" t="s">
        <v>78</v>
      </c>
    </row>
    <row r="207" spans="1:4" x14ac:dyDescent="0.25">
      <c r="A207" s="1" t="s">
        <v>152</v>
      </c>
      <c r="B207" s="1" t="s">
        <v>189</v>
      </c>
      <c r="C207" s="1" t="s">
        <v>218</v>
      </c>
      <c r="D207" s="1" t="s">
        <v>78</v>
      </c>
    </row>
    <row r="208" spans="1:4" x14ac:dyDescent="0.25">
      <c r="A208" s="1" t="s">
        <v>152</v>
      </c>
      <c r="B208" s="1" t="s">
        <v>190</v>
      </c>
      <c r="C208" s="1" t="s">
        <v>219</v>
      </c>
      <c r="D208" s="1" t="s">
        <v>230</v>
      </c>
    </row>
    <row r="209" spans="1:4" x14ac:dyDescent="0.25">
      <c r="A209" s="1" t="s">
        <v>152</v>
      </c>
      <c r="B209" s="1" t="s">
        <v>191</v>
      </c>
      <c r="C209" s="1" t="s">
        <v>220</v>
      </c>
      <c r="D209" s="1" t="s">
        <v>92</v>
      </c>
    </row>
    <row r="210" spans="1:4" x14ac:dyDescent="0.25">
      <c r="A210" s="1" t="s">
        <v>152</v>
      </c>
      <c r="B210" s="1" t="s">
        <v>192</v>
      </c>
      <c r="C210" s="1" t="s">
        <v>221</v>
      </c>
      <c r="D210" s="1" t="s">
        <v>141</v>
      </c>
    </row>
    <row r="211" spans="1:4" x14ac:dyDescent="0.25">
      <c r="A211" s="1" t="s">
        <v>152</v>
      </c>
      <c r="B211" s="1" t="s">
        <v>193</v>
      </c>
      <c r="C211" s="1" t="s">
        <v>222</v>
      </c>
      <c r="D211" s="1" t="s">
        <v>228</v>
      </c>
    </row>
    <row r="212" spans="1:4" x14ac:dyDescent="0.25">
      <c r="A212" s="1" t="s">
        <v>152</v>
      </c>
      <c r="B212" s="1"/>
      <c r="C212" s="1"/>
      <c r="D212" s="1"/>
    </row>
    <row r="213" spans="1:4" x14ac:dyDescent="0.25">
      <c r="A213" s="1" t="s">
        <v>153</v>
      </c>
      <c r="B213" s="1" t="s">
        <v>173</v>
      </c>
      <c r="C213" s="1" t="s">
        <v>194</v>
      </c>
      <c r="D213" s="1" t="s">
        <v>97</v>
      </c>
    </row>
    <row r="214" spans="1:4" x14ac:dyDescent="0.25">
      <c r="A214" s="1" t="s">
        <v>153</v>
      </c>
      <c r="B214" s="1" t="s">
        <v>174</v>
      </c>
      <c r="C214" s="1" t="s">
        <v>195</v>
      </c>
      <c r="D214" s="1" t="s">
        <v>274</v>
      </c>
    </row>
    <row r="215" spans="1:4" x14ac:dyDescent="0.25">
      <c r="A215" s="1" t="s">
        <v>153</v>
      </c>
      <c r="B215" s="1" t="s">
        <v>175</v>
      </c>
      <c r="C215" s="1" t="s">
        <v>196</v>
      </c>
      <c r="D215" s="1" t="s">
        <v>258</v>
      </c>
    </row>
    <row r="216" spans="1:4" x14ac:dyDescent="0.25">
      <c r="A216" s="1" t="s">
        <v>153</v>
      </c>
      <c r="B216" s="1" t="s">
        <v>176</v>
      </c>
      <c r="C216" s="1" t="s">
        <v>197</v>
      </c>
      <c r="D216" s="1" t="s">
        <v>275</v>
      </c>
    </row>
    <row r="217" spans="1:4" x14ac:dyDescent="0.25">
      <c r="A217" s="1" t="s">
        <v>153</v>
      </c>
      <c r="B217" s="1" t="s">
        <v>177</v>
      </c>
      <c r="C217" s="1" t="s">
        <v>198</v>
      </c>
      <c r="D217" s="1" t="s">
        <v>95</v>
      </c>
    </row>
    <row r="218" spans="1:4" x14ac:dyDescent="0.25">
      <c r="A218" s="1" t="s">
        <v>153</v>
      </c>
      <c r="B218" s="1" t="s">
        <v>33</v>
      </c>
      <c r="C218" s="1" t="s">
        <v>199</v>
      </c>
      <c r="D218" s="1" t="s">
        <v>276</v>
      </c>
    </row>
    <row r="219" spans="1:4" x14ac:dyDescent="0.25">
      <c r="A219" s="1" t="s">
        <v>153</v>
      </c>
      <c r="B219" s="1" t="s">
        <v>34</v>
      </c>
      <c r="C219" s="1" t="s">
        <v>200</v>
      </c>
      <c r="D219" s="1" t="s">
        <v>277</v>
      </c>
    </row>
    <row r="220" spans="1:4" x14ac:dyDescent="0.25">
      <c r="A220" s="1" t="s">
        <v>153</v>
      </c>
      <c r="B220" s="1" t="s">
        <v>35</v>
      </c>
      <c r="C220" s="1" t="s">
        <v>201</v>
      </c>
      <c r="D220" s="1" t="s">
        <v>278</v>
      </c>
    </row>
    <row r="221" spans="1:4" x14ac:dyDescent="0.25">
      <c r="A221" s="1" t="s">
        <v>153</v>
      </c>
      <c r="B221" s="1" t="s">
        <v>36</v>
      </c>
      <c r="C221" s="1" t="s">
        <v>202</v>
      </c>
      <c r="D221" s="1" t="s">
        <v>279</v>
      </c>
    </row>
    <row r="222" spans="1:4" x14ac:dyDescent="0.25">
      <c r="A222" s="1" t="s">
        <v>153</v>
      </c>
      <c r="B222" s="1" t="s">
        <v>37</v>
      </c>
      <c r="C222" s="1" t="s">
        <v>203</v>
      </c>
      <c r="D222" s="1" t="s">
        <v>280</v>
      </c>
    </row>
    <row r="223" spans="1:4" x14ac:dyDescent="0.25">
      <c r="A223" s="1" t="s">
        <v>153</v>
      </c>
      <c r="B223" s="1" t="s">
        <v>38</v>
      </c>
      <c r="C223" s="1" t="s">
        <v>204</v>
      </c>
      <c r="D223" s="1" t="s">
        <v>281</v>
      </c>
    </row>
    <row r="224" spans="1:4" x14ac:dyDescent="0.25">
      <c r="A224" s="1" t="s">
        <v>153</v>
      </c>
      <c r="B224" s="1" t="s">
        <v>178</v>
      </c>
      <c r="C224" s="1" t="s">
        <v>205</v>
      </c>
      <c r="D224" s="1" t="s">
        <v>223</v>
      </c>
    </row>
    <row r="225" spans="1:4" x14ac:dyDescent="0.25">
      <c r="A225" s="1" t="s">
        <v>153</v>
      </c>
      <c r="B225" s="1" t="s">
        <v>179</v>
      </c>
      <c r="C225" s="1" t="s">
        <v>206</v>
      </c>
      <c r="D225" s="1" t="s">
        <v>282</v>
      </c>
    </row>
    <row r="226" spans="1:4" x14ac:dyDescent="0.25">
      <c r="A226" s="1" t="s">
        <v>153</v>
      </c>
      <c r="B226" s="1" t="s">
        <v>40</v>
      </c>
      <c r="C226" s="1" t="s">
        <v>207</v>
      </c>
      <c r="D226" s="1" t="s">
        <v>283</v>
      </c>
    </row>
    <row r="227" spans="1:4" x14ac:dyDescent="0.25">
      <c r="A227" s="1" t="s">
        <v>153</v>
      </c>
      <c r="B227" s="1" t="s">
        <v>180</v>
      </c>
      <c r="C227" s="1" t="s">
        <v>208</v>
      </c>
      <c r="D227" s="1" t="s">
        <v>284</v>
      </c>
    </row>
    <row r="228" spans="1:4" x14ac:dyDescent="0.25">
      <c r="A228" s="1" t="s">
        <v>153</v>
      </c>
      <c r="B228" s="1" t="s">
        <v>43</v>
      </c>
      <c r="C228" s="1" t="s">
        <v>209</v>
      </c>
      <c r="D228" s="1" t="s">
        <v>285</v>
      </c>
    </row>
    <row r="229" spans="1:4" x14ac:dyDescent="0.25">
      <c r="A229" s="1" t="s">
        <v>153</v>
      </c>
      <c r="B229" s="1" t="s">
        <v>181</v>
      </c>
      <c r="C229" s="1" t="s">
        <v>210</v>
      </c>
      <c r="D229" s="1" t="s">
        <v>232</v>
      </c>
    </row>
    <row r="230" spans="1:4" x14ac:dyDescent="0.25">
      <c r="A230" s="1" t="s">
        <v>153</v>
      </c>
      <c r="B230" s="1" t="s">
        <v>182</v>
      </c>
      <c r="C230" s="1" t="s">
        <v>211</v>
      </c>
      <c r="D230" s="1" t="s">
        <v>286</v>
      </c>
    </row>
    <row r="231" spans="1:4" x14ac:dyDescent="0.25">
      <c r="A231" s="1" t="s">
        <v>153</v>
      </c>
      <c r="B231" s="1" t="s">
        <v>183</v>
      </c>
      <c r="C231" s="1" t="s">
        <v>212</v>
      </c>
      <c r="D231" s="1" t="s">
        <v>287</v>
      </c>
    </row>
    <row r="232" spans="1:4" x14ac:dyDescent="0.25">
      <c r="A232" s="1" t="s">
        <v>153</v>
      </c>
      <c r="B232" s="1" t="s">
        <v>184</v>
      </c>
      <c r="C232" s="1" t="s">
        <v>213</v>
      </c>
      <c r="D232" s="1" t="s">
        <v>288</v>
      </c>
    </row>
    <row r="233" spans="1:4" x14ac:dyDescent="0.25">
      <c r="A233" s="1" t="s">
        <v>153</v>
      </c>
      <c r="B233" s="1" t="s">
        <v>185</v>
      </c>
      <c r="C233" s="1" t="s">
        <v>214</v>
      </c>
      <c r="D233" s="1" t="s">
        <v>78</v>
      </c>
    </row>
    <row r="234" spans="1:4" x14ac:dyDescent="0.25">
      <c r="A234" s="1" t="s">
        <v>153</v>
      </c>
      <c r="B234" s="1" t="s">
        <v>186</v>
      </c>
      <c r="C234" s="1" t="s">
        <v>215</v>
      </c>
      <c r="D234" s="1" t="s">
        <v>289</v>
      </c>
    </row>
    <row r="235" spans="1:4" x14ac:dyDescent="0.25">
      <c r="A235" s="1" t="s">
        <v>153</v>
      </c>
      <c r="B235" s="1" t="s">
        <v>187</v>
      </c>
      <c r="C235" s="1" t="s">
        <v>216</v>
      </c>
      <c r="D235" s="1" t="s">
        <v>290</v>
      </c>
    </row>
    <row r="236" spans="1:4" x14ac:dyDescent="0.25">
      <c r="A236" s="1" t="s">
        <v>153</v>
      </c>
      <c r="B236" s="1" t="s">
        <v>188</v>
      </c>
      <c r="C236" s="1" t="s">
        <v>217</v>
      </c>
      <c r="D236" s="1" t="s">
        <v>78</v>
      </c>
    </row>
    <row r="237" spans="1:4" x14ac:dyDescent="0.25">
      <c r="A237" s="1" t="s">
        <v>153</v>
      </c>
      <c r="B237" s="1" t="s">
        <v>189</v>
      </c>
      <c r="C237" s="1" t="s">
        <v>218</v>
      </c>
      <c r="D237" s="1" t="s">
        <v>78</v>
      </c>
    </row>
    <row r="238" spans="1:4" x14ac:dyDescent="0.25">
      <c r="A238" s="1" t="s">
        <v>153</v>
      </c>
      <c r="B238" s="1" t="s">
        <v>190</v>
      </c>
      <c r="C238" s="1" t="s">
        <v>219</v>
      </c>
      <c r="D238" s="1" t="s">
        <v>291</v>
      </c>
    </row>
    <row r="239" spans="1:4" x14ac:dyDescent="0.25">
      <c r="A239" s="1" t="s">
        <v>153</v>
      </c>
      <c r="B239" s="1" t="s">
        <v>191</v>
      </c>
      <c r="C239" s="1" t="s">
        <v>220</v>
      </c>
      <c r="D239" s="1" t="s">
        <v>292</v>
      </c>
    </row>
    <row r="240" spans="1:4" x14ac:dyDescent="0.25">
      <c r="A240" s="1" t="s">
        <v>153</v>
      </c>
      <c r="B240" s="1" t="s">
        <v>192</v>
      </c>
      <c r="C240" s="1" t="s">
        <v>221</v>
      </c>
      <c r="D240" s="1" t="s">
        <v>293</v>
      </c>
    </row>
    <row r="241" spans="1:4" x14ac:dyDescent="0.25">
      <c r="A241" s="1" t="s">
        <v>153</v>
      </c>
      <c r="B241" s="1" t="s">
        <v>193</v>
      </c>
      <c r="C241" s="1" t="s">
        <v>222</v>
      </c>
      <c r="D241" s="1" t="s">
        <v>294</v>
      </c>
    </row>
    <row r="242" spans="1:4" x14ac:dyDescent="0.25">
      <c r="A242" s="1" t="s">
        <v>153</v>
      </c>
      <c r="B242" s="1"/>
      <c r="C242" s="1"/>
      <c r="D242" s="1"/>
    </row>
    <row r="243" spans="1:4" x14ac:dyDescent="0.25">
      <c r="A243" s="1" t="s">
        <v>154</v>
      </c>
      <c r="B243" s="1" t="s">
        <v>173</v>
      </c>
      <c r="C243" s="1" t="s">
        <v>194</v>
      </c>
      <c r="D243" s="1" t="s">
        <v>227</v>
      </c>
    </row>
    <row r="244" spans="1:4" x14ac:dyDescent="0.25">
      <c r="A244" s="1" t="s">
        <v>154</v>
      </c>
      <c r="B244" s="1" t="s">
        <v>174</v>
      </c>
      <c r="C244" s="1" t="s">
        <v>195</v>
      </c>
      <c r="D244" s="1" t="s">
        <v>258</v>
      </c>
    </row>
    <row r="245" spans="1:4" x14ac:dyDescent="0.25">
      <c r="A245" s="1" t="s">
        <v>154</v>
      </c>
      <c r="B245" s="1" t="s">
        <v>175</v>
      </c>
      <c r="C245" s="1" t="s">
        <v>196</v>
      </c>
      <c r="D245" s="1" t="s">
        <v>295</v>
      </c>
    </row>
    <row r="246" spans="1:4" x14ac:dyDescent="0.25">
      <c r="A246" s="1" t="s">
        <v>154</v>
      </c>
      <c r="B246" s="1" t="s">
        <v>176</v>
      </c>
      <c r="C246" s="1" t="s">
        <v>197</v>
      </c>
      <c r="D246" s="1" t="s">
        <v>145</v>
      </c>
    </row>
    <row r="247" spans="1:4" x14ac:dyDescent="0.25">
      <c r="A247" s="1" t="s">
        <v>154</v>
      </c>
      <c r="B247" s="1" t="s">
        <v>177</v>
      </c>
      <c r="C247" s="1" t="s">
        <v>198</v>
      </c>
      <c r="D247" s="1" t="s">
        <v>95</v>
      </c>
    </row>
    <row r="248" spans="1:4" x14ac:dyDescent="0.25">
      <c r="A248" s="1" t="s">
        <v>154</v>
      </c>
      <c r="B248" s="1" t="s">
        <v>33</v>
      </c>
      <c r="C248" s="1" t="s">
        <v>199</v>
      </c>
      <c r="D248" s="1" t="s">
        <v>296</v>
      </c>
    </row>
    <row r="249" spans="1:4" x14ac:dyDescent="0.25">
      <c r="A249" s="1" t="s">
        <v>154</v>
      </c>
      <c r="B249" s="1" t="s">
        <v>34</v>
      </c>
      <c r="C249" s="1" t="s">
        <v>200</v>
      </c>
      <c r="D249" s="1" t="s">
        <v>297</v>
      </c>
    </row>
    <row r="250" spans="1:4" x14ac:dyDescent="0.25">
      <c r="A250" s="1" t="s">
        <v>154</v>
      </c>
      <c r="B250" s="1" t="s">
        <v>35</v>
      </c>
      <c r="C250" s="1" t="s">
        <v>201</v>
      </c>
      <c r="D250" s="1" t="s">
        <v>298</v>
      </c>
    </row>
    <row r="251" spans="1:4" x14ac:dyDescent="0.25">
      <c r="A251" s="1" t="s">
        <v>154</v>
      </c>
      <c r="B251" s="1" t="s">
        <v>36</v>
      </c>
      <c r="C251" s="1" t="s">
        <v>202</v>
      </c>
      <c r="D251" s="1" t="s">
        <v>299</v>
      </c>
    </row>
    <row r="252" spans="1:4" x14ac:dyDescent="0.25">
      <c r="A252" s="1" t="s">
        <v>154</v>
      </c>
      <c r="B252" s="1" t="s">
        <v>37</v>
      </c>
      <c r="C252" s="1" t="s">
        <v>203</v>
      </c>
      <c r="D252" s="1" t="s">
        <v>300</v>
      </c>
    </row>
    <row r="253" spans="1:4" x14ac:dyDescent="0.25">
      <c r="A253" s="1" t="s">
        <v>154</v>
      </c>
      <c r="B253" s="1" t="s">
        <v>38</v>
      </c>
      <c r="C253" s="1" t="s">
        <v>204</v>
      </c>
      <c r="D253" s="1" t="s">
        <v>301</v>
      </c>
    </row>
    <row r="254" spans="1:4" x14ac:dyDescent="0.25">
      <c r="A254" s="1" t="s">
        <v>154</v>
      </c>
      <c r="B254" s="1" t="s">
        <v>178</v>
      </c>
      <c r="C254" s="1" t="s">
        <v>205</v>
      </c>
      <c r="D254" s="1" t="s">
        <v>95</v>
      </c>
    </row>
    <row r="255" spans="1:4" x14ac:dyDescent="0.25">
      <c r="A255" s="1" t="s">
        <v>154</v>
      </c>
      <c r="B255" s="1" t="s">
        <v>179</v>
      </c>
      <c r="C255" s="1" t="s">
        <v>206</v>
      </c>
      <c r="D255" s="1" t="s">
        <v>302</v>
      </c>
    </row>
    <row r="256" spans="1:4" x14ac:dyDescent="0.25">
      <c r="A256" s="1" t="s">
        <v>154</v>
      </c>
      <c r="B256" s="1" t="s">
        <v>40</v>
      </c>
      <c r="C256" s="1" t="s">
        <v>207</v>
      </c>
      <c r="D256" s="1" t="s">
        <v>303</v>
      </c>
    </row>
    <row r="257" spans="1:4" x14ac:dyDescent="0.25">
      <c r="A257" s="1" t="s">
        <v>154</v>
      </c>
      <c r="B257" s="1" t="s">
        <v>180</v>
      </c>
      <c r="C257" s="1" t="s">
        <v>208</v>
      </c>
      <c r="D257" s="1" t="s">
        <v>304</v>
      </c>
    </row>
    <row r="258" spans="1:4" x14ac:dyDescent="0.25">
      <c r="A258" s="1" t="s">
        <v>154</v>
      </c>
      <c r="B258" s="1" t="s">
        <v>43</v>
      </c>
      <c r="C258" s="1" t="s">
        <v>209</v>
      </c>
      <c r="D258" s="1" t="s">
        <v>305</v>
      </c>
    </row>
    <row r="259" spans="1:4" x14ac:dyDescent="0.25">
      <c r="A259" s="1" t="s">
        <v>154</v>
      </c>
      <c r="B259" s="1" t="s">
        <v>181</v>
      </c>
      <c r="C259" s="1" t="s">
        <v>210</v>
      </c>
      <c r="D259" s="1" t="s">
        <v>223</v>
      </c>
    </row>
    <row r="260" spans="1:4" x14ac:dyDescent="0.25">
      <c r="A260" s="1" t="s">
        <v>154</v>
      </c>
      <c r="B260" s="1" t="s">
        <v>182</v>
      </c>
      <c r="C260" s="1" t="s">
        <v>211</v>
      </c>
      <c r="D260" s="1" t="s">
        <v>233</v>
      </c>
    </row>
    <row r="261" spans="1:4" x14ac:dyDescent="0.25">
      <c r="A261" s="1" t="s">
        <v>154</v>
      </c>
      <c r="B261" s="1" t="s">
        <v>183</v>
      </c>
      <c r="C261" s="1" t="s">
        <v>212</v>
      </c>
      <c r="D261" s="1" t="s">
        <v>227</v>
      </c>
    </row>
    <row r="262" spans="1:4" x14ac:dyDescent="0.25">
      <c r="A262" s="1" t="s">
        <v>154</v>
      </c>
      <c r="B262" s="1" t="s">
        <v>184</v>
      </c>
      <c r="C262" s="1" t="s">
        <v>213</v>
      </c>
      <c r="D262" s="1" t="s">
        <v>306</v>
      </c>
    </row>
    <row r="263" spans="1:4" x14ac:dyDescent="0.25">
      <c r="A263" s="1" t="s">
        <v>154</v>
      </c>
      <c r="B263" s="1" t="s">
        <v>185</v>
      </c>
      <c r="C263" s="1" t="s">
        <v>214</v>
      </c>
      <c r="D263" s="1" t="s">
        <v>78</v>
      </c>
    </row>
    <row r="264" spans="1:4" x14ac:dyDescent="0.25">
      <c r="A264" s="1" t="s">
        <v>154</v>
      </c>
      <c r="B264" s="1" t="s">
        <v>186</v>
      </c>
      <c r="C264" s="1" t="s">
        <v>215</v>
      </c>
      <c r="D264" s="1" t="s">
        <v>230</v>
      </c>
    </row>
    <row r="265" spans="1:4" x14ac:dyDescent="0.25">
      <c r="A265" s="1" t="s">
        <v>154</v>
      </c>
      <c r="B265" s="1" t="s">
        <v>187</v>
      </c>
      <c r="C265" s="1" t="s">
        <v>216</v>
      </c>
      <c r="D265" s="1" t="s">
        <v>307</v>
      </c>
    </row>
    <row r="266" spans="1:4" x14ac:dyDescent="0.25">
      <c r="A266" s="1" t="s">
        <v>154</v>
      </c>
      <c r="B266" s="1" t="s">
        <v>188</v>
      </c>
      <c r="C266" s="1" t="s">
        <v>217</v>
      </c>
      <c r="D266" s="1" t="s">
        <v>78</v>
      </c>
    </row>
    <row r="267" spans="1:4" x14ac:dyDescent="0.25">
      <c r="A267" s="1" t="s">
        <v>154</v>
      </c>
      <c r="B267" s="1" t="s">
        <v>189</v>
      </c>
      <c r="C267" s="1" t="s">
        <v>218</v>
      </c>
      <c r="D267" s="1" t="s">
        <v>78</v>
      </c>
    </row>
    <row r="268" spans="1:4" x14ac:dyDescent="0.25">
      <c r="A268" s="1" t="s">
        <v>154</v>
      </c>
      <c r="B268" s="1" t="s">
        <v>190</v>
      </c>
      <c r="C268" s="1" t="s">
        <v>219</v>
      </c>
      <c r="D268" s="1" t="s">
        <v>308</v>
      </c>
    </row>
    <row r="269" spans="1:4" x14ac:dyDescent="0.25">
      <c r="A269" s="1" t="s">
        <v>154</v>
      </c>
      <c r="B269" s="1" t="s">
        <v>191</v>
      </c>
      <c r="C269" s="1" t="s">
        <v>220</v>
      </c>
      <c r="D269" s="1" t="s">
        <v>309</v>
      </c>
    </row>
    <row r="270" spans="1:4" x14ac:dyDescent="0.25">
      <c r="A270" s="1" t="s">
        <v>154</v>
      </c>
      <c r="B270" s="1" t="s">
        <v>192</v>
      </c>
      <c r="C270" s="1" t="s">
        <v>221</v>
      </c>
      <c r="D270" s="1" t="s">
        <v>310</v>
      </c>
    </row>
    <row r="271" spans="1:4" x14ac:dyDescent="0.25">
      <c r="A271" s="1" t="s">
        <v>154</v>
      </c>
      <c r="B271" s="1" t="s">
        <v>193</v>
      </c>
      <c r="C271" s="1" t="s">
        <v>222</v>
      </c>
      <c r="D271" s="1" t="s">
        <v>311</v>
      </c>
    </row>
    <row r="272" spans="1:4" x14ac:dyDescent="0.25">
      <c r="A272" s="1" t="s">
        <v>154</v>
      </c>
      <c r="B272" s="1"/>
      <c r="C272" s="1"/>
      <c r="D272" s="1"/>
    </row>
    <row r="273" spans="1:4" x14ac:dyDescent="0.25">
      <c r="A273" s="1" t="s">
        <v>155</v>
      </c>
      <c r="B273" s="1" t="s">
        <v>173</v>
      </c>
      <c r="C273" s="1" t="s">
        <v>194</v>
      </c>
      <c r="D273" s="1" t="s">
        <v>78</v>
      </c>
    </row>
    <row r="274" spans="1:4" x14ac:dyDescent="0.25">
      <c r="A274" s="1" t="s">
        <v>155</v>
      </c>
      <c r="B274" s="1" t="s">
        <v>174</v>
      </c>
      <c r="C274" s="1" t="s">
        <v>195</v>
      </c>
      <c r="D274" s="1" t="s">
        <v>78</v>
      </c>
    </row>
    <row r="275" spans="1:4" x14ac:dyDescent="0.25">
      <c r="A275" s="1" t="s">
        <v>155</v>
      </c>
      <c r="B275" s="1" t="s">
        <v>175</v>
      </c>
      <c r="C275" s="1" t="s">
        <v>196</v>
      </c>
      <c r="D275" s="1" t="s">
        <v>262</v>
      </c>
    </row>
    <row r="276" spans="1:4" x14ac:dyDescent="0.25">
      <c r="A276" s="1" t="s">
        <v>155</v>
      </c>
      <c r="B276" s="1" t="s">
        <v>176</v>
      </c>
      <c r="C276" s="1" t="s">
        <v>197</v>
      </c>
      <c r="D276" s="1" t="s">
        <v>246</v>
      </c>
    </row>
    <row r="277" spans="1:4" x14ac:dyDescent="0.25">
      <c r="A277" s="1" t="s">
        <v>155</v>
      </c>
      <c r="B277" s="1" t="s">
        <v>177</v>
      </c>
      <c r="C277" s="1" t="s">
        <v>198</v>
      </c>
      <c r="D277" s="1" t="s">
        <v>246</v>
      </c>
    </row>
    <row r="278" spans="1:4" x14ac:dyDescent="0.25">
      <c r="A278" s="1" t="s">
        <v>155</v>
      </c>
      <c r="B278" s="1" t="s">
        <v>33</v>
      </c>
      <c r="C278" s="1" t="s">
        <v>199</v>
      </c>
      <c r="D278" s="1" t="s">
        <v>246</v>
      </c>
    </row>
    <row r="279" spans="1:4" x14ac:dyDescent="0.25">
      <c r="A279" s="1" t="s">
        <v>155</v>
      </c>
      <c r="B279" s="1" t="s">
        <v>34</v>
      </c>
      <c r="C279" s="1" t="s">
        <v>200</v>
      </c>
      <c r="D279" s="1" t="s">
        <v>246</v>
      </c>
    </row>
    <row r="280" spans="1:4" x14ac:dyDescent="0.25">
      <c r="A280" s="1" t="s">
        <v>155</v>
      </c>
      <c r="B280" s="1" t="s">
        <v>35</v>
      </c>
      <c r="C280" s="1" t="s">
        <v>201</v>
      </c>
      <c r="D280" s="1" t="s">
        <v>246</v>
      </c>
    </row>
    <row r="281" spans="1:4" x14ac:dyDescent="0.25">
      <c r="A281" s="1" t="s">
        <v>155</v>
      </c>
      <c r="B281" s="1" t="s">
        <v>36</v>
      </c>
      <c r="C281" s="1" t="s">
        <v>202</v>
      </c>
      <c r="D281" s="1" t="s">
        <v>246</v>
      </c>
    </row>
    <row r="282" spans="1:4" x14ac:dyDescent="0.25">
      <c r="A282" s="1" t="s">
        <v>155</v>
      </c>
      <c r="B282" s="1" t="s">
        <v>37</v>
      </c>
      <c r="C282" s="1" t="s">
        <v>203</v>
      </c>
      <c r="D282" s="1" t="s">
        <v>246</v>
      </c>
    </row>
    <row r="283" spans="1:4" x14ac:dyDescent="0.25">
      <c r="A283" s="1" t="s">
        <v>155</v>
      </c>
      <c r="B283" s="1" t="s">
        <v>38</v>
      </c>
      <c r="C283" s="1" t="s">
        <v>204</v>
      </c>
      <c r="D283" s="1" t="s">
        <v>246</v>
      </c>
    </row>
    <row r="284" spans="1:4" x14ac:dyDescent="0.25">
      <c r="A284" s="1" t="s">
        <v>155</v>
      </c>
      <c r="B284" s="1" t="s">
        <v>178</v>
      </c>
      <c r="C284" s="1" t="s">
        <v>205</v>
      </c>
      <c r="D284" s="1" t="s">
        <v>246</v>
      </c>
    </row>
    <row r="285" spans="1:4" x14ac:dyDescent="0.25">
      <c r="A285" s="1" t="s">
        <v>155</v>
      </c>
      <c r="B285" s="1" t="s">
        <v>179</v>
      </c>
      <c r="C285" s="1" t="s">
        <v>206</v>
      </c>
      <c r="D285" s="1" t="s">
        <v>78</v>
      </c>
    </row>
    <row r="286" spans="1:4" x14ac:dyDescent="0.25">
      <c r="A286" s="1" t="s">
        <v>155</v>
      </c>
      <c r="B286" s="1" t="s">
        <v>40</v>
      </c>
      <c r="C286" s="1" t="s">
        <v>207</v>
      </c>
      <c r="D286" s="1" t="s">
        <v>92</v>
      </c>
    </row>
    <row r="287" spans="1:4" x14ac:dyDescent="0.25">
      <c r="A287" s="1" t="s">
        <v>155</v>
      </c>
      <c r="B287" s="1" t="s">
        <v>180</v>
      </c>
      <c r="C287" s="1" t="s">
        <v>208</v>
      </c>
      <c r="D287" s="1" t="s">
        <v>246</v>
      </c>
    </row>
    <row r="288" spans="1:4" x14ac:dyDescent="0.25">
      <c r="A288" s="1" t="s">
        <v>155</v>
      </c>
      <c r="B288" s="1" t="s">
        <v>43</v>
      </c>
      <c r="C288" s="1" t="s">
        <v>209</v>
      </c>
      <c r="D288" s="1" t="s">
        <v>246</v>
      </c>
    </row>
    <row r="289" spans="1:4" x14ac:dyDescent="0.25">
      <c r="A289" s="1" t="s">
        <v>155</v>
      </c>
      <c r="B289" s="1" t="s">
        <v>181</v>
      </c>
      <c r="C289" s="1" t="s">
        <v>210</v>
      </c>
      <c r="D289" s="1" t="s">
        <v>246</v>
      </c>
    </row>
    <row r="290" spans="1:4" x14ac:dyDescent="0.25">
      <c r="A290" s="1" t="s">
        <v>155</v>
      </c>
      <c r="B290" s="1" t="s">
        <v>182</v>
      </c>
      <c r="C290" s="1" t="s">
        <v>211</v>
      </c>
      <c r="D290" s="1" t="s">
        <v>246</v>
      </c>
    </row>
    <row r="291" spans="1:4" x14ac:dyDescent="0.25">
      <c r="A291" s="1" t="s">
        <v>155</v>
      </c>
      <c r="B291" s="1" t="s">
        <v>183</v>
      </c>
      <c r="C291" s="1" t="s">
        <v>212</v>
      </c>
      <c r="D291" s="1" t="s">
        <v>246</v>
      </c>
    </row>
    <row r="292" spans="1:4" x14ac:dyDescent="0.25">
      <c r="A292" s="1" t="s">
        <v>155</v>
      </c>
      <c r="B292" s="1" t="s">
        <v>184</v>
      </c>
      <c r="C292" s="1" t="s">
        <v>213</v>
      </c>
      <c r="D292" s="1" t="s">
        <v>246</v>
      </c>
    </row>
    <row r="293" spans="1:4" x14ac:dyDescent="0.25">
      <c r="A293" s="1" t="s">
        <v>155</v>
      </c>
      <c r="B293" s="1" t="s">
        <v>185</v>
      </c>
      <c r="C293" s="1" t="s">
        <v>214</v>
      </c>
      <c r="D293" s="1" t="s">
        <v>246</v>
      </c>
    </row>
    <row r="294" spans="1:4" x14ac:dyDescent="0.25">
      <c r="A294" s="1" t="s">
        <v>155</v>
      </c>
      <c r="B294" s="1" t="s">
        <v>186</v>
      </c>
      <c r="C294" s="1" t="s">
        <v>215</v>
      </c>
      <c r="D294" s="1" t="s">
        <v>246</v>
      </c>
    </row>
    <row r="295" spans="1:4" x14ac:dyDescent="0.25">
      <c r="A295" s="1" t="s">
        <v>155</v>
      </c>
      <c r="B295" s="1" t="s">
        <v>187</v>
      </c>
      <c r="C295" s="1" t="s">
        <v>216</v>
      </c>
      <c r="D295" s="1" t="s">
        <v>246</v>
      </c>
    </row>
    <row r="296" spans="1:4" x14ac:dyDescent="0.25">
      <c r="A296" s="1" t="s">
        <v>155</v>
      </c>
      <c r="B296" s="1" t="s">
        <v>188</v>
      </c>
      <c r="C296" s="1" t="s">
        <v>217</v>
      </c>
      <c r="D296" s="1" t="s">
        <v>246</v>
      </c>
    </row>
    <row r="297" spans="1:4" x14ac:dyDescent="0.25">
      <c r="A297" s="1" t="s">
        <v>155</v>
      </c>
      <c r="B297" s="1" t="s">
        <v>189</v>
      </c>
      <c r="C297" s="1" t="s">
        <v>218</v>
      </c>
      <c r="D297" s="1" t="s">
        <v>246</v>
      </c>
    </row>
    <row r="298" spans="1:4" x14ac:dyDescent="0.25">
      <c r="A298" s="1" t="s">
        <v>155</v>
      </c>
      <c r="B298" s="1" t="s">
        <v>190</v>
      </c>
      <c r="C298" s="1" t="s">
        <v>219</v>
      </c>
      <c r="D298" s="1" t="s">
        <v>246</v>
      </c>
    </row>
    <row r="299" spans="1:4" x14ac:dyDescent="0.25">
      <c r="A299" s="1" t="s">
        <v>155</v>
      </c>
      <c r="B299" s="1" t="s">
        <v>191</v>
      </c>
      <c r="C299" s="1" t="s">
        <v>220</v>
      </c>
      <c r="D299" s="1" t="s">
        <v>246</v>
      </c>
    </row>
    <row r="300" spans="1:4" x14ac:dyDescent="0.25">
      <c r="A300" s="1" t="s">
        <v>155</v>
      </c>
      <c r="B300" s="1" t="s">
        <v>192</v>
      </c>
      <c r="C300" s="1" t="s">
        <v>221</v>
      </c>
      <c r="D300" s="1" t="s">
        <v>246</v>
      </c>
    </row>
    <row r="301" spans="1:4" x14ac:dyDescent="0.25">
      <c r="A301" s="1" t="s">
        <v>155</v>
      </c>
      <c r="B301" s="1" t="s">
        <v>193</v>
      </c>
      <c r="C301" s="1" t="s">
        <v>222</v>
      </c>
      <c r="D301" s="1" t="s">
        <v>246</v>
      </c>
    </row>
    <row r="302" spans="1:4" x14ac:dyDescent="0.25">
      <c r="A302" s="1" t="s">
        <v>155</v>
      </c>
      <c r="B302" s="1"/>
      <c r="C302" s="1"/>
      <c r="D302" s="1"/>
    </row>
    <row r="303" spans="1:4" x14ac:dyDescent="0.25">
      <c r="A303" s="1" t="s">
        <v>156</v>
      </c>
      <c r="B303" s="1" t="s">
        <v>173</v>
      </c>
      <c r="C303" s="1" t="s">
        <v>194</v>
      </c>
      <c r="D303" s="1" t="s">
        <v>78</v>
      </c>
    </row>
    <row r="304" spans="1:4" x14ac:dyDescent="0.25">
      <c r="A304" s="1" t="s">
        <v>156</v>
      </c>
      <c r="B304" s="1" t="s">
        <v>174</v>
      </c>
      <c r="C304" s="1" t="s">
        <v>195</v>
      </c>
      <c r="D304" s="1" t="s">
        <v>78</v>
      </c>
    </row>
    <row r="305" spans="1:4" x14ac:dyDescent="0.25">
      <c r="A305" s="1" t="s">
        <v>156</v>
      </c>
      <c r="B305" s="1" t="s">
        <v>175</v>
      </c>
      <c r="C305" s="1" t="s">
        <v>196</v>
      </c>
      <c r="D305" s="1" t="s">
        <v>245</v>
      </c>
    </row>
    <row r="306" spans="1:4" x14ac:dyDescent="0.25">
      <c r="A306" s="1" t="s">
        <v>156</v>
      </c>
      <c r="B306" s="1" t="s">
        <v>176</v>
      </c>
      <c r="C306" s="1" t="s">
        <v>197</v>
      </c>
      <c r="D306" s="1" t="s">
        <v>246</v>
      </c>
    </row>
    <row r="307" spans="1:4" x14ac:dyDescent="0.25">
      <c r="A307" s="1" t="s">
        <v>156</v>
      </c>
      <c r="B307" s="1" t="s">
        <v>177</v>
      </c>
      <c r="C307" s="1" t="s">
        <v>198</v>
      </c>
      <c r="D307" s="1" t="s">
        <v>246</v>
      </c>
    </row>
    <row r="308" spans="1:4" x14ac:dyDescent="0.25">
      <c r="A308" s="1" t="s">
        <v>156</v>
      </c>
      <c r="B308" s="1" t="s">
        <v>33</v>
      </c>
      <c r="C308" s="1" t="s">
        <v>199</v>
      </c>
      <c r="D308" s="1" t="s">
        <v>246</v>
      </c>
    </row>
    <row r="309" spans="1:4" x14ac:dyDescent="0.25">
      <c r="A309" s="1" t="s">
        <v>156</v>
      </c>
      <c r="B309" s="1" t="s">
        <v>34</v>
      </c>
      <c r="C309" s="1" t="s">
        <v>200</v>
      </c>
      <c r="D309" s="1" t="s">
        <v>246</v>
      </c>
    </row>
    <row r="310" spans="1:4" x14ac:dyDescent="0.25">
      <c r="A310" s="1" t="s">
        <v>156</v>
      </c>
      <c r="B310" s="1" t="s">
        <v>35</v>
      </c>
      <c r="C310" s="1" t="s">
        <v>201</v>
      </c>
      <c r="D310" s="1" t="s">
        <v>246</v>
      </c>
    </row>
    <row r="311" spans="1:4" x14ac:dyDescent="0.25">
      <c r="A311" s="1" t="s">
        <v>156</v>
      </c>
      <c r="B311" s="1" t="s">
        <v>36</v>
      </c>
      <c r="C311" s="1" t="s">
        <v>202</v>
      </c>
      <c r="D311" s="1" t="s">
        <v>246</v>
      </c>
    </row>
    <row r="312" spans="1:4" x14ac:dyDescent="0.25">
      <c r="A312" s="1" t="s">
        <v>156</v>
      </c>
      <c r="B312" s="1" t="s">
        <v>37</v>
      </c>
      <c r="C312" s="1" t="s">
        <v>203</v>
      </c>
      <c r="D312" s="1" t="s">
        <v>246</v>
      </c>
    </row>
    <row r="313" spans="1:4" x14ac:dyDescent="0.25">
      <c r="A313" s="1" t="s">
        <v>156</v>
      </c>
      <c r="B313" s="1" t="s">
        <v>38</v>
      </c>
      <c r="C313" s="1" t="s">
        <v>204</v>
      </c>
      <c r="D313" s="1" t="s">
        <v>246</v>
      </c>
    </row>
    <row r="314" spans="1:4" x14ac:dyDescent="0.25">
      <c r="A314" s="1" t="s">
        <v>156</v>
      </c>
      <c r="B314" s="1" t="s">
        <v>178</v>
      </c>
      <c r="C314" s="1" t="s">
        <v>205</v>
      </c>
      <c r="D314" s="1" t="s">
        <v>246</v>
      </c>
    </row>
    <row r="315" spans="1:4" x14ac:dyDescent="0.25">
      <c r="A315" s="1" t="s">
        <v>156</v>
      </c>
      <c r="B315" s="1" t="s">
        <v>179</v>
      </c>
      <c r="C315" s="1" t="s">
        <v>206</v>
      </c>
      <c r="D315" s="1" t="s">
        <v>78</v>
      </c>
    </row>
    <row r="316" spans="1:4" x14ac:dyDescent="0.25">
      <c r="A316" s="1" t="s">
        <v>156</v>
      </c>
      <c r="B316" s="1" t="s">
        <v>40</v>
      </c>
      <c r="C316" s="1" t="s">
        <v>207</v>
      </c>
      <c r="D316" s="1" t="s">
        <v>92</v>
      </c>
    </row>
    <row r="317" spans="1:4" x14ac:dyDescent="0.25">
      <c r="A317" s="1" t="s">
        <v>156</v>
      </c>
      <c r="B317" s="1" t="s">
        <v>180</v>
      </c>
      <c r="C317" s="1" t="s">
        <v>208</v>
      </c>
      <c r="D317" s="1" t="s">
        <v>246</v>
      </c>
    </row>
    <row r="318" spans="1:4" x14ac:dyDescent="0.25">
      <c r="A318" s="1" t="s">
        <v>156</v>
      </c>
      <c r="B318" s="1" t="s">
        <v>43</v>
      </c>
      <c r="C318" s="1" t="s">
        <v>209</v>
      </c>
      <c r="D318" s="1" t="s">
        <v>95</v>
      </c>
    </row>
    <row r="319" spans="1:4" x14ac:dyDescent="0.25">
      <c r="A319" s="1" t="s">
        <v>156</v>
      </c>
      <c r="B319" s="1" t="s">
        <v>181</v>
      </c>
      <c r="C319" s="1" t="s">
        <v>210</v>
      </c>
      <c r="D319" s="1" t="s">
        <v>246</v>
      </c>
    </row>
    <row r="320" spans="1:4" x14ac:dyDescent="0.25">
      <c r="A320" s="1" t="s">
        <v>156</v>
      </c>
      <c r="B320" s="1" t="s">
        <v>182</v>
      </c>
      <c r="C320" s="1" t="s">
        <v>211</v>
      </c>
      <c r="D320" s="1" t="s">
        <v>246</v>
      </c>
    </row>
    <row r="321" spans="1:4" x14ac:dyDescent="0.25">
      <c r="A321" s="1" t="s">
        <v>156</v>
      </c>
      <c r="B321" s="1" t="s">
        <v>183</v>
      </c>
      <c r="C321" s="1" t="s">
        <v>212</v>
      </c>
      <c r="D321" s="1" t="s">
        <v>246</v>
      </c>
    </row>
    <row r="322" spans="1:4" x14ac:dyDescent="0.25">
      <c r="A322" s="1" t="s">
        <v>156</v>
      </c>
      <c r="B322" s="1" t="s">
        <v>184</v>
      </c>
      <c r="C322" s="1" t="s">
        <v>213</v>
      </c>
      <c r="D322" s="1" t="s">
        <v>246</v>
      </c>
    </row>
    <row r="323" spans="1:4" x14ac:dyDescent="0.25">
      <c r="A323" s="1" t="s">
        <v>156</v>
      </c>
      <c r="B323" s="1" t="s">
        <v>185</v>
      </c>
      <c r="C323" s="1" t="s">
        <v>214</v>
      </c>
      <c r="D323" s="1" t="s">
        <v>246</v>
      </c>
    </row>
    <row r="324" spans="1:4" x14ac:dyDescent="0.25">
      <c r="A324" s="1" t="s">
        <v>156</v>
      </c>
      <c r="B324" s="1" t="s">
        <v>186</v>
      </c>
      <c r="C324" s="1" t="s">
        <v>215</v>
      </c>
      <c r="D324" s="1" t="s">
        <v>246</v>
      </c>
    </row>
    <row r="325" spans="1:4" x14ac:dyDescent="0.25">
      <c r="A325" s="1" t="s">
        <v>156</v>
      </c>
      <c r="B325" s="1" t="s">
        <v>187</v>
      </c>
      <c r="C325" s="1" t="s">
        <v>216</v>
      </c>
      <c r="D325" s="1" t="s">
        <v>246</v>
      </c>
    </row>
    <row r="326" spans="1:4" x14ac:dyDescent="0.25">
      <c r="A326" s="1" t="s">
        <v>156</v>
      </c>
      <c r="B326" s="1" t="s">
        <v>188</v>
      </c>
      <c r="C326" s="1" t="s">
        <v>217</v>
      </c>
      <c r="D326" s="1" t="s">
        <v>246</v>
      </c>
    </row>
    <row r="327" spans="1:4" x14ac:dyDescent="0.25">
      <c r="A327" s="1" t="s">
        <v>156</v>
      </c>
      <c r="B327" s="1" t="s">
        <v>189</v>
      </c>
      <c r="C327" s="1" t="s">
        <v>218</v>
      </c>
      <c r="D327" s="1" t="s">
        <v>246</v>
      </c>
    </row>
    <row r="328" spans="1:4" x14ac:dyDescent="0.25">
      <c r="A328" s="1" t="s">
        <v>156</v>
      </c>
      <c r="B328" s="1" t="s">
        <v>190</v>
      </c>
      <c r="C328" s="1" t="s">
        <v>219</v>
      </c>
      <c r="D328" s="1" t="s">
        <v>246</v>
      </c>
    </row>
    <row r="329" spans="1:4" x14ac:dyDescent="0.25">
      <c r="A329" s="1" t="s">
        <v>156</v>
      </c>
      <c r="B329" s="1" t="s">
        <v>191</v>
      </c>
      <c r="C329" s="1" t="s">
        <v>220</v>
      </c>
      <c r="D329" s="1" t="s">
        <v>246</v>
      </c>
    </row>
    <row r="330" spans="1:4" x14ac:dyDescent="0.25">
      <c r="A330" s="1" t="s">
        <v>156</v>
      </c>
      <c r="B330" s="1" t="s">
        <v>192</v>
      </c>
      <c r="C330" s="1" t="s">
        <v>221</v>
      </c>
      <c r="D330" s="1" t="s">
        <v>246</v>
      </c>
    </row>
    <row r="331" spans="1:4" x14ac:dyDescent="0.25">
      <c r="A331" s="1" t="s">
        <v>156</v>
      </c>
      <c r="B331" s="1" t="s">
        <v>193</v>
      </c>
      <c r="C331" s="1" t="s">
        <v>222</v>
      </c>
      <c r="D331" s="1" t="s">
        <v>246</v>
      </c>
    </row>
    <row r="332" spans="1:4" x14ac:dyDescent="0.25">
      <c r="A332" s="1" t="s">
        <v>156</v>
      </c>
      <c r="B332" s="1"/>
      <c r="C332" s="1"/>
      <c r="D332" s="1"/>
    </row>
    <row r="333" spans="1:4" x14ac:dyDescent="0.25">
      <c r="A333" s="1" t="s">
        <v>157</v>
      </c>
      <c r="B333" s="1" t="s">
        <v>173</v>
      </c>
      <c r="C333" s="1" t="s">
        <v>194</v>
      </c>
      <c r="D333" s="1" t="s">
        <v>78</v>
      </c>
    </row>
    <row r="334" spans="1:4" x14ac:dyDescent="0.25">
      <c r="A334" s="1" t="s">
        <v>157</v>
      </c>
      <c r="B334" s="1" t="s">
        <v>174</v>
      </c>
      <c r="C334" s="1" t="s">
        <v>195</v>
      </c>
      <c r="D334" s="1" t="s">
        <v>95</v>
      </c>
    </row>
    <row r="335" spans="1:4" x14ac:dyDescent="0.25">
      <c r="A335" s="1" t="s">
        <v>157</v>
      </c>
      <c r="B335" s="1" t="s">
        <v>175</v>
      </c>
      <c r="C335" s="1" t="s">
        <v>196</v>
      </c>
      <c r="D335" s="1" t="s">
        <v>230</v>
      </c>
    </row>
    <row r="336" spans="1:4" x14ac:dyDescent="0.25">
      <c r="A336" s="1" t="s">
        <v>157</v>
      </c>
      <c r="B336" s="1" t="s">
        <v>176</v>
      </c>
      <c r="C336" s="1" t="s">
        <v>197</v>
      </c>
      <c r="D336" s="1" t="s">
        <v>246</v>
      </c>
    </row>
    <row r="337" spans="1:4" x14ac:dyDescent="0.25">
      <c r="A337" s="1" t="s">
        <v>157</v>
      </c>
      <c r="B337" s="1" t="s">
        <v>177</v>
      </c>
      <c r="C337" s="1" t="s">
        <v>198</v>
      </c>
      <c r="D337" s="1" t="s">
        <v>246</v>
      </c>
    </row>
    <row r="338" spans="1:4" x14ac:dyDescent="0.25">
      <c r="A338" s="1" t="s">
        <v>157</v>
      </c>
      <c r="B338" s="1" t="s">
        <v>33</v>
      </c>
      <c r="C338" s="1" t="s">
        <v>199</v>
      </c>
      <c r="D338" s="1" t="s">
        <v>246</v>
      </c>
    </row>
    <row r="339" spans="1:4" x14ac:dyDescent="0.25">
      <c r="A339" s="1" t="s">
        <v>157</v>
      </c>
      <c r="B339" s="1" t="s">
        <v>34</v>
      </c>
      <c r="C339" s="1" t="s">
        <v>200</v>
      </c>
      <c r="D339" s="1" t="s">
        <v>246</v>
      </c>
    </row>
    <row r="340" spans="1:4" x14ac:dyDescent="0.25">
      <c r="A340" s="1" t="s">
        <v>157</v>
      </c>
      <c r="B340" s="1" t="s">
        <v>35</v>
      </c>
      <c r="C340" s="1" t="s">
        <v>201</v>
      </c>
      <c r="D340" s="1" t="s">
        <v>246</v>
      </c>
    </row>
    <row r="341" spans="1:4" x14ac:dyDescent="0.25">
      <c r="A341" s="1" t="s">
        <v>157</v>
      </c>
      <c r="B341" s="1" t="s">
        <v>36</v>
      </c>
      <c r="C341" s="1" t="s">
        <v>202</v>
      </c>
      <c r="D341" s="1" t="s">
        <v>246</v>
      </c>
    </row>
    <row r="342" spans="1:4" x14ac:dyDescent="0.25">
      <c r="A342" s="1" t="s">
        <v>157</v>
      </c>
      <c r="B342" s="1" t="s">
        <v>37</v>
      </c>
      <c r="C342" s="1" t="s">
        <v>203</v>
      </c>
      <c r="D342" s="1" t="s">
        <v>246</v>
      </c>
    </row>
    <row r="343" spans="1:4" x14ac:dyDescent="0.25">
      <c r="A343" s="1" t="s">
        <v>157</v>
      </c>
      <c r="B343" s="1" t="s">
        <v>38</v>
      </c>
      <c r="C343" s="1" t="s">
        <v>204</v>
      </c>
      <c r="D343" s="1" t="s">
        <v>246</v>
      </c>
    </row>
    <row r="344" spans="1:4" x14ac:dyDescent="0.25">
      <c r="A344" s="1" t="s">
        <v>157</v>
      </c>
      <c r="B344" s="1" t="s">
        <v>178</v>
      </c>
      <c r="C344" s="1" t="s">
        <v>205</v>
      </c>
      <c r="D344" s="1" t="s">
        <v>246</v>
      </c>
    </row>
    <row r="345" spans="1:4" x14ac:dyDescent="0.25">
      <c r="A345" s="1" t="s">
        <v>157</v>
      </c>
      <c r="B345" s="1" t="s">
        <v>179</v>
      </c>
      <c r="C345" s="1" t="s">
        <v>206</v>
      </c>
      <c r="D345" s="1" t="s">
        <v>233</v>
      </c>
    </row>
    <row r="346" spans="1:4" x14ac:dyDescent="0.25">
      <c r="A346" s="1" t="s">
        <v>157</v>
      </c>
      <c r="B346" s="1" t="s">
        <v>40</v>
      </c>
      <c r="C346" s="1" t="s">
        <v>207</v>
      </c>
      <c r="D346" s="1" t="s">
        <v>248</v>
      </c>
    </row>
    <row r="347" spans="1:4" x14ac:dyDescent="0.25">
      <c r="A347" s="1" t="s">
        <v>157</v>
      </c>
      <c r="B347" s="1" t="s">
        <v>180</v>
      </c>
      <c r="C347" s="1" t="s">
        <v>208</v>
      </c>
      <c r="D347" s="1" t="s">
        <v>246</v>
      </c>
    </row>
    <row r="348" spans="1:4" x14ac:dyDescent="0.25">
      <c r="A348" s="1" t="s">
        <v>157</v>
      </c>
      <c r="B348" s="1" t="s">
        <v>43</v>
      </c>
      <c r="C348" s="1" t="s">
        <v>209</v>
      </c>
      <c r="D348" s="1" t="s">
        <v>246</v>
      </c>
    </row>
    <row r="349" spans="1:4" x14ac:dyDescent="0.25">
      <c r="A349" s="1" t="s">
        <v>157</v>
      </c>
      <c r="B349" s="1" t="s">
        <v>181</v>
      </c>
      <c r="C349" s="1" t="s">
        <v>210</v>
      </c>
      <c r="D349" s="1" t="s">
        <v>246</v>
      </c>
    </row>
    <row r="350" spans="1:4" x14ac:dyDescent="0.25">
      <c r="A350" s="1" t="s">
        <v>157</v>
      </c>
      <c r="B350" s="1" t="s">
        <v>182</v>
      </c>
      <c r="C350" s="1" t="s">
        <v>211</v>
      </c>
      <c r="D350" s="1" t="s">
        <v>246</v>
      </c>
    </row>
    <row r="351" spans="1:4" x14ac:dyDescent="0.25">
      <c r="A351" s="1" t="s">
        <v>157</v>
      </c>
      <c r="B351" s="1" t="s">
        <v>183</v>
      </c>
      <c r="C351" s="1" t="s">
        <v>212</v>
      </c>
      <c r="D351" s="1" t="s">
        <v>246</v>
      </c>
    </row>
    <row r="352" spans="1:4" x14ac:dyDescent="0.25">
      <c r="A352" s="1" t="s">
        <v>157</v>
      </c>
      <c r="B352" s="1" t="s">
        <v>184</v>
      </c>
      <c r="C352" s="1" t="s">
        <v>213</v>
      </c>
      <c r="D352" s="1" t="s">
        <v>246</v>
      </c>
    </row>
    <row r="353" spans="1:4" x14ac:dyDescent="0.25">
      <c r="A353" s="1" t="s">
        <v>157</v>
      </c>
      <c r="B353" s="1" t="s">
        <v>185</v>
      </c>
      <c r="C353" s="1" t="s">
        <v>214</v>
      </c>
      <c r="D353" s="1" t="s">
        <v>246</v>
      </c>
    </row>
    <row r="354" spans="1:4" x14ac:dyDescent="0.25">
      <c r="A354" s="1" t="s">
        <v>157</v>
      </c>
      <c r="B354" s="1" t="s">
        <v>186</v>
      </c>
      <c r="C354" s="1" t="s">
        <v>215</v>
      </c>
      <c r="D354" s="1" t="s">
        <v>246</v>
      </c>
    </row>
    <row r="355" spans="1:4" x14ac:dyDescent="0.25">
      <c r="A355" s="1" t="s">
        <v>157</v>
      </c>
      <c r="B355" s="1" t="s">
        <v>187</v>
      </c>
      <c r="C355" s="1" t="s">
        <v>216</v>
      </c>
      <c r="D355" s="1" t="s">
        <v>246</v>
      </c>
    </row>
    <row r="356" spans="1:4" x14ac:dyDescent="0.25">
      <c r="A356" s="1" t="s">
        <v>157</v>
      </c>
      <c r="B356" s="1" t="s">
        <v>188</v>
      </c>
      <c r="C356" s="1" t="s">
        <v>217</v>
      </c>
      <c r="D356" s="1" t="s">
        <v>246</v>
      </c>
    </row>
    <row r="357" spans="1:4" x14ac:dyDescent="0.25">
      <c r="A357" s="1" t="s">
        <v>157</v>
      </c>
      <c r="B357" s="1" t="s">
        <v>189</v>
      </c>
      <c r="C357" s="1" t="s">
        <v>218</v>
      </c>
      <c r="D357" s="1" t="s">
        <v>246</v>
      </c>
    </row>
    <row r="358" spans="1:4" x14ac:dyDescent="0.25">
      <c r="A358" s="1" t="s">
        <v>157</v>
      </c>
      <c r="B358" s="1" t="s">
        <v>190</v>
      </c>
      <c r="C358" s="1" t="s">
        <v>219</v>
      </c>
      <c r="D358" s="1" t="s">
        <v>246</v>
      </c>
    </row>
    <row r="359" spans="1:4" x14ac:dyDescent="0.25">
      <c r="A359" s="1" t="s">
        <v>157</v>
      </c>
      <c r="B359" s="1" t="s">
        <v>191</v>
      </c>
      <c r="C359" s="1" t="s">
        <v>220</v>
      </c>
      <c r="D359" s="1" t="s">
        <v>246</v>
      </c>
    </row>
    <row r="360" spans="1:4" x14ac:dyDescent="0.25">
      <c r="A360" s="1" t="s">
        <v>157</v>
      </c>
      <c r="B360" s="1" t="s">
        <v>192</v>
      </c>
      <c r="C360" s="1" t="s">
        <v>221</v>
      </c>
      <c r="D360" s="1" t="s">
        <v>246</v>
      </c>
    </row>
    <row r="361" spans="1:4" x14ac:dyDescent="0.25">
      <c r="A361" s="1" t="s">
        <v>157</v>
      </c>
      <c r="B361" s="1" t="s">
        <v>193</v>
      </c>
      <c r="C361" s="1" t="s">
        <v>222</v>
      </c>
      <c r="D361" s="1" t="s">
        <v>246</v>
      </c>
    </row>
    <row r="362" spans="1:4" x14ac:dyDescent="0.25">
      <c r="A362" s="1" t="s">
        <v>157</v>
      </c>
      <c r="B362" s="1"/>
      <c r="C362" s="1"/>
      <c r="D362" s="1"/>
    </row>
    <row r="363" spans="1:4" x14ac:dyDescent="0.25">
      <c r="A363" s="1" t="s">
        <v>158</v>
      </c>
      <c r="B363" s="1" t="s">
        <v>173</v>
      </c>
      <c r="C363" s="1" t="s">
        <v>194</v>
      </c>
      <c r="D363" s="1" t="s">
        <v>78</v>
      </c>
    </row>
    <row r="364" spans="1:4" x14ac:dyDescent="0.25">
      <c r="A364" s="1" t="s">
        <v>158</v>
      </c>
      <c r="B364" s="1" t="s">
        <v>174</v>
      </c>
      <c r="C364" s="1" t="s">
        <v>195</v>
      </c>
      <c r="D364" s="1" t="s">
        <v>78</v>
      </c>
    </row>
    <row r="365" spans="1:4" x14ac:dyDescent="0.25">
      <c r="A365" s="1" t="s">
        <v>158</v>
      </c>
      <c r="B365" s="1" t="s">
        <v>175</v>
      </c>
      <c r="C365" s="1" t="s">
        <v>196</v>
      </c>
      <c r="D365" s="1" t="s">
        <v>223</v>
      </c>
    </row>
    <row r="366" spans="1:4" x14ac:dyDescent="0.25">
      <c r="A366" s="1" t="s">
        <v>158</v>
      </c>
      <c r="B366" s="1" t="s">
        <v>176</v>
      </c>
      <c r="C366" s="1" t="s">
        <v>197</v>
      </c>
      <c r="D366" s="1" t="s">
        <v>246</v>
      </c>
    </row>
    <row r="367" spans="1:4" x14ac:dyDescent="0.25">
      <c r="A367" s="1" t="s">
        <v>158</v>
      </c>
      <c r="B367" s="1" t="s">
        <v>177</v>
      </c>
      <c r="C367" s="1" t="s">
        <v>198</v>
      </c>
      <c r="D367" s="1" t="s">
        <v>246</v>
      </c>
    </row>
    <row r="368" spans="1:4" x14ac:dyDescent="0.25">
      <c r="A368" s="1" t="s">
        <v>158</v>
      </c>
      <c r="B368" s="1" t="s">
        <v>33</v>
      </c>
      <c r="C368" s="1" t="s">
        <v>199</v>
      </c>
      <c r="D368" s="1" t="s">
        <v>246</v>
      </c>
    </row>
    <row r="369" spans="1:4" x14ac:dyDescent="0.25">
      <c r="A369" s="1" t="s">
        <v>158</v>
      </c>
      <c r="B369" s="1" t="s">
        <v>34</v>
      </c>
      <c r="C369" s="1" t="s">
        <v>200</v>
      </c>
      <c r="D369" s="1" t="s">
        <v>246</v>
      </c>
    </row>
    <row r="370" spans="1:4" x14ac:dyDescent="0.25">
      <c r="A370" s="1" t="s">
        <v>158</v>
      </c>
      <c r="B370" s="1" t="s">
        <v>35</v>
      </c>
      <c r="C370" s="1" t="s">
        <v>201</v>
      </c>
      <c r="D370" s="1" t="s">
        <v>246</v>
      </c>
    </row>
    <row r="371" spans="1:4" x14ac:dyDescent="0.25">
      <c r="A371" s="1" t="s">
        <v>158</v>
      </c>
      <c r="B371" s="1" t="s">
        <v>36</v>
      </c>
      <c r="C371" s="1" t="s">
        <v>202</v>
      </c>
      <c r="D371" s="1" t="s">
        <v>246</v>
      </c>
    </row>
    <row r="372" spans="1:4" x14ac:dyDescent="0.25">
      <c r="A372" s="1" t="s">
        <v>158</v>
      </c>
      <c r="B372" s="1" t="s">
        <v>37</v>
      </c>
      <c r="C372" s="1" t="s">
        <v>203</v>
      </c>
      <c r="D372" s="1" t="s">
        <v>246</v>
      </c>
    </row>
    <row r="373" spans="1:4" x14ac:dyDescent="0.25">
      <c r="A373" s="1" t="s">
        <v>158</v>
      </c>
      <c r="B373" s="1" t="s">
        <v>38</v>
      </c>
      <c r="C373" s="1" t="s">
        <v>204</v>
      </c>
      <c r="D373" s="1" t="s">
        <v>246</v>
      </c>
    </row>
    <row r="374" spans="1:4" x14ac:dyDescent="0.25">
      <c r="A374" s="1" t="s">
        <v>158</v>
      </c>
      <c r="B374" s="1" t="s">
        <v>178</v>
      </c>
      <c r="C374" s="1" t="s">
        <v>205</v>
      </c>
      <c r="D374" s="1" t="s">
        <v>246</v>
      </c>
    </row>
    <row r="375" spans="1:4" x14ac:dyDescent="0.25">
      <c r="A375" s="1" t="s">
        <v>158</v>
      </c>
      <c r="B375" s="1" t="s">
        <v>179</v>
      </c>
      <c r="C375" s="1" t="s">
        <v>206</v>
      </c>
      <c r="D375" s="1" t="s">
        <v>78</v>
      </c>
    </row>
    <row r="376" spans="1:4" x14ac:dyDescent="0.25">
      <c r="A376" s="1" t="s">
        <v>158</v>
      </c>
      <c r="B376" s="1" t="s">
        <v>40</v>
      </c>
      <c r="C376" s="1" t="s">
        <v>207</v>
      </c>
      <c r="D376" s="1" t="s">
        <v>92</v>
      </c>
    </row>
    <row r="377" spans="1:4" x14ac:dyDescent="0.25">
      <c r="A377" s="1" t="s">
        <v>158</v>
      </c>
      <c r="B377" s="1" t="s">
        <v>180</v>
      </c>
      <c r="C377" s="1" t="s">
        <v>208</v>
      </c>
      <c r="D377" s="1" t="s">
        <v>246</v>
      </c>
    </row>
    <row r="378" spans="1:4" x14ac:dyDescent="0.25">
      <c r="A378" s="1" t="s">
        <v>158</v>
      </c>
      <c r="B378" s="1" t="s">
        <v>43</v>
      </c>
      <c r="C378" s="1" t="s">
        <v>209</v>
      </c>
      <c r="D378" s="1" t="s">
        <v>246</v>
      </c>
    </row>
    <row r="379" spans="1:4" x14ac:dyDescent="0.25">
      <c r="A379" s="1" t="s">
        <v>158</v>
      </c>
      <c r="B379" s="1" t="s">
        <v>181</v>
      </c>
      <c r="C379" s="1" t="s">
        <v>210</v>
      </c>
      <c r="D379" s="1" t="s">
        <v>246</v>
      </c>
    </row>
    <row r="380" spans="1:4" x14ac:dyDescent="0.25">
      <c r="A380" s="1" t="s">
        <v>158</v>
      </c>
      <c r="B380" s="1" t="s">
        <v>182</v>
      </c>
      <c r="C380" s="1" t="s">
        <v>211</v>
      </c>
      <c r="D380" s="1" t="s">
        <v>246</v>
      </c>
    </row>
    <row r="381" spans="1:4" x14ac:dyDescent="0.25">
      <c r="A381" s="1" t="s">
        <v>158</v>
      </c>
      <c r="B381" s="1" t="s">
        <v>183</v>
      </c>
      <c r="C381" s="1" t="s">
        <v>212</v>
      </c>
      <c r="D381" s="1" t="s">
        <v>246</v>
      </c>
    </row>
    <row r="382" spans="1:4" x14ac:dyDescent="0.25">
      <c r="A382" s="1" t="s">
        <v>158</v>
      </c>
      <c r="B382" s="1" t="s">
        <v>184</v>
      </c>
      <c r="C382" s="1" t="s">
        <v>213</v>
      </c>
      <c r="D382" s="1" t="s">
        <v>246</v>
      </c>
    </row>
    <row r="383" spans="1:4" x14ac:dyDescent="0.25">
      <c r="A383" s="1" t="s">
        <v>158</v>
      </c>
      <c r="B383" s="1" t="s">
        <v>185</v>
      </c>
      <c r="C383" s="1" t="s">
        <v>214</v>
      </c>
      <c r="D383" s="1" t="s">
        <v>246</v>
      </c>
    </row>
    <row r="384" spans="1:4" x14ac:dyDescent="0.25">
      <c r="A384" s="1" t="s">
        <v>158</v>
      </c>
      <c r="B384" s="1" t="s">
        <v>186</v>
      </c>
      <c r="C384" s="1" t="s">
        <v>215</v>
      </c>
      <c r="D384" s="1" t="s">
        <v>246</v>
      </c>
    </row>
    <row r="385" spans="1:4" x14ac:dyDescent="0.25">
      <c r="A385" s="1" t="s">
        <v>158</v>
      </c>
      <c r="B385" s="1" t="s">
        <v>187</v>
      </c>
      <c r="C385" s="1" t="s">
        <v>216</v>
      </c>
      <c r="D385" s="1" t="s">
        <v>246</v>
      </c>
    </row>
    <row r="386" spans="1:4" x14ac:dyDescent="0.25">
      <c r="A386" s="1" t="s">
        <v>158</v>
      </c>
      <c r="B386" s="1" t="s">
        <v>188</v>
      </c>
      <c r="C386" s="1" t="s">
        <v>217</v>
      </c>
      <c r="D386" s="1" t="s">
        <v>246</v>
      </c>
    </row>
    <row r="387" spans="1:4" x14ac:dyDescent="0.25">
      <c r="A387" s="1" t="s">
        <v>158</v>
      </c>
      <c r="B387" s="1" t="s">
        <v>189</v>
      </c>
      <c r="C387" s="1" t="s">
        <v>218</v>
      </c>
      <c r="D387" s="1" t="s">
        <v>246</v>
      </c>
    </row>
    <row r="388" spans="1:4" x14ac:dyDescent="0.25">
      <c r="A388" s="1" t="s">
        <v>158</v>
      </c>
      <c r="B388" s="1" t="s">
        <v>190</v>
      </c>
      <c r="C388" s="1" t="s">
        <v>219</v>
      </c>
      <c r="D388" s="1" t="s">
        <v>246</v>
      </c>
    </row>
    <row r="389" spans="1:4" x14ac:dyDescent="0.25">
      <c r="A389" s="1" t="s">
        <v>158</v>
      </c>
      <c r="B389" s="1" t="s">
        <v>191</v>
      </c>
      <c r="C389" s="1" t="s">
        <v>220</v>
      </c>
      <c r="D389" s="1" t="s">
        <v>246</v>
      </c>
    </row>
    <row r="390" spans="1:4" x14ac:dyDescent="0.25">
      <c r="A390" s="1" t="s">
        <v>158</v>
      </c>
      <c r="B390" s="1" t="s">
        <v>192</v>
      </c>
      <c r="C390" s="1" t="s">
        <v>221</v>
      </c>
      <c r="D390" s="1" t="s">
        <v>246</v>
      </c>
    </row>
    <row r="391" spans="1:4" x14ac:dyDescent="0.25">
      <c r="A391" s="1" t="s">
        <v>158</v>
      </c>
      <c r="B391" s="1" t="s">
        <v>193</v>
      </c>
      <c r="C391" s="1" t="s">
        <v>222</v>
      </c>
      <c r="D391" s="1" t="s">
        <v>246</v>
      </c>
    </row>
    <row r="392" spans="1:4" x14ac:dyDescent="0.25">
      <c r="A392" s="1" t="s">
        <v>158</v>
      </c>
      <c r="B392" s="1"/>
      <c r="C392" s="1"/>
      <c r="D392" s="1"/>
    </row>
    <row r="393" spans="1:4" x14ac:dyDescent="0.25">
      <c r="A393" s="1" t="s">
        <v>159</v>
      </c>
      <c r="B393" s="1" t="s">
        <v>173</v>
      </c>
      <c r="C393" s="1" t="s">
        <v>194</v>
      </c>
      <c r="D393" s="1" t="s">
        <v>78</v>
      </c>
    </row>
    <row r="394" spans="1:4" x14ac:dyDescent="0.25">
      <c r="A394" s="1" t="s">
        <v>159</v>
      </c>
      <c r="B394" s="1" t="s">
        <v>174</v>
      </c>
      <c r="C394" s="1" t="s">
        <v>195</v>
      </c>
      <c r="D394" s="1" t="s">
        <v>78</v>
      </c>
    </row>
    <row r="395" spans="1:4" x14ac:dyDescent="0.25">
      <c r="A395" s="1" t="s">
        <v>159</v>
      </c>
      <c r="B395" s="1" t="s">
        <v>175</v>
      </c>
      <c r="C395" s="1" t="s">
        <v>196</v>
      </c>
      <c r="D395" s="1" t="s">
        <v>262</v>
      </c>
    </row>
    <row r="396" spans="1:4" x14ac:dyDescent="0.25">
      <c r="A396" s="1" t="s">
        <v>159</v>
      </c>
      <c r="B396" s="1" t="s">
        <v>176</v>
      </c>
      <c r="C396" s="1" t="s">
        <v>197</v>
      </c>
      <c r="D396" s="1" t="s">
        <v>246</v>
      </c>
    </row>
    <row r="397" spans="1:4" x14ac:dyDescent="0.25">
      <c r="A397" s="1" t="s">
        <v>159</v>
      </c>
      <c r="B397" s="1" t="s">
        <v>177</v>
      </c>
      <c r="C397" s="1" t="s">
        <v>198</v>
      </c>
      <c r="D397" s="1" t="s">
        <v>246</v>
      </c>
    </row>
    <row r="398" spans="1:4" x14ac:dyDescent="0.25">
      <c r="A398" s="1" t="s">
        <v>159</v>
      </c>
      <c r="B398" s="1" t="s">
        <v>33</v>
      </c>
      <c r="C398" s="1" t="s">
        <v>199</v>
      </c>
      <c r="D398" s="1" t="s">
        <v>246</v>
      </c>
    </row>
    <row r="399" spans="1:4" x14ac:dyDescent="0.25">
      <c r="A399" s="1" t="s">
        <v>159</v>
      </c>
      <c r="B399" s="1" t="s">
        <v>34</v>
      </c>
      <c r="C399" s="1" t="s">
        <v>200</v>
      </c>
      <c r="D399" s="1" t="s">
        <v>246</v>
      </c>
    </row>
    <row r="400" spans="1:4" x14ac:dyDescent="0.25">
      <c r="A400" s="1" t="s">
        <v>159</v>
      </c>
      <c r="B400" s="1" t="s">
        <v>35</v>
      </c>
      <c r="C400" s="1" t="s">
        <v>201</v>
      </c>
      <c r="D400" s="1" t="s">
        <v>246</v>
      </c>
    </row>
    <row r="401" spans="1:4" x14ac:dyDescent="0.25">
      <c r="A401" s="1" t="s">
        <v>159</v>
      </c>
      <c r="B401" s="1" t="s">
        <v>36</v>
      </c>
      <c r="C401" s="1" t="s">
        <v>202</v>
      </c>
      <c r="D401" s="1" t="s">
        <v>246</v>
      </c>
    </row>
    <row r="402" spans="1:4" x14ac:dyDescent="0.25">
      <c r="A402" s="1" t="s">
        <v>159</v>
      </c>
      <c r="B402" s="1" t="s">
        <v>37</v>
      </c>
      <c r="C402" s="1" t="s">
        <v>203</v>
      </c>
      <c r="D402" s="1" t="s">
        <v>246</v>
      </c>
    </row>
    <row r="403" spans="1:4" x14ac:dyDescent="0.25">
      <c r="A403" s="1" t="s">
        <v>159</v>
      </c>
      <c r="B403" s="1" t="s">
        <v>38</v>
      </c>
      <c r="C403" s="1" t="s">
        <v>204</v>
      </c>
      <c r="D403" s="1" t="s">
        <v>246</v>
      </c>
    </row>
    <row r="404" spans="1:4" x14ac:dyDescent="0.25">
      <c r="A404" s="1" t="s">
        <v>159</v>
      </c>
      <c r="B404" s="1" t="s">
        <v>178</v>
      </c>
      <c r="C404" s="1" t="s">
        <v>205</v>
      </c>
      <c r="D404" s="1" t="s">
        <v>246</v>
      </c>
    </row>
    <row r="405" spans="1:4" x14ac:dyDescent="0.25">
      <c r="A405" s="1" t="s">
        <v>159</v>
      </c>
      <c r="B405" s="1" t="s">
        <v>179</v>
      </c>
      <c r="C405" s="1" t="s">
        <v>206</v>
      </c>
      <c r="D405" s="1" t="s">
        <v>78</v>
      </c>
    </row>
    <row r="406" spans="1:4" x14ac:dyDescent="0.25">
      <c r="A406" s="1" t="s">
        <v>159</v>
      </c>
      <c r="B406" s="1" t="s">
        <v>40</v>
      </c>
      <c r="C406" s="1" t="s">
        <v>207</v>
      </c>
      <c r="D406" s="1" t="s">
        <v>92</v>
      </c>
    </row>
    <row r="407" spans="1:4" x14ac:dyDescent="0.25">
      <c r="A407" s="1" t="s">
        <v>159</v>
      </c>
      <c r="B407" s="1" t="s">
        <v>180</v>
      </c>
      <c r="C407" s="1" t="s">
        <v>208</v>
      </c>
      <c r="D407" s="1" t="s">
        <v>246</v>
      </c>
    </row>
    <row r="408" spans="1:4" x14ac:dyDescent="0.25">
      <c r="A408" s="1" t="s">
        <v>159</v>
      </c>
      <c r="B408" s="1" t="s">
        <v>43</v>
      </c>
      <c r="C408" s="1" t="s">
        <v>209</v>
      </c>
      <c r="D408" s="1" t="s">
        <v>246</v>
      </c>
    </row>
    <row r="409" spans="1:4" x14ac:dyDescent="0.25">
      <c r="A409" s="1" t="s">
        <v>159</v>
      </c>
      <c r="B409" s="1" t="s">
        <v>181</v>
      </c>
      <c r="C409" s="1" t="s">
        <v>210</v>
      </c>
      <c r="D409" s="1" t="s">
        <v>246</v>
      </c>
    </row>
    <row r="410" spans="1:4" x14ac:dyDescent="0.25">
      <c r="A410" s="1" t="s">
        <v>159</v>
      </c>
      <c r="B410" s="1" t="s">
        <v>182</v>
      </c>
      <c r="C410" s="1" t="s">
        <v>211</v>
      </c>
      <c r="D410" s="1" t="s">
        <v>246</v>
      </c>
    </row>
    <row r="411" spans="1:4" x14ac:dyDescent="0.25">
      <c r="A411" s="1" t="s">
        <v>159</v>
      </c>
      <c r="B411" s="1" t="s">
        <v>183</v>
      </c>
      <c r="C411" s="1" t="s">
        <v>212</v>
      </c>
      <c r="D411" s="1" t="s">
        <v>246</v>
      </c>
    </row>
    <row r="412" spans="1:4" x14ac:dyDescent="0.25">
      <c r="A412" s="1" t="s">
        <v>159</v>
      </c>
      <c r="B412" s="1" t="s">
        <v>184</v>
      </c>
      <c r="C412" s="1" t="s">
        <v>213</v>
      </c>
      <c r="D412" s="1" t="s">
        <v>246</v>
      </c>
    </row>
    <row r="413" spans="1:4" x14ac:dyDescent="0.25">
      <c r="A413" s="1" t="s">
        <v>159</v>
      </c>
      <c r="B413" s="1" t="s">
        <v>185</v>
      </c>
      <c r="C413" s="1" t="s">
        <v>214</v>
      </c>
      <c r="D413" s="1" t="s">
        <v>246</v>
      </c>
    </row>
    <row r="414" spans="1:4" x14ac:dyDescent="0.25">
      <c r="A414" s="1" t="s">
        <v>159</v>
      </c>
      <c r="B414" s="1" t="s">
        <v>186</v>
      </c>
      <c r="C414" s="1" t="s">
        <v>215</v>
      </c>
      <c r="D414" s="1" t="s">
        <v>246</v>
      </c>
    </row>
    <row r="415" spans="1:4" x14ac:dyDescent="0.25">
      <c r="A415" s="1" t="s">
        <v>159</v>
      </c>
      <c r="B415" s="1" t="s">
        <v>187</v>
      </c>
      <c r="C415" s="1" t="s">
        <v>216</v>
      </c>
      <c r="D415" s="1" t="s">
        <v>246</v>
      </c>
    </row>
    <row r="416" spans="1:4" x14ac:dyDescent="0.25">
      <c r="A416" s="1" t="s">
        <v>159</v>
      </c>
      <c r="B416" s="1" t="s">
        <v>188</v>
      </c>
      <c r="C416" s="1" t="s">
        <v>217</v>
      </c>
      <c r="D416" s="1" t="s">
        <v>246</v>
      </c>
    </row>
    <row r="417" spans="1:4" x14ac:dyDescent="0.25">
      <c r="A417" s="1" t="s">
        <v>159</v>
      </c>
      <c r="B417" s="1" t="s">
        <v>189</v>
      </c>
      <c r="C417" s="1" t="s">
        <v>218</v>
      </c>
      <c r="D417" s="1" t="s">
        <v>246</v>
      </c>
    </row>
    <row r="418" spans="1:4" x14ac:dyDescent="0.25">
      <c r="A418" s="1" t="s">
        <v>159</v>
      </c>
      <c r="B418" s="1" t="s">
        <v>190</v>
      </c>
      <c r="C418" s="1" t="s">
        <v>219</v>
      </c>
      <c r="D418" s="1" t="s">
        <v>246</v>
      </c>
    </row>
    <row r="419" spans="1:4" x14ac:dyDescent="0.25">
      <c r="A419" s="1" t="s">
        <v>159</v>
      </c>
      <c r="B419" s="1" t="s">
        <v>191</v>
      </c>
      <c r="C419" s="1" t="s">
        <v>220</v>
      </c>
      <c r="D419" s="1" t="s">
        <v>246</v>
      </c>
    </row>
    <row r="420" spans="1:4" x14ac:dyDescent="0.25">
      <c r="A420" s="1" t="s">
        <v>159</v>
      </c>
      <c r="B420" s="1" t="s">
        <v>192</v>
      </c>
      <c r="C420" s="1" t="s">
        <v>221</v>
      </c>
      <c r="D420" s="1" t="s">
        <v>246</v>
      </c>
    </row>
    <row r="421" spans="1:4" x14ac:dyDescent="0.25">
      <c r="A421" s="1" t="s">
        <v>159</v>
      </c>
      <c r="B421" s="1" t="s">
        <v>193</v>
      </c>
      <c r="C421" s="1" t="s">
        <v>222</v>
      </c>
      <c r="D421" s="1" t="s">
        <v>246</v>
      </c>
    </row>
    <row r="422" spans="1:4" x14ac:dyDescent="0.25">
      <c r="A422" s="1" t="s">
        <v>159</v>
      </c>
      <c r="B422" s="1"/>
      <c r="C422" s="1"/>
      <c r="D422" s="1"/>
    </row>
    <row r="423" spans="1:4" x14ac:dyDescent="0.25">
      <c r="A423" s="1" t="s">
        <v>160</v>
      </c>
      <c r="B423" s="1" t="s">
        <v>173</v>
      </c>
      <c r="C423" s="1" t="s">
        <v>194</v>
      </c>
      <c r="D423" s="1" t="s">
        <v>95</v>
      </c>
    </row>
    <row r="424" spans="1:4" x14ac:dyDescent="0.25">
      <c r="A424" s="1" t="s">
        <v>160</v>
      </c>
      <c r="B424" s="1" t="s">
        <v>174</v>
      </c>
      <c r="C424" s="1" t="s">
        <v>195</v>
      </c>
      <c r="D424" s="1" t="s">
        <v>230</v>
      </c>
    </row>
    <row r="425" spans="1:4" x14ac:dyDescent="0.25">
      <c r="A425" s="1" t="s">
        <v>160</v>
      </c>
      <c r="B425" s="1" t="s">
        <v>175</v>
      </c>
      <c r="C425" s="1" t="s">
        <v>196</v>
      </c>
      <c r="D425" s="1" t="s">
        <v>133</v>
      </c>
    </row>
    <row r="426" spans="1:4" x14ac:dyDescent="0.25">
      <c r="A426" s="1" t="s">
        <v>160</v>
      </c>
      <c r="B426" s="1" t="s">
        <v>176</v>
      </c>
      <c r="C426" s="1" t="s">
        <v>197</v>
      </c>
      <c r="D426" s="1" t="s">
        <v>78</v>
      </c>
    </row>
    <row r="427" spans="1:4" x14ac:dyDescent="0.25">
      <c r="A427" s="1" t="s">
        <v>160</v>
      </c>
      <c r="B427" s="1" t="s">
        <v>177</v>
      </c>
      <c r="C427" s="1" t="s">
        <v>198</v>
      </c>
      <c r="D427" s="1" t="s">
        <v>95</v>
      </c>
    </row>
    <row r="428" spans="1:4" x14ac:dyDescent="0.25">
      <c r="A428" s="1" t="s">
        <v>160</v>
      </c>
      <c r="B428" s="1" t="s">
        <v>33</v>
      </c>
      <c r="C428" s="1" t="s">
        <v>199</v>
      </c>
      <c r="D428" s="1" t="s">
        <v>312</v>
      </c>
    </row>
    <row r="429" spans="1:4" x14ac:dyDescent="0.25">
      <c r="A429" s="1" t="s">
        <v>160</v>
      </c>
      <c r="B429" s="1" t="s">
        <v>34</v>
      </c>
      <c r="C429" s="1" t="s">
        <v>200</v>
      </c>
      <c r="D429" s="1" t="s">
        <v>313</v>
      </c>
    </row>
    <row r="430" spans="1:4" x14ac:dyDescent="0.25">
      <c r="A430" s="1" t="s">
        <v>160</v>
      </c>
      <c r="B430" s="1" t="s">
        <v>35</v>
      </c>
      <c r="C430" s="1" t="s">
        <v>201</v>
      </c>
      <c r="D430" s="1" t="s">
        <v>314</v>
      </c>
    </row>
    <row r="431" spans="1:4" x14ac:dyDescent="0.25">
      <c r="A431" s="1" t="s">
        <v>160</v>
      </c>
      <c r="B431" s="1" t="s">
        <v>36</v>
      </c>
      <c r="C431" s="1" t="s">
        <v>202</v>
      </c>
      <c r="D431" s="1" t="s">
        <v>315</v>
      </c>
    </row>
    <row r="432" spans="1:4" x14ac:dyDescent="0.25">
      <c r="A432" s="1" t="s">
        <v>160</v>
      </c>
      <c r="B432" s="1" t="s">
        <v>37</v>
      </c>
      <c r="C432" s="1" t="s">
        <v>203</v>
      </c>
      <c r="D432" s="1" t="s">
        <v>316</v>
      </c>
    </row>
    <row r="433" spans="1:4" x14ac:dyDescent="0.25">
      <c r="A433" s="1" t="s">
        <v>160</v>
      </c>
      <c r="B433" s="1" t="s">
        <v>38</v>
      </c>
      <c r="C433" s="1" t="s">
        <v>204</v>
      </c>
      <c r="D433" s="1" t="s">
        <v>317</v>
      </c>
    </row>
    <row r="434" spans="1:4" x14ac:dyDescent="0.25">
      <c r="A434" s="1" t="s">
        <v>160</v>
      </c>
      <c r="B434" s="1" t="s">
        <v>178</v>
      </c>
      <c r="C434" s="1" t="s">
        <v>205</v>
      </c>
      <c r="D434" s="1" t="s">
        <v>78</v>
      </c>
    </row>
    <row r="435" spans="1:4" x14ac:dyDescent="0.25">
      <c r="A435" s="1" t="s">
        <v>160</v>
      </c>
      <c r="B435" s="1" t="s">
        <v>179</v>
      </c>
      <c r="C435" s="1" t="s">
        <v>206</v>
      </c>
      <c r="D435" s="1" t="s">
        <v>318</v>
      </c>
    </row>
    <row r="436" spans="1:4" x14ac:dyDescent="0.25">
      <c r="A436" s="1" t="s">
        <v>160</v>
      </c>
      <c r="B436" s="1" t="s">
        <v>40</v>
      </c>
      <c r="C436" s="1" t="s">
        <v>207</v>
      </c>
      <c r="D436" s="1" t="s">
        <v>319</v>
      </c>
    </row>
    <row r="437" spans="1:4" x14ac:dyDescent="0.25">
      <c r="A437" s="1" t="s">
        <v>160</v>
      </c>
      <c r="B437" s="1" t="s">
        <v>180</v>
      </c>
      <c r="C437" s="1" t="s">
        <v>208</v>
      </c>
      <c r="D437" s="1" t="s">
        <v>122</v>
      </c>
    </row>
    <row r="438" spans="1:4" x14ac:dyDescent="0.25">
      <c r="A438" s="1" t="s">
        <v>160</v>
      </c>
      <c r="B438" s="1" t="s">
        <v>43</v>
      </c>
      <c r="C438" s="1" t="s">
        <v>209</v>
      </c>
      <c r="D438" s="1" t="s">
        <v>258</v>
      </c>
    </row>
    <row r="439" spans="1:4" x14ac:dyDescent="0.25">
      <c r="A439" s="1" t="s">
        <v>160</v>
      </c>
      <c r="B439" s="1" t="s">
        <v>181</v>
      </c>
      <c r="C439" s="1" t="s">
        <v>210</v>
      </c>
      <c r="D439" s="1" t="s">
        <v>78</v>
      </c>
    </row>
    <row r="440" spans="1:4" x14ac:dyDescent="0.25">
      <c r="A440" s="1" t="s">
        <v>160</v>
      </c>
      <c r="B440" s="1" t="s">
        <v>182</v>
      </c>
      <c r="C440" s="1" t="s">
        <v>211</v>
      </c>
      <c r="D440" s="1" t="s">
        <v>95</v>
      </c>
    </row>
    <row r="441" spans="1:4" x14ac:dyDescent="0.25">
      <c r="A441" s="1" t="s">
        <v>160</v>
      </c>
      <c r="B441" s="1" t="s">
        <v>183</v>
      </c>
      <c r="C441" s="1" t="s">
        <v>212</v>
      </c>
      <c r="D441" s="1" t="s">
        <v>78</v>
      </c>
    </row>
    <row r="442" spans="1:4" x14ac:dyDescent="0.25">
      <c r="A442" s="1" t="s">
        <v>160</v>
      </c>
      <c r="B442" s="1" t="s">
        <v>184</v>
      </c>
      <c r="C442" s="1" t="s">
        <v>213</v>
      </c>
      <c r="D442" s="1" t="s">
        <v>133</v>
      </c>
    </row>
    <row r="443" spans="1:4" x14ac:dyDescent="0.25">
      <c r="A443" s="1" t="s">
        <v>160</v>
      </c>
      <c r="B443" s="1" t="s">
        <v>185</v>
      </c>
      <c r="C443" s="1" t="s">
        <v>214</v>
      </c>
      <c r="D443" s="1" t="s">
        <v>78</v>
      </c>
    </row>
    <row r="444" spans="1:4" x14ac:dyDescent="0.25">
      <c r="A444" s="1" t="s">
        <v>160</v>
      </c>
      <c r="B444" s="1" t="s">
        <v>186</v>
      </c>
      <c r="C444" s="1" t="s">
        <v>215</v>
      </c>
      <c r="D444" s="1" t="s">
        <v>95</v>
      </c>
    </row>
    <row r="445" spans="1:4" x14ac:dyDescent="0.25">
      <c r="A445" s="1" t="s">
        <v>160</v>
      </c>
      <c r="B445" s="1" t="s">
        <v>187</v>
      </c>
      <c r="C445" s="1" t="s">
        <v>216</v>
      </c>
      <c r="D445" s="1" t="s">
        <v>228</v>
      </c>
    </row>
    <row r="446" spans="1:4" x14ac:dyDescent="0.25">
      <c r="A446" s="1" t="s">
        <v>160</v>
      </c>
      <c r="B446" s="1" t="s">
        <v>188</v>
      </c>
      <c r="C446" s="1" t="s">
        <v>217</v>
      </c>
      <c r="D446" s="1" t="s">
        <v>78</v>
      </c>
    </row>
    <row r="447" spans="1:4" x14ac:dyDescent="0.25">
      <c r="A447" s="1" t="s">
        <v>160</v>
      </c>
      <c r="B447" s="1" t="s">
        <v>189</v>
      </c>
      <c r="C447" s="1" t="s">
        <v>218</v>
      </c>
      <c r="D447" s="1" t="s">
        <v>78</v>
      </c>
    </row>
    <row r="448" spans="1:4" x14ac:dyDescent="0.25">
      <c r="A448" s="1" t="s">
        <v>160</v>
      </c>
      <c r="B448" s="1" t="s">
        <v>190</v>
      </c>
      <c r="C448" s="1" t="s">
        <v>219</v>
      </c>
      <c r="D448" s="1" t="s">
        <v>228</v>
      </c>
    </row>
    <row r="449" spans="1:4" x14ac:dyDescent="0.25">
      <c r="A449" s="1" t="s">
        <v>160</v>
      </c>
      <c r="B449" s="1" t="s">
        <v>191</v>
      </c>
      <c r="C449" s="1" t="s">
        <v>220</v>
      </c>
      <c r="D449" s="1" t="s">
        <v>92</v>
      </c>
    </row>
    <row r="450" spans="1:4" x14ac:dyDescent="0.25">
      <c r="A450" s="1" t="s">
        <v>160</v>
      </c>
      <c r="B450" s="1" t="s">
        <v>192</v>
      </c>
      <c r="C450" s="1" t="s">
        <v>221</v>
      </c>
      <c r="D450" s="1" t="s">
        <v>141</v>
      </c>
    </row>
    <row r="451" spans="1:4" x14ac:dyDescent="0.25">
      <c r="A451" s="1" t="s">
        <v>160</v>
      </c>
      <c r="B451" s="1" t="s">
        <v>193</v>
      </c>
      <c r="C451" s="1" t="s">
        <v>222</v>
      </c>
      <c r="D451" s="1" t="s">
        <v>230</v>
      </c>
    </row>
    <row r="452" spans="1:4" x14ac:dyDescent="0.25">
      <c r="A452" s="1" t="s">
        <v>160</v>
      </c>
      <c r="B452" s="1"/>
      <c r="C452" s="1"/>
      <c r="D452" s="1"/>
    </row>
    <row r="453" spans="1:4" x14ac:dyDescent="0.25">
      <c r="A453" s="1" t="s">
        <v>161</v>
      </c>
      <c r="B453" s="1" t="s">
        <v>173</v>
      </c>
      <c r="C453" s="1" t="s">
        <v>194</v>
      </c>
      <c r="D453" s="1" t="s">
        <v>97</v>
      </c>
    </row>
    <row r="454" spans="1:4" x14ac:dyDescent="0.25">
      <c r="A454" s="1" t="s">
        <v>161</v>
      </c>
      <c r="B454" s="1" t="s">
        <v>174</v>
      </c>
      <c r="C454" s="1" t="s">
        <v>195</v>
      </c>
      <c r="D454" s="1" t="s">
        <v>320</v>
      </c>
    </row>
    <row r="455" spans="1:4" x14ac:dyDescent="0.25">
      <c r="A455" s="1" t="s">
        <v>161</v>
      </c>
      <c r="B455" s="1" t="s">
        <v>175</v>
      </c>
      <c r="C455" s="1" t="s">
        <v>196</v>
      </c>
      <c r="D455" s="1" t="s">
        <v>307</v>
      </c>
    </row>
    <row r="456" spans="1:4" x14ac:dyDescent="0.25">
      <c r="A456" s="1" t="s">
        <v>161</v>
      </c>
      <c r="B456" s="1" t="s">
        <v>176</v>
      </c>
      <c r="C456" s="1" t="s">
        <v>197</v>
      </c>
      <c r="D456" s="1" t="s">
        <v>95</v>
      </c>
    </row>
    <row r="457" spans="1:4" x14ac:dyDescent="0.25">
      <c r="A457" s="1" t="s">
        <v>161</v>
      </c>
      <c r="B457" s="1" t="s">
        <v>177</v>
      </c>
      <c r="C457" s="1" t="s">
        <v>198</v>
      </c>
      <c r="D457" s="1" t="s">
        <v>95</v>
      </c>
    </row>
    <row r="458" spans="1:4" x14ac:dyDescent="0.25">
      <c r="A458" s="1" t="s">
        <v>161</v>
      </c>
      <c r="B458" s="1" t="s">
        <v>33</v>
      </c>
      <c r="C458" s="1" t="s">
        <v>199</v>
      </c>
      <c r="D458" s="1" t="s">
        <v>321</v>
      </c>
    </row>
    <row r="459" spans="1:4" x14ac:dyDescent="0.25">
      <c r="A459" s="1" t="s">
        <v>161</v>
      </c>
      <c r="B459" s="1" t="s">
        <v>34</v>
      </c>
      <c r="C459" s="1" t="s">
        <v>200</v>
      </c>
      <c r="D459" s="1" t="s">
        <v>322</v>
      </c>
    </row>
    <row r="460" spans="1:4" x14ac:dyDescent="0.25">
      <c r="A460" s="1" t="s">
        <v>161</v>
      </c>
      <c r="B460" s="1" t="s">
        <v>35</v>
      </c>
      <c r="C460" s="1" t="s">
        <v>201</v>
      </c>
      <c r="D460" s="1" t="s">
        <v>323</v>
      </c>
    </row>
    <row r="461" spans="1:4" x14ac:dyDescent="0.25">
      <c r="A461" s="1" t="s">
        <v>161</v>
      </c>
      <c r="B461" s="1" t="s">
        <v>36</v>
      </c>
      <c r="C461" s="1" t="s">
        <v>202</v>
      </c>
      <c r="D461" s="1" t="s">
        <v>324</v>
      </c>
    </row>
    <row r="462" spans="1:4" x14ac:dyDescent="0.25">
      <c r="A462" s="1" t="s">
        <v>161</v>
      </c>
      <c r="B462" s="1" t="s">
        <v>37</v>
      </c>
      <c r="C462" s="1" t="s">
        <v>203</v>
      </c>
      <c r="D462" s="1" t="s">
        <v>325</v>
      </c>
    </row>
    <row r="463" spans="1:4" x14ac:dyDescent="0.25">
      <c r="A463" s="1" t="s">
        <v>161</v>
      </c>
      <c r="B463" s="1" t="s">
        <v>38</v>
      </c>
      <c r="C463" s="1" t="s">
        <v>204</v>
      </c>
      <c r="D463" s="1" t="s">
        <v>326</v>
      </c>
    </row>
    <row r="464" spans="1:4" x14ac:dyDescent="0.25">
      <c r="A464" s="1" t="s">
        <v>161</v>
      </c>
      <c r="B464" s="1" t="s">
        <v>178</v>
      </c>
      <c r="C464" s="1" t="s">
        <v>205</v>
      </c>
      <c r="D464" s="1" t="s">
        <v>223</v>
      </c>
    </row>
    <row r="465" spans="1:4" x14ac:dyDescent="0.25">
      <c r="A465" s="1" t="s">
        <v>161</v>
      </c>
      <c r="B465" s="1" t="s">
        <v>179</v>
      </c>
      <c r="C465" s="1" t="s">
        <v>206</v>
      </c>
      <c r="D465" s="1" t="s">
        <v>327</v>
      </c>
    </row>
    <row r="466" spans="1:4" x14ac:dyDescent="0.25">
      <c r="A466" s="1" t="s">
        <v>161</v>
      </c>
      <c r="B466" s="1" t="s">
        <v>40</v>
      </c>
      <c r="C466" s="1" t="s">
        <v>207</v>
      </c>
      <c r="D466" s="1" t="s">
        <v>328</v>
      </c>
    </row>
    <row r="467" spans="1:4" x14ac:dyDescent="0.25">
      <c r="A467" s="1" t="s">
        <v>161</v>
      </c>
      <c r="B467" s="1" t="s">
        <v>180</v>
      </c>
      <c r="C467" s="1" t="s">
        <v>208</v>
      </c>
      <c r="D467" s="1" t="s">
        <v>329</v>
      </c>
    </row>
    <row r="468" spans="1:4" x14ac:dyDescent="0.25">
      <c r="A468" s="1" t="s">
        <v>161</v>
      </c>
      <c r="B468" s="1" t="s">
        <v>43</v>
      </c>
      <c r="C468" s="1" t="s">
        <v>209</v>
      </c>
      <c r="D468" s="1" t="s">
        <v>330</v>
      </c>
    </row>
    <row r="469" spans="1:4" x14ac:dyDescent="0.25">
      <c r="A469" s="1" t="s">
        <v>161</v>
      </c>
      <c r="B469" s="1" t="s">
        <v>181</v>
      </c>
      <c r="C469" s="1" t="s">
        <v>210</v>
      </c>
      <c r="D469" s="1" t="s">
        <v>275</v>
      </c>
    </row>
    <row r="470" spans="1:4" x14ac:dyDescent="0.25">
      <c r="A470" s="1" t="s">
        <v>161</v>
      </c>
      <c r="B470" s="1" t="s">
        <v>182</v>
      </c>
      <c r="C470" s="1" t="s">
        <v>211</v>
      </c>
      <c r="D470" s="1" t="s">
        <v>232</v>
      </c>
    </row>
    <row r="471" spans="1:4" x14ac:dyDescent="0.25">
      <c r="A471" s="1" t="s">
        <v>161</v>
      </c>
      <c r="B471" s="1" t="s">
        <v>183</v>
      </c>
      <c r="C471" s="1" t="s">
        <v>212</v>
      </c>
      <c r="D471" s="1" t="s">
        <v>275</v>
      </c>
    </row>
    <row r="472" spans="1:4" x14ac:dyDescent="0.25">
      <c r="A472" s="1" t="s">
        <v>161</v>
      </c>
      <c r="B472" s="1" t="s">
        <v>184</v>
      </c>
      <c r="C472" s="1" t="s">
        <v>213</v>
      </c>
      <c r="D472" s="1" t="s">
        <v>242</v>
      </c>
    </row>
    <row r="473" spans="1:4" x14ac:dyDescent="0.25">
      <c r="A473" s="1" t="s">
        <v>161</v>
      </c>
      <c r="B473" s="1" t="s">
        <v>185</v>
      </c>
      <c r="C473" s="1" t="s">
        <v>214</v>
      </c>
      <c r="D473" s="1" t="s">
        <v>78</v>
      </c>
    </row>
    <row r="474" spans="1:4" x14ac:dyDescent="0.25">
      <c r="A474" s="1" t="s">
        <v>161</v>
      </c>
      <c r="B474" s="1" t="s">
        <v>186</v>
      </c>
      <c r="C474" s="1" t="s">
        <v>215</v>
      </c>
      <c r="D474" s="1" t="s">
        <v>262</v>
      </c>
    </row>
    <row r="475" spans="1:4" x14ac:dyDescent="0.25">
      <c r="A475" s="1" t="s">
        <v>161</v>
      </c>
      <c r="B475" s="1" t="s">
        <v>187</v>
      </c>
      <c r="C475" s="1" t="s">
        <v>216</v>
      </c>
      <c r="D475" s="1" t="s">
        <v>331</v>
      </c>
    </row>
    <row r="476" spans="1:4" x14ac:dyDescent="0.25">
      <c r="A476" s="1" t="s">
        <v>161</v>
      </c>
      <c r="B476" s="1" t="s">
        <v>188</v>
      </c>
      <c r="C476" s="1" t="s">
        <v>217</v>
      </c>
      <c r="D476" s="1" t="s">
        <v>95</v>
      </c>
    </row>
    <row r="477" spans="1:4" x14ac:dyDescent="0.25">
      <c r="A477" s="1" t="s">
        <v>161</v>
      </c>
      <c r="B477" s="1" t="s">
        <v>189</v>
      </c>
      <c r="C477" s="1" t="s">
        <v>218</v>
      </c>
      <c r="D477" s="1" t="s">
        <v>78</v>
      </c>
    </row>
    <row r="478" spans="1:4" x14ac:dyDescent="0.25">
      <c r="A478" s="1" t="s">
        <v>161</v>
      </c>
      <c r="B478" s="1" t="s">
        <v>190</v>
      </c>
      <c r="C478" s="1" t="s">
        <v>219</v>
      </c>
      <c r="D478" s="1" t="s">
        <v>249</v>
      </c>
    </row>
    <row r="479" spans="1:4" x14ac:dyDescent="0.25">
      <c r="A479" s="1" t="s">
        <v>161</v>
      </c>
      <c r="B479" s="1" t="s">
        <v>191</v>
      </c>
      <c r="C479" s="1" t="s">
        <v>220</v>
      </c>
      <c r="D479" s="1" t="s">
        <v>332</v>
      </c>
    </row>
    <row r="480" spans="1:4" x14ac:dyDescent="0.25">
      <c r="A480" s="1" t="s">
        <v>161</v>
      </c>
      <c r="B480" s="1" t="s">
        <v>192</v>
      </c>
      <c r="C480" s="1" t="s">
        <v>221</v>
      </c>
      <c r="D480" s="1" t="s">
        <v>333</v>
      </c>
    </row>
    <row r="481" spans="1:4" x14ac:dyDescent="0.25">
      <c r="A481" s="1" t="s">
        <v>161</v>
      </c>
      <c r="B481" s="1" t="s">
        <v>193</v>
      </c>
      <c r="C481" s="1" t="s">
        <v>222</v>
      </c>
      <c r="D481" s="1" t="s">
        <v>334</v>
      </c>
    </row>
    <row r="482" spans="1:4" x14ac:dyDescent="0.25">
      <c r="A482" s="1" t="s">
        <v>161</v>
      </c>
      <c r="B482" s="1"/>
      <c r="C482" s="1"/>
      <c r="D482" s="1"/>
    </row>
    <row r="483" spans="1:4" x14ac:dyDescent="0.25">
      <c r="A483" s="1" t="s">
        <v>162</v>
      </c>
      <c r="B483" s="1" t="s">
        <v>173</v>
      </c>
      <c r="C483" s="1" t="s">
        <v>194</v>
      </c>
      <c r="D483" s="1" t="s">
        <v>78</v>
      </c>
    </row>
    <row r="484" spans="1:4" x14ac:dyDescent="0.25">
      <c r="A484" s="1" t="s">
        <v>162</v>
      </c>
      <c r="B484" s="1" t="s">
        <v>174</v>
      </c>
      <c r="C484" s="1" t="s">
        <v>195</v>
      </c>
      <c r="D484" s="1" t="s">
        <v>145</v>
      </c>
    </row>
    <row r="485" spans="1:4" x14ac:dyDescent="0.25">
      <c r="A485" s="1" t="s">
        <v>162</v>
      </c>
      <c r="B485" s="1" t="s">
        <v>175</v>
      </c>
      <c r="C485" s="1" t="s">
        <v>196</v>
      </c>
      <c r="D485" s="1" t="s">
        <v>233</v>
      </c>
    </row>
    <row r="486" spans="1:4" x14ac:dyDescent="0.25">
      <c r="A486" s="1" t="s">
        <v>162</v>
      </c>
      <c r="B486" s="1" t="s">
        <v>176</v>
      </c>
      <c r="C486" s="1" t="s">
        <v>197</v>
      </c>
      <c r="D486" s="1" t="s">
        <v>78</v>
      </c>
    </row>
    <row r="487" spans="1:4" x14ac:dyDescent="0.25">
      <c r="A487" s="1" t="s">
        <v>162</v>
      </c>
      <c r="B487" s="1" t="s">
        <v>177</v>
      </c>
      <c r="C487" s="1" t="s">
        <v>198</v>
      </c>
      <c r="D487" s="1" t="s">
        <v>95</v>
      </c>
    </row>
    <row r="488" spans="1:4" x14ac:dyDescent="0.25">
      <c r="A488" s="1" t="s">
        <v>162</v>
      </c>
      <c r="B488" s="1" t="s">
        <v>33</v>
      </c>
      <c r="C488" s="1" t="s">
        <v>199</v>
      </c>
      <c r="D488" s="1" t="s">
        <v>335</v>
      </c>
    </row>
    <row r="489" spans="1:4" x14ac:dyDescent="0.25">
      <c r="A489" s="1" t="s">
        <v>162</v>
      </c>
      <c r="B489" s="1" t="s">
        <v>34</v>
      </c>
      <c r="C489" s="1" t="s">
        <v>200</v>
      </c>
      <c r="D489" s="1" t="s">
        <v>336</v>
      </c>
    </row>
    <row r="490" spans="1:4" x14ac:dyDescent="0.25">
      <c r="A490" s="1" t="s">
        <v>162</v>
      </c>
      <c r="B490" s="1" t="s">
        <v>35</v>
      </c>
      <c r="C490" s="1" t="s">
        <v>201</v>
      </c>
      <c r="D490" s="1" t="s">
        <v>337</v>
      </c>
    </row>
    <row r="491" spans="1:4" x14ac:dyDescent="0.25">
      <c r="A491" s="1" t="s">
        <v>162</v>
      </c>
      <c r="B491" s="1" t="s">
        <v>36</v>
      </c>
      <c r="C491" s="1" t="s">
        <v>202</v>
      </c>
      <c r="D491" s="1" t="s">
        <v>338</v>
      </c>
    </row>
    <row r="492" spans="1:4" x14ac:dyDescent="0.25">
      <c r="A492" s="1" t="s">
        <v>162</v>
      </c>
      <c r="B492" s="1" t="s">
        <v>37</v>
      </c>
      <c r="C492" s="1" t="s">
        <v>203</v>
      </c>
      <c r="D492" s="1" t="s">
        <v>318</v>
      </c>
    </row>
    <row r="493" spans="1:4" x14ac:dyDescent="0.25">
      <c r="A493" s="1" t="s">
        <v>162</v>
      </c>
      <c r="B493" s="1" t="s">
        <v>38</v>
      </c>
      <c r="C493" s="1" t="s">
        <v>204</v>
      </c>
      <c r="D493" s="1" t="s">
        <v>339</v>
      </c>
    </row>
    <row r="494" spans="1:4" x14ac:dyDescent="0.25">
      <c r="A494" s="1" t="s">
        <v>162</v>
      </c>
      <c r="B494" s="1" t="s">
        <v>178</v>
      </c>
      <c r="C494" s="1" t="s">
        <v>205</v>
      </c>
      <c r="D494" s="1" t="s">
        <v>275</v>
      </c>
    </row>
    <row r="495" spans="1:4" x14ac:dyDescent="0.25">
      <c r="A495" s="1" t="s">
        <v>162</v>
      </c>
      <c r="B495" s="1" t="s">
        <v>179</v>
      </c>
      <c r="C495" s="1" t="s">
        <v>206</v>
      </c>
      <c r="D495" s="1" t="s">
        <v>340</v>
      </c>
    </row>
    <row r="496" spans="1:4" x14ac:dyDescent="0.25">
      <c r="A496" s="1" t="s">
        <v>162</v>
      </c>
      <c r="B496" s="1" t="s">
        <v>40</v>
      </c>
      <c r="C496" s="1" t="s">
        <v>207</v>
      </c>
      <c r="D496" s="1" t="s">
        <v>341</v>
      </c>
    </row>
    <row r="497" spans="1:4" x14ac:dyDescent="0.25">
      <c r="A497" s="1" t="s">
        <v>162</v>
      </c>
      <c r="B497" s="1" t="s">
        <v>180</v>
      </c>
      <c r="C497" s="1" t="s">
        <v>208</v>
      </c>
      <c r="D497" s="1" t="s">
        <v>134</v>
      </c>
    </row>
    <row r="498" spans="1:4" x14ac:dyDescent="0.25">
      <c r="A498" s="1" t="s">
        <v>162</v>
      </c>
      <c r="B498" s="1" t="s">
        <v>43</v>
      </c>
      <c r="C498" s="1" t="s">
        <v>209</v>
      </c>
      <c r="D498" s="1" t="s">
        <v>342</v>
      </c>
    </row>
    <row r="499" spans="1:4" x14ac:dyDescent="0.25">
      <c r="A499" s="1" t="s">
        <v>162</v>
      </c>
      <c r="B499" s="1" t="s">
        <v>181</v>
      </c>
      <c r="C499" s="1" t="s">
        <v>210</v>
      </c>
      <c r="D499" s="1" t="s">
        <v>232</v>
      </c>
    </row>
    <row r="500" spans="1:4" x14ac:dyDescent="0.25">
      <c r="A500" s="1" t="s">
        <v>162</v>
      </c>
      <c r="B500" s="1" t="s">
        <v>182</v>
      </c>
      <c r="C500" s="1" t="s">
        <v>211</v>
      </c>
      <c r="D500" s="1" t="s">
        <v>134</v>
      </c>
    </row>
    <row r="501" spans="1:4" x14ac:dyDescent="0.25">
      <c r="A501" s="1" t="s">
        <v>162</v>
      </c>
      <c r="B501" s="1" t="s">
        <v>183</v>
      </c>
      <c r="C501" s="1" t="s">
        <v>212</v>
      </c>
      <c r="D501" s="1" t="s">
        <v>232</v>
      </c>
    </row>
    <row r="502" spans="1:4" x14ac:dyDescent="0.25">
      <c r="A502" s="1" t="s">
        <v>162</v>
      </c>
      <c r="B502" s="1" t="s">
        <v>184</v>
      </c>
      <c r="C502" s="1" t="s">
        <v>213</v>
      </c>
      <c r="D502" s="1" t="s">
        <v>343</v>
      </c>
    </row>
    <row r="503" spans="1:4" x14ac:dyDescent="0.25">
      <c r="A503" s="1" t="s">
        <v>162</v>
      </c>
      <c r="B503" s="1" t="s">
        <v>185</v>
      </c>
      <c r="C503" s="1" t="s">
        <v>214</v>
      </c>
      <c r="D503" s="1" t="s">
        <v>78</v>
      </c>
    </row>
    <row r="504" spans="1:4" x14ac:dyDescent="0.25">
      <c r="A504" s="1" t="s">
        <v>162</v>
      </c>
      <c r="B504" s="1" t="s">
        <v>186</v>
      </c>
      <c r="C504" s="1" t="s">
        <v>215</v>
      </c>
      <c r="D504" s="1" t="s">
        <v>227</v>
      </c>
    </row>
    <row r="505" spans="1:4" x14ac:dyDescent="0.25">
      <c r="A505" s="1" t="s">
        <v>162</v>
      </c>
      <c r="B505" s="1" t="s">
        <v>187</v>
      </c>
      <c r="C505" s="1" t="s">
        <v>216</v>
      </c>
      <c r="D505" s="1" t="s">
        <v>334</v>
      </c>
    </row>
    <row r="506" spans="1:4" x14ac:dyDescent="0.25">
      <c r="A506" s="1" t="s">
        <v>162</v>
      </c>
      <c r="B506" s="1" t="s">
        <v>188</v>
      </c>
      <c r="C506" s="1" t="s">
        <v>217</v>
      </c>
      <c r="D506" s="1" t="s">
        <v>275</v>
      </c>
    </row>
    <row r="507" spans="1:4" x14ac:dyDescent="0.25">
      <c r="A507" s="1" t="s">
        <v>162</v>
      </c>
      <c r="B507" s="1" t="s">
        <v>189</v>
      </c>
      <c r="C507" s="1" t="s">
        <v>218</v>
      </c>
      <c r="D507" s="1" t="s">
        <v>78</v>
      </c>
    </row>
    <row r="508" spans="1:4" x14ac:dyDescent="0.25">
      <c r="A508" s="1" t="s">
        <v>162</v>
      </c>
      <c r="B508" s="1" t="s">
        <v>190</v>
      </c>
      <c r="C508" s="1" t="s">
        <v>219</v>
      </c>
      <c r="D508" s="1" t="s">
        <v>331</v>
      </c>
    </row>
    <row r="509" spans="1:4" x14ac:dyDescent="0.25">
      <c r="A509" s="1" t="s">
        <v>162</v>
      </c>
      <c r="B509" s="1" t="s">
        <v>191</v>
      </c>
      <c r="C509" s="1" t="s">
        <v>220</v>
      </c>
      <c r="D509" s="1" t="s">
        <v>344</v>
      </c>
    </row>
    <row r="510" spans="1:4" x14ac:dyDescent="0.25">
      <c r="A510" s="1" t="s">
        <v>162</v>
      </c>
      <c r="B510" s="1" t="s">
        <v>192</v>
      </c>
      <c r="C510" s="1" t="s">
        <v>221</v>
      </c>
      <c r="D510" s="1" t="s">
        <v>345</v>
      </c>
    </row>
    <row r="511" spans="1:4" x14ac:dyDescent="0.25">
      <c r="A511" s="1" t="s">
        <v>162</v>
      </c>
      <c r="B511" s="1" t="s">
        <v>193</v>
      </c>
      <c r="C511" s="1" t="s">
        <v>222</v>
      </c>
      <c r="D511" s="1" t="s">
        <v>346</v>
      </c>
    </row>
    <row r="512" spans="1:4" x14ac:dyDescent="0.25">
      <c r="A512" s="1" t="s">
        <v>162</v>
      </c>
      <c r="B512" s="1"/>
      <c r="C512" s="1"/>
      <c r="D512" s="1"/>
    </row>
    <row r="513" spans="1:4" x14ac:dyDescent="0.25">
      <c r="A513" s="1" t="s">
        <v>163</v>
      </c>
      <c r="B513" s="1" t="s">
        <v>173</v>
      </c>
      <c r="C513" s="1" t="s">
        <v>194</v>
      </c>
      <c r="D513" s="1" t="s">
        <v>275</v>
      </c>
    </row>
    <row r="514" spans="1:4" x14ac:dyDescent="0.25">
      <c r="A514" s="1" t="s">
        <v>163</v>
      </c>
      <c r="B514" s="1" t="s">
        <v>174</v>
      </c>
      <c r="C514" s="1" t="s">
        <v>195</v>
      </c>
      <c r="D514" s="1" t="s">
        <v>95</v>
      </c>
    </row>
    <row r="515" spans="1:4" x14ac:dyDescent="0.25">
      <c r="A515" s="1" t="s">
        <v>163</v>
      </c>
      <c r="B515" s="1" t="s">
        <v>175</v>
      </c>
      <c r="C515" s="1" t="s">
        <v>196</v>
      </c>
      <c r="D515" s="1" t="s">
        <v>230</v>
      </c>
    </row>
    <row r="516" spans="1:4" x14ac:dyDescent="0.25">
      <c r="A516" s="1" t="s">
        <v>163</v>
      </c>
      <c r="B516" s="1" t="s">
        <v>176</v>
      </c>
      <c r="C516" s="1" t="s">
        <v>197</v>
      </c>
      <c r="D516" s="1" t="s">
        <v>78</v>
      </c>
    </row>
    <row r="517" spans="1:4" x14ac:dyDescent="0.25">
      <c r="A517" s="1" t="s">
        <v>163</v>
      </c>
      <c r="B517" s="1" t="s">
        <v>177</v>
      </c>
      <c r="C517" s="1" t="s">
        <v>198</v>
      </c>
      <c r="D517" s="1" t="s">
        <v>95</v>
      </c>
    </row>
    <row r="518" spans="1:4" x14ac:dyDescent="0.25">
      <c r="A518" s="1" t="s">
        <v>163</v>
      </c>
      <c r="B518" s="1" t="s">
        <v>33</v>
      </c>
      <c r="C518" s="1" t="s">
        <v>199</v>
      </c>
      <c r="D518" s="1" t="s">
        <v>347</v>
      </c>
    </row>
    <row r="519" spans="1:4" x14ac:dyDescent="0.25">
      <c r="A519" s="1" t="s">
        <v>163</v>
      </c>
      <c r="B519" s="1" t="s">
        <v>34</v>
      </c>
      <c r="C519" s="1" t="s">
        <v>200</v>
      </c>
      <c r="D519" s="1" t="s">
        <v>348</v>
      </c>
    </row>
    <row r="520" spans="1:4" x14ac:dyDescent="0.25">
      <c r="A520" s="1" t="s">
        <v>163</v>
      </c>
      <c r="B520" s="1" t="s">
        <v>35</v>
      </c>
      <c r="C520" s="1" t="s">
        <v>201</v>
      </c>
      <c r="D520" s="1" t="s">
        <v>349</v>
      </c>
    </row>
    <row r="521" spans="1:4" x14ac:dyDescent="0.25">
      <c r="A521" s="1" t="s">
        <v>163</v>
      </c>
      <c r="B521" s="1" t="s">
        <v>36</v>
      </c>
      <c r="C521" s="1" t="s">
        <v>202</v>
      </c>
      <c r="D521" s="1" t="s">
        <v>267</v>
      </c>
    </row>
    <row r="522" spans="1:4" x14ac:dyDescent="0.25">
      <c r="A522" s="1" t="s">
        <v>163</v>
      </c>
      <c r="B522" s="1" t="s">
        <v>37</v>
      </c>
      <c r="C522" s="1" t="s">
        <v>203</v>
      </c>
      <c r="D522" s="1" t="s">
        <v>306</v>
      </c>
    </row>
    <row r="523" spans="1:4" x14ac:dyDescent="0.25">
      <c r="A523" s="1" t="s">
        <v>163</v>
      </c>
      <c r="B523" s="1" t="s">
        <v>38</v>
      </c>
      <c r="C523" s="1" t="s">
        <v>204</v>
      </c>
      <c r="D523" s="1" t="s">
        <v>350</v>
      </c>
    </row>
    <row r="524" spans="1:4" x14ac:dyDescent="0.25">
      <c r="A524" s="1" t="s">
        <v>163</v>
      </c>
      <c r="B524" s="1" t="s">
        <v>178</v>
      </c>
      <c r="C524" s="1" t="s">
        <v>205</v>
      </c>
      <c r="D524" s="1" t="s">
        <v>78</v>
      </c>
    </row>
    <row r="525" spans="1:4" x14ac:dyDescent="0.25">
      <c r="A525" s="1" t="s">
        <v>163</v>
      </c>
      <c r="B525" s="1" t="s">
        <v>179</v>
      </c>
      <c r="C525" s="1" t="s">
        <v>206</v>
      </c>
      <c r="D525" s="1" t="s">
        <v>228</v>
      </c>
    </row>
    <row r="526" spans="1:4" x14ac:dyDescent="0.25">
      <c r="A526" s="1" t="s">
        <v>163</v>
      </c>
      <c r="B526" s="1" t="s">
        <v>40</v>
      </c>
      <c r="C526" s="1" t="s">
        <v>207</v>
      </c>
      <c r="D526" s="1" t="s">
        <v>351</v>
      </c>
    </row>
    <row r="527" spans="1:4" x14ac:dyDescent="0.25">
      <c r="A527" s="1" t="s">
        <v>163</v>
      </c>
      <c r="B527" s="1" t="s">
        <v>180</v>
      </c>
      <c r="C527" s="1" t="s">
        <v>208</v>
      </c>
      <c r="D527" s="1" t="s">
        <v>230</v>
      </c>
    </row>
    <row r="528" spans="1:4" x14ac:dyDescent="0.25">
      <c r="A528" s="1" t="s">
        <v>163</v>
      </c>
      <c r="B528" s="1" t="s">
        <v>43</v>
      </c>
      <c r="C528" s="1" t="s">
        <v>209</v>
      </c>
      <c r="D528" s="1" t="s">
        <v>230</v>
      </c>
    </row>
    <row r="529" spans="1:4" x14ac:dyDescent="0.25">
      <c r="A529" s="1" t="s">
        <v>163</v>
      </c>
      <c r="B529" s="1" t="s">
        <v>181</v>
      </c>
      <c r="C529" s="1" t="s">
        <v>210</v>
      </c>
      <c r="D529" s="1" t="s">
        <v>78</v>
      </c>
    </row>
    <row r="530" spans="1:4" x14ac:dyDescent="0.25">
      <c r="A530" s="1" t="s">
        <v>163</v>
      </c>
      <c r="B530" s="1" t="s">
        <v>182</v>
      </c>
      <c r="C530" s="1" t="s">
        <v>211</v>
      </c>
      <c r="D530" s="1" t="s">
        <v>95</v>
      </c>
    </row>
    <row r="531" spans="1:4" x14ac:dyDescent="0.25">
      <c r="A531" s="1" t="s">
        <v>163</v>
      </c>
      <c r="B531" s="1" t="s">
        <v>183</v>
      </c>
      <c r="C531" s="1" t="s">
        <v>212</v>
      </c>
      <c r="D531" s="1" t="s">
        <v>78</v>
      </c>
    </row>
    <row r="532" spans="1:4" x14ac:dyDescent="0.25">
      <c r="A532" s="1" t="s">
        <v>163</v>
      </c>
      <c r="B532" s="1" t="s">
        <v>184</v>
      </c>
      <c r="C532" s="1" t="s">
        <v>213</v>
      </c>
      <c r="D532" s="1" t="s">
        <v>228</v>
      </c>
    </row>
    <row r="533" spans="1:4" x14ac:dyDescent="0.25">
      <c r="A533" s="1" t="s">
        <v>163</v>
      </c>
      <c r="B533" s="1" t="s">
        <v>185</v>
      </c>
      <c r="C533" s="1" t="s">
        <v>214</v>
      </c>
      <c r="D533" s="1" t="s">
        <v>78</v>
      </c>
    </row>
    <row r="534" spans="1:4" x14ac:dyDescent="0.25">
      <c r="A534" s="1" t="s">
        <v>163</v>
      </c>
      <c r="B534" s="1" t="s">
        <v>186</v>
      </c>
      <c r="C534" s="1" t="s">
        <v>215</v>
      </c>
      <c r="D534" s="1" t="s">
        <v>95</v>
      </c>
    </row>
    <row r="535" spans="1:4" x14ac:dyDescent="0.25">
      <c r="A535" s="1" t="s">
        <v>163</v>
      </c>
      <c r="B535" s="1" t="s">
        <v>187</v>
      </c>
      <c r="C535" s="1" t="s">
        <v>216</v>
      </c>
      <c r="D535" s="1" t="s">
        <v>228</v>
      </c>
    </row>
    <row r="536" spans="1:4" x14ac:dyDescent="0.25">
      <c r="A536" s="1" t="s">
        <v>163</v>
      </c>
      <c r="B536" s="1" t="s">
        <v>188</v>
      </c>
      <c r="C536" s="1" t="s">
        <v>217</v>
      </c>
      <c r="D536" s="1" t="s">
        <v>78</v>
      </c>
    </row>
    <row r="537" spans="1:4" x14ac:dyDescent="0.25">
      <c r="A537" s="1" t="s">
        <v>163</v>
      </c>
      <c r="B537" s="1" t="s">
        <v>189</v>
      </c>
      <c r="C537" s="1" t="s">
        <v>218</v>
      </c>
      <c r="D537" s="1" t="s">
        <v>78</v>
      </c>
    </row>
    <row r="538" spans="1:4" x14ac:dyDescent="0.25">
      <c r="A538" s="1" t="s">
        <v>163</v>
      </c>
      <c r="B538" s="1" t="s">
        <v>190</v>
      </c>
      <c r="C538" s="1" t="s">
        <v>219</v>
      </c>
      <c r="D538" s="1" t="s">
        <v>134</v>
      </c>
    </row>
    <row r="539" spans="1:4" x14ac:dyDescent="0.25">
      <c r="A539" s="1" t="s">
        <v>163</v>
      </c>
      <c r="B539" s="1" t="s">
        <v>191</v>
      </c>
      <c r="C539" s="1" t="s">
        <v>220</v>
      </c>
      <c r="D539" s="1" t="s">
        <v>92</v>
      </c>
    </row>
    <row r="540" spans="1:4" x14ac:dyDescent="0.25">
      <c r="A540" s="1" t="s">
        <v>163</v>
      </c>
      <c r="B540" s="1" t="s">
        <v>192</v>
      </c>
      <c r="C540" s="1" t="s">
        <v>221</v>
      </c>
      <c r="D540" s="1" t="s">
        <v>141</v>
      </c>
    </row>
    <row r="541" spans="1:4" x14ac:dyDescent="0.25">
      <c r="A541" s="1" t="s">
        <v>163</v>
      </c>
      <c r="B541" s="1" t="s">
        <v>193</v>
      </c>
      <c r="C541" s="1" t="s">
        <v>222</v>
      </c>
      <c r="D541" s="1" t="s">
        <v>223</v>
      </c>
    </row>
    <row r="542" spans="1:4" x14ac:dyDescent="0.25">
      <c r="A542" s="1" t="s">
        <v>163</v>
      </c>
      <c r="B542" s="1"/>
      <c r="C542" s="1"/>
      <c r="D542" s="1"/>
    </row>
    <row r="543" spans="1:4" x14ac:dyDescent="0.25">
      <c r="A543" s="1" t="s">
        <v>164</v>
      </c>
      <c r="B543" s="1" t="s">
        <v>173</v>
      </c>
      <c r="C543" s="1" t="s">
        <v>194</v>
      </c>
      <c r="D543" s="1" t="s">
        <v>95</v>
      </c>
    </row>
    <row r="544" spans="1:4" x14ac:dyDescent="0.25">
      <c r="A544" s="1" t="s">
        <v>164</v>
      </c>
      <c r="B544" s="1" t="s">
        <v>174</v>
      </c>
      <c r="C544" s="1" t="s">
        <v>195</v>
      </c>
      <c r="D544" s="1" t="s">
        <v>331</v>
      </c>
    </row>
    <row r="545" spans="1:4" x14ac:dyDescent="0.25">
      <c r="A545" s="1" t="s">
        <v>164</v>
      </c>
      <c r="B545" s="1" t="s">
        <v>175</v>
      </c>
      <c r="C545" s="1" t="s">
        <v>196</v>
      </c>
      <c r="D545" s="1" t="s">
        <v>352</v>
      </c>
    </row>
    <row r="546" spans="1:4" x14ac:dyDescent="0.25">
      <c r="A546" s="1" t="s">
        <v>164</v>
      </c>
      <c r="B546" s="1" t="s">
        <v>176</v>
      </c>
      <c r="C546" s="1" t="s">
        <v>197</v>
      </c>
      <c r="D546" s="1" t="s">
        <v>97</v>
      </c>
    </row>
    <row r="547" spans="1:4" x14ac:dyDescent="0.25">
      <c r="A547" s="1" t="s">
        <v>164</v>
      </c>
      <c r="B547" s="1" t="s">
        <v>177</v>
      </c>
      <c r="C547" s="1" t="s">
        <v>198</v>
      </c>
      <c r="D547" s="1" t="s">
        <v>95</v>
      </c>
    </row>
    <row r="548" spans="1:4" x14ac:dyDescent="0.25">
      <c r="A548" s="1" t="s">
        <v>164</v>
      </c>
      <c r="B548" s="1" t="s">
        <v>33</v>
      </c>
      <c r="C548" s="1" t="s">
        <v>199</v>
      </c>
      <c r="D548" s="1" t="s">
        <v>353</v>
      </c>
    </row>
    <row r="549" spans="1:4" x14ac:dyDescent="0.25">
      <c r="A549" s="1" t="s">
        <v>164</v>
      </c>
      <c r="B549" s="1" t="s">
        <v>34</v>
      </c>
      <c r="C549" s="1" t="s">
        <v>200</v>
      </c>
      <c r="D549" s="1" t="s">
        <v>354</v>
      </c>
    </row>
    <row r="550" spans="1:4" x14ac:dyDescent="0.25">
      <c r="A550" s="1" t="s">
        <v>164</v>
      </c>
      <c r="B550" s="1" t="s">
        <v>35</v>
      </c>
      <c r="C550" s="1" t="s">
        <v>201</v>
      </c>
      <c r="D550" s="1" t="s">
        <v>355</v>
      </c>
    </row>
    <row r="551" spans="1:4" x14ac:dyDescent="0.25">
      <c r="A551" s="1" t="s">
        <v>164</v>
      </c>
      <c r="B551" s="1" t="s">
        <v>36</v>
      </c>
      <c r="C551" s="1" t="s">
        <v>202</v>
      </c>
      <c r="D551" s="1" t="s">
        <v>356</v>
      </c>
    </row>
    <row r="552" spans="1:4" x14ac:dyDescent="0.25">
      <c r="A552" s="1" t="s">
        <v>164</v>
      </c>
      <c r="B552" s="1" t="s">
        <v>37</v>
      </c>
      <c r="C552" s="1" t="s">
        <v>203</v>
      </c>
      <c r="D552" s="1" t="s">
        <v>330</v>
      </c>
    </row>
    <row r="553" spans="1:4" x14ac:dyDescent="0.25">
      <c r="A553" s="1" t="s">
        <v>164</v>
      </c>
      <c r="B553" s="1" t="s">
        <v>38</v>
      </c>
      <c r="C553" s="1" t="s">
        <v>204</v>
      </c>
      <c r="D553" s="1" t="s">
        <v>357</v>
      </c>
    </row>
    <row r="554" spans="1:4" x14ac:dyDescent="0.25">
      <c r="A554" s="1" t="s">
        <v>164</v>
      </c>
      <c r="B554" s="1" t="s">
        <v>178</v>
      </c>
      <c r="C554" s="1" t="s">
        <v>205</v>
      </c>
      <c r="D554" s="1" t="s">
        <v>97</v>
      </c>
    </row>
    <row r="555" spans="1:4" x14ac:dyDescent="0.25">
      <c r="A555" s="1" t="s">
        <v>164</v>
      </c>
      <c r="B555" s="1" t="s">
        <v>179</v>
      </c>
      <c r="C555" s="1" t="s">
        <v>206</v>
      </c>
      <c r="D555" s="1" t="s">
        <v>358</v>
      </c>
    </row>
    <row r="556" spans="1:4" x14ac:dyDescent="0.25">
      <c r="A556" s="1" t="s">
        <v>164</v>
      </c>
      <c r="B556" s="1" t="s">
        <v>40</v>
      </c>
      <c r="C556" s="1" t="s">
        <v>207</v>
      </c>
      <c r="D556" s="1" t="s">
        <v>359</v>
      </c>
    </row>
    <row r="557" spans="1:4" x14ac:dyDescent="0.25">
      <c r="A557" s="1" t="s">
        <v>164</v>
      </c>
      <c r="B557" s="1" t="s">
        <v>180</v>
      </c>
      <c r="C557" s="1" t="s">
        <v>208</v>
      </c>
      <c r="D557" s="1" t="s">
        <v>360</v>
      </c>
    </row>
    <row r="558" spans="1:4" x14ac:dyDescent="0.25">
      <c r="A558" s="1" t="s">
        <v>164</v>
      </c>
      <c r="B558" s="1" t="s">
        <v>43</v>
      </c>
      <c r="C558" s="1" t="s">
        <v>209</v>
      </c>
      <c r="D558" s="1" t="s">
        <v>361</v>
      </c>
    </row>
    <row r="559" spans="1:4" x14ac:dyDescent="0.25">
      <c r="A559" s="1" t="s">
        <v>164</v>
      </c>
      <c r="B559" s="1" t="s">
        <v>181</v>
      </c>
      <c r="C559" s="1" t="s">
        <v>210</v>
      </c>
      <c r="D559" s="1" t="s">
        <v>97</v>
      </c>
    </row>
    <row r="560" spans="1:4" x14ac:dyDescent="0.25">
      <c r="A560" s="1" t="s">
        <v>164</v>
      </c>
      <c r="B560" s="1" t="s">
        <v>182</v>
      </c>
      <c r="C560" s="1" t="s">
        <v>211</v>
      </c>
      <c r="D560" s="1" t="s">
        <v>352</v>
      </c>
    </row>
    <row r="561" spans="1:4" x14ac:dyDescent="0.25">
      <c r="A561" s="1" t="s">
        <v>164</v>
      </c>
      <c r="B561" s="1" t="s">
        <v>183</v>
      </c>
      <c r="C561" s="1" t="s">
        <v>212</v>
      </c>
      <c r="D561" s="1" t="s">
        <v>233</v>
      </c>
    </row>
    <row r="562" spans="1:4" x14ac:dyDescent="0.25">
      <c r="A562" s="1" t="s">
        <v>164</v>
      </c>
      <c r="B562" s="1" t="s">
        <v>184</v>
      </c>
      <c r="C562" s="1" t="s">
        <v>213</v>
      </c>
      <c r="D562" s="1" t="s">
        <v>362</v>
      </c>
    </row>
    <row r="563" spans="1:4" x14ac:dyDescent="0.25">
      <c r="A563" s="1" t="s">
        <v>164</v>
      </c>
      <c r="B563" s="1" t="s">
        <v>185</v>
      </c>
      <c r="C563" s="1" t="s">
        <v>214</v>
      </c>
      <c r="D563" s="1" t="s">
        <v>97</v>
      </c>
    </row>
    <row r="564" spans="1:4" x14ac:dyDescent="0.25">
      <c r="A564" s="1" t="s">
        <v>164</v>
      </c>
      <c r="B564" s="1" t="s">
        <v>186</v>
      </c>
      <c r="C564" s="1" t="s">
        <v>215</v>
      </c>
      <c r="D564" s="1" t="s">
        <v>122</v>
      </c>
    </row>
    <row r="565" spans="1:4" x14ac:dyDescent="0.25">
      <c r="A565" s="1" t="s">
        <v>164</v>
      </c>
      <c r="B565" s="1" t="s">
        <v>187</v>
      </c>
      <c r="C565" s="1" t="s">
        <v>216</v>
      </c>
      <c r="D565" s="1" t="s">
        <v>316</v>
      </c>
    </row>
    <row r="566" spans="1:4" x14ac:dyDescent="0.25">
      <c r="A566" s="1" t="s">
        <v>164</v>
      </c>
      <c r="B566" s="1" t="s">
        <v>188</v>
      </c>
      <c r="C566" s="1" t="s">
        <v>217</v>
      </c>
      <c r="D566" s="1" t="s">
        <v>95</v>
      </c>
    </row>
    <row r="567" spans="1:4" x14ac:dyDescent="0.25">
      <c r="A567" s="1" t="s">
        <v>164</v>
      </c>
      <c r="B567" s="1" t="s">
        <v>189</v>
      </c>
      <c r="C567" s="1" t="s">
        <v>218</v>
      </c>
      <c r="D567" s="1" t="s">
        <v>78</v>
      </c>
    </row>
    <row r="568" spans="1:4" x14ac:dyDescent="0.25">
      <c r="A568" s="1" t="s">
        <v>164</v>
      </c>
      <c r="B568" s="1" t="s">
        <v>190</v>
      </c>
      <c r="C568" s="1" t="s">
        <v>219</v>
      </c>
      <c r="D568" s="1" t="s">
        <v>334</v>
      </c>
    </row>
    <row r="569" spans="1:4" x14ac:dyDescent="0.25">
      <c r="A569" s="1" t="s">
        <v>164</v>
      </c>
      <c r="B569" s="1" t="s">
        <v>191</v>
      </c>
      <c r="C569" s="1" t="s">
        <v>220</v>
      </c>
      <c r="D569" s="1" t="s">
        <v>92</v>
      </c>
    </row>
    <row r="570" spans="1:4" x14ac:dyDescent="0.25">
      <c r="A570" s="1" t="s">
        <v>164</v>
      </c>
      <c r="B570" s="1" t="s">
        <v>192</v>
      </c>
      <c r="C570" s="1" t="s">
        <v>221</v>
      </c>
      <c r="D570" s="1" t="s">
        <v>363</v>
      </c>
    </row>
    <row r="571" spans="1:4" x14ac:dyDescent="0.25">
      <c r="A571" s="1" t="s">
        <v>164</v>
      </c>
      <c r="B571" s="1" t="s">
        <v>193</v>
      </c>
      <c r="C571" s="1" t="s">
        <v>222</v>
      </c>
      <c r="D571" s="1" t="s">
        <v>290</v>
      </c>
    </row>
    <row r="572" spans="1:4" x14ac:dyDescent="0.25">
      <c r="A572" s="1" t="s">
        <v>164</v>
      </c>
      <c r="B572" s="1"/>
      <c r="C572" s="1"/>
      <c r="D572" s="1"/>
    </row>
    <row r="573" spans="1:4" x14ac:dyDescent="0.25">
      <c r="A573" s="1" t="s">
        <v>165</v>
      </c>
      <c r="B573" s="1" t="s">
        <v>173</v>
      </c>
      <c r="C573" s="1" t="s">
        <v>194</v>
      </c>
      <c r="D573" s="1" t="s">
        <v>223</v>
      </c>
    </row>
    <row r="574" spans="1:4" x14ac:dyDescent="0.25">
      <c r="A574" s="1" t="s">
        <v>165</v>
      </c>
      <c r="B574" s="1" t="s">
        <v>174</v>
      </c>
      <c r="C574" s="1" t="s">
        <v>195</v>
      </c>
      <c r="D574" s="1" t="s">
        <v>289</v>
      </c>
    </row>
    <row r="575" spans="1:4" x14ac:dyDescent="0.25">
      <c r="A575" s="1" t="s">
        <v>165</v>
      </c>
      <c r="B575" s="1" t="s">
        <v>175</v>
      </c>
      <c r="C575" s="1" t="s">
        <v>196</v>
      </c>
      <c r="D575" s="1" t="s">
        <v>244</v>
      </c>
    </row>
    <row r="576" spans="1:4" x14ac:dyDescent="0.25">
      <c r="A576" s="1" t="s">
        <v>165</v>
      </c>
      <c r="B576" s="1" t="s">
        <v>176</v>
      </c>
      <c r="C576" s="1" t="s">
        <v>197</v>
      </c>
      <c r="D576" s="1" t="s">
        <v>223</v>
      </c>
    </row>
    <row r="577" spans="1:4" x14ac:dyDescent="0.25">
      <c r="A577" s="1" t="s">
        <v>165</v>
      </c>
      <c r="B577" s="1" t="s">
        <v>177</v>
      </c>
      <c r="C577" s="1" t="s">
        <v>198</v>
      </c>
      <c r="D577" s="1" t="s">
        <v>95</v>
      </c>
    </row>
    <row r="578" spans="1:4" x14ac:dyDescent="0.25">
      <c r="A578" s="1" t="s">
        <v>165</v>
      </c>
      <c r="B578" s="1" t="s">
        <v>33</v>
      </c>
      <c r="C578" s="1" t="s">
        <v>199</v>
      </c>
      <c r="D578" s="1" t="s">
        <v>364</v>
      </c>
    </row>
    <row r="579" spans="1:4" x14ac:dyDescent="0.25">
      <c r="A579" s="1" t="s">
        <v>165</v>
      </c>
      <c r="B579" s="1" t="s">
        <v>34</v>
      </c>
      <c r="C579" s="1" t="s">
        <v>200</v>
      </c>
      <c r="D579" s="1" t="s">
        <v>365</v>
      </c>
    </row>
    <row r="580" spans="1:4" x14ac:dyDescent="0.25">
      <c r="A580" s="1" t="s">
        <v>165</v>
      </c>
      <c r="B580" s="1" t="s">
        <v>35</v>
      </c>
      <c r="C580" s="1" t="s">
        <v>201</v>
      </c>
      <c r="D580" s="1" t="s">
        <v>366</v>
      </c>
    </row>
    <row r="581" spans="1:4" x14ac:dyDescent="0.25">
      <c r="A581" s="1" t="s">
        <v>165</v>
      </c>
      <c r="B581" s="1" t="s">
        <v>36</v>
      </c>
      <c r="C581" s="1" t="s">
        <v>202</v>
      </c>
      <c r="D581" s="1" t="s">
        <v>367</v>
      </c>
    </row>
    <row r="582" spans="1:4" x14ac:dyDescent="0.25">
      <c r="A582" s="1" t="s">
        <v>165</v>
      </c>
      <c r="B582" s="1" t="s">
        <v>37</v>
      </c>
      <c r="C582" s="1" t="s">
        <v>203</v>
      </c>
      <c r="D582" s="1" t="s">
        <v>368</v>
      </c>
    </row>
    <row r="583" spans="1:4" x14ac:dyDescent="0.25">
      <c r="A583" s="1" t="s">
        <v>165</v>
      </c>
      <c r="B583" s="1" t="s">
        <v>38</v>
      </c>
      <c r="C583" s="1" t="s">
        <v>204</v>
      </c>
      <c r="D583" s="1" t="s">
        <v>369</v>
      </c>
    </row>
    <row r="584" spans="1:4" x14ac:dyDescent="0.25">
      <c r="A584" s="1" t="s">
        <v>165</v>
      </c>
      <c r="B584" s="1" t="s">
        <v>178</v>
      </c>
      <c r="C584" s="1" t="s">
        <v>205</v>
      </c>
      <c r="D584" s="1" t="s">
        <v>78</v>
      </c>
    </row>
    <row r="585" spans="1:4" x14ac:dyDescent="0.25">
      <c r="A585" s="1" t="s">
        <v>165</v>
      </c>
      <c r="B585" s="1" t="s">
        <v>179</v>
      </c>
      <c r="C585" s="1" t="s">
        <v>206</v>
      </c>
      <c r="D585" s="1" t="s">
        <v>370</v>
      </c>
    </row>
    <row r="586" spans="1:4" x14ac:dyDescent="0.25">
      <c r="A586" s="1" t="s">
        <v>165</v>
      </c>
      <c r="B586" s="1" t="s">
        <v>40</v>
      </c>
      <c r="C586" s="1" t="s">
        <v>207</v>
      </c>
      <c r="D586" s="1" t="s">
        <v>371</v>
      </c>
    </row>
    <row r="587" spans="1:4" x14ac:dyDescent="0.25">
      <c r="A587" s="1" t="s">
        <v>165</v>
      </c>
      <c r="B587" s="1" t="s">
        <v>180</v>
      </c>
      <c r="C587" s="1" t="s">
        <v>208</v>
      </c>
      <c r="D587" s="1" t="s">
        <v>372</v>
      </c>
    </row>
    <row r="588" spans="1:4" x14ac:dyDescent="0.25">
      <c r="A588" s="1" t="s">
        <v>165</v>
      </c>
      <c r="B588" s="1" t="s">
        <v>43</v>
      </c>
      <c r="C588" s="1" t="s">
        <v>209</v>
      </c>
      <c r="D588" s="1" t="s">
        <v>373</v>
      </c>
    </row>
    <row r="589" spans="1:4" x14ac:dyDescent="0.25">
      <c r="A589" s="1" t="s">
        <v>165</v>
      </c>
      <c r="B589" s="1" t="s">
        <v>181</v>
      </c>
      <c r="C589" s="1" t="s">
        <v>210</v>
      </c>
      <c r="D589" s="1" t="s">
        <v>78</v>
      </c>
    </row>
    <row r="590" spans="1:4" x14ac:dyDescent="0.25">
      <c r="A590" s="1" t="s">
        <v>165</v>
      </c>
      <c r="B590" s="1" t="s">
        <v>182</v>
      </c>
      <c r="C590" s="1" t="s">
        <v>211</v>
      </c>
      <c r="D590" s="1" t="s">
        <v>262</v>
      </c>
    </row>
    <row r="591" spans="1:4" x14ac:dyDescent="0.25">
      <c r="A591" s="1" t="s">
        <v>165</v>
      </c>
      <c r="B591" s="1" t="s">
        <v>183</v>
      </c>
      <c r="C591" s="1" t="s">
        <v>212</v>
      </c>
      <c r="D591" s="1" t="s">
        <v>230</v>
      </c>
    </row>
    <row r="592" spans="1:4" x14ac:dyDescent="0.25">
      <c r="A592" s="1" t="s">
        <v>165</v>
      </c>
      <c r="B592" s="1" t="s">
        <v>184</v>
      </c>
      <c r="C592" s="1" t="s">
        <v>213</v>
      </c>
      <c r="D592" s="1" t="s">
        <v>133</v>
      </c>
    </row>
    <row r="593" spans="1:4" x14ac:dyDescent="0.25">
      <c r="A593" s="1" t="s">
        <v>165</v>
      </c>
      <c r="B593" s="1" t="s">
        <v>185</v>
      </c>
      <c r="C593" s="1" t="s">
        <v>214</v>
      </c>
      <c r="D593" s="1" t="s">
        <v>78</v>
      </c>
    </row>
    <row r="594" spans="1:4" x14ac:dyDescent="0.25">
      <c r="A594" s="1" t="s">
        <v>165</v>
      </c>
      <c r="B594" s="1" t="s">
        <v>186</v>
      </c>
      <c r="C594" s="1" t="s">
        <v>215</v>
      </c>
      <c r="D594" s="1" t="s">
        <v>262</v>
      </c>
    </row>
    <row r="595" spans="1:4" x14ac:dyDescent="0.25">
      <c r="A595" s="1" t="s">
        <v>165</v>
      </c>
      <c r="B595" s="1" t="s">
        <v>187</v>
      </c>
      <c r="C595" s="1" t="s">
        <v>216</v>
      </c>
      <c r="D595" s="1" t="s">
        <v>374</v>
      </c>
    </row>
    <row r="596" spans="1:4" x14ac:dyDescent="0.25">
      <c r="A596" s="1" t="s">
        <v>165</v>
      </c>
      <c r="B596" s="1" t="s">
        <v>188</v>
      </c>
      <c r="C596" s="1" t="s">
        <v>217</v>
      </c>
      <c r="D596" s="1" t="s">
        <v>78</v>
      </c>
    </row>
    <row r="597" spans="1:4" x14ac:dyDescent="0.25">
      <c r="A597" s="1" t="s">
        <v>165</v>
      </c>
      <c r="B597" s="1" t="s">
        <v>189</v>
      </c>
      <c r="C597" s="1" t="s">
        <v>218</v>
      </c>
      <c r="D597" s="1" t="s">
        <v>78</v>
      </c>
    </row>
    <row r="598" spans="1:4" x14ac:dyDescent="0.25">
      <c r="A598" s="1" t="s">
        <v>165</v>
      </c>
      <c r="B598" s="1" t="s">
        <v>190</v>
      </c>
      <c r="C598" s="1" t="s">
        <v>219</v>
      </c>
      <c r="D598" s="1" t="s">
        <v>343</v>
      </c>
    </row>
    <row r="599" spans="1:4" x14ac:dyDescent="0.25">
      <c r="A599" s="1" t="s">
        <v>165</v>
      </c>
      <c r="B599" s="1" t="s">
        <v>191</v>
      </c>
      <c r="C599" s="1" t="s">
        <v>220</v>
      </c>
      <c r="D599" s="1" t="s">
        <v>92</v>
      </c>
    </row>
    <row r="600" spans="1:4" x14ac:dyDescent="0.25">
      <c r="A600" s="1" t="s">
        <v>165</v>
      </c>
      <c r="B600" s="1" t="s">
        <v>192</v>
      </c>
      <c r="C600" s="1" t="s">
        <v>221</v>
      </c>
      <c r="D600" s="1" t="s">
        <v>141</v>
      </c>
    </row>
    <row r="601" spans="1:4" x14ac:dyDescent="0.25">
      <c r="A601" s="1" t="s">
        <v>165</v>
      </c>
      <c r="B601" s="1" t="s">
        <v>193</v>
      </c>
      <c r="C601" s="1" t="s">
        <v>222</v>
      </c>
      <c r="D601" s="1" t="s">
        <v>375</v>
      </c>
    </row>
    <row r="602" spans="1:4" x14ac:dyDescent="0.25">
      <c r="A602" s="1" t="s">
        <v>165</v>
      </c>
      <c r="B602" s="1"/>
      <c r="C602" s="1"/>
      <c r="D602" s="1"/>
    </row>
    <row r="603" spans="1:4" x14ac:dyDescent="0.25">
      <c r="A603" s="1" t="s">
        <v>166</v>
      </c>
      <c r="B603" s="1" t="s">
        <v>173</v>
      </c>
      <c r="C603" s="1" t="s">
        <v>194</v>
      </c>
      <c r="D603" s="1" t="s">
        <v>275</v>
      </c>
    </row>
    <row r="604" spans="1:4" x14ac:dyDescent="0.25">
      <c r="A604" s="1" t="s">
        <v>166</v>
      </c>
      <c r="B604" s="1" t="s">
        <v>174</v>
      </c>
      <c r="C604" s="1" t="s">
        <v>195</v>
      </c>
      <c r="D604" s="1" t="s">
        <v>258</v>
      </c>
    </row>
    <row r="605" spans="1:4" x14ac:dyDescent="0.25">
      <c r="A605" s="1" t="s">
        <v>166</v>
      </c>
      <c r="B605" s="1" t="s">
        <v>175</v>
      </c>
      <c r="C605" s="1" t="s">
        <v>196</v>
      </c>
      <c r="D605" s="1" t="s">
        <v>227</v>
      </c>
    </row>
    <row r="606" spans="1:4" x14ac:dyDescent="0.25">
      <c r="A606" s="1" t="s">
        <v>166</v>
      </c>
      <c r="B606" s="1" t="s">
        <v>176</v>
      </c>
      <c r="C606" s="1" t="s">
        <v>197</v>
      </c>
      <c r="D606" s="1" t="s">
        <v>78</v>
      </c>
    </row>
    <row r="607" spans="1:4" x14ac:dyDescent="0.25">
      <c r="A607" s="1" t="s">
        <v>166</v>
      </c>
      <c r="B607" s="1" t="s">
        <v>177</v>
      </c>
      <c r="C607" s="1" t="s">
        <v>198</v>
      </c>
      <c r="D607" s="1" t="s">
        <v>95</v>
      </c>
    </row>
    <row r="608" spans="1:4" x14ac:dyDescent="0.25">
      <c r="A608" s="1" t="s">
        <v>166</v>
      </c>
      <c r="B608" s="1" t="s">
        <v>33</v>
      </c>
      <c r="C608" s="1" t="s">
        <v>199</v>
      </c>
      <c r="D608" s="1" t="s">
        <v>376</v>
      </c>
    </row>
    <row r="609" spans="1:4" x14ac:dyDescent="0.25">
      <c r="A609" s="1" t="s">
        <v>166</v>
      </c>
      <c r="B609" s="1" t="s">
        <v>34</v>
      </c>
      <c r="C609" s="1" t="s">
        <v>200</v>
      </c>
      <c r="D609" s="1" t="s">
        <v>377</v>
      </c>
    </row>
    <row r="610" spans="1:4" x14ac:dyDescent="0.25">
      <c r="A610" s="1" t="s">
        <v>166</v>
      </c>
      <c r="B610" s="1" t="s">
        <v>35</v>
      </c>
      <c r="C610" s="1" t="s">
        <v>201</v>
      </c>
      <c r="D610" s="1" t="s">
        <v>378</v>
      </c>
    </row>
    <row r="611" spans="1:4" x14ac:dyDescent="0.25">
      <c r="A611" s="1" t="s">
        <v>166</v>
      </c>
      <c r="B611" s="1" t="s">
        <v>36</v>
      </c>
      <c r="C611" s="1" t="s">
        <v>202</v>
      </c>
      <c r="D611" s="1" t="s">
        <v>379</v>
      </c>
    </row>
    <row r="612" spans="1:4" x14ac:dyDescent="0.25">
      <c r="A612" s="1" t="s">
        <v>166</v>
      </c>
      <c r="B612" s="1" t="s">
        <v>37</v>
      </c>
      <c r="C612" s="1" t="s">
        <v>203</v>
      </c>
      <c r="D612" s="1" t="s">
        <v>380</v>
      </c>
    </row>
    <row r="613" spans="1:4" x14ac:dyDescent="0.25">
      <c r="A613" s="1" t="s">
        <v>166</v>
      </c>
      <c r="B613" s="1" t="s">
        <v>38</v>
      </c>
      <c r="C613" s="1" t="s">
        <v>204</v>
      </c>
      <c r="D613" s="1" t="s">
        <v>381</v>
      </c>
    </row>
    <row r="614" spans="1:4" x14ac:dyDescent="0.25">
      <c r="A614" s="1" t="s">
        <v>166</v>
      </c>
      <c r="B614" s="1" t="s">
        <v>178</v>
      </c>
      <c r="C614" s="1" t="s">
        <v>205</v>
      </c>
      <c r="D614" s="1" t="s">
        <v>78</v>
      </c>
    </row>
    <row r="615" spans="1:4" x14ac:dyDescent="0.25">
      <c r="A615" s="1" t="s">
        <v>166</v>
      </c>
      <c r="B615" s="1" t="s">
        <v>179</v>
      </c>
      <c r="C615" s="1" t="s">
        <v>206</v>
      </c>
      <c r="D615" s="1" t="s">
        <v>382</v>
      </c>
    </row>
    <row r="616" spans="1:4" x14ac:dyDescent="0.25">
      <c r="A616" s="1" t="s">
        <v>166</v>
      </c>
      <c r="B616" s="1" t="s">
        <v>40</v>
      </c>
      <c r="C616" s="1" t="s">
        <v>207</v>
      </c>
      <c r="D616" s="1" t="s">
        <v>383</v>
      </c>
    </row>
    <row r="617" spans="1:4" x14ac:dyDescent="0.25">
      <c r="A617" s="1" t="s">
        <v>166</v>
      </c>
      <c r="B617" s="1" t="s">
        <v>180</v>
      </c>
      <c r="C617" s="1" t="s">
        <v>208</v>
      </c>
      <c r="D617" s="1" t="s">
        <v>272</v>
      </c>
    </row>
    <row r="618" spans="1:4" x14ac:dyDescent="0.25">
      <c r="A618" s="1" t="s">
        <v>166</v>
      </c>
      <c r="B618" s="1" t="s">
        <v>43</v>
      </c>
      <c r="C618" s="1" t="s">
        <v>209</v>
      </c>
      <c r="D618" s="1" t="s">
        <v>384</v>
      </c>
    </row>
    <row r="619" spans="1:4" x14ac:dyDescent="0.25">
      <c r="A619" s="1" t="s">
        <v>166</v>
      </c>
      <c r="B619" s="1" t="s">
        <v>181</v>
      </c>
      <c r="C619" s="1" t="s">
        <v>210</v>
      </c>
      <c r="D619" s="1" t="s">
        <v>78</v>
      </c>
    </row>
    <row r="620" spans="1:4" x14ac:dyDescent="0.25">
      <c r="A620" s="1" t="s">
        <v>166</v>
      </c>
      <c r="B620" s="1" t="s">
        <v>182</v>
      </c>
      <c r="C620" s="1" t="s">
        <v>211</v>
      </c>
      <c r="D620" s="1" t="s">
        <v>275</v>
      </c>
    </row>
    <row r="621" spans="1:4" x14ac:dyDescent="0.25">
      <c r="A621" s="1" t="s">
        <v>166</v>
      </c>
      <c r="B621" s="1" t="s">
        <v>183</v>
      </c>
      <c r="C621" s="1" t="s">
        <v>212</v>
      </c>
      <c r="D621" s="1" t="s">
        <v>78</v>
      </c>
    </row>
    <row r="622" spans="1:4" x14ac:dyDescent="0.25">
      <c r="A622" s="1" t="s">
        <v>166</v>
      </c>
      <c r="B622" s="1" t="s">
        <v>184</v>
      </c>
      <c r="C622" s="1" t="s">
        <v>213</v>
      </c>
      <c r="D622" s="1" t="s">
        <v>287</v>
      </c>
    </row>
    <row r="623" spans="1:4" x14ac:dyDescent="0.25">
      <c r="A623" s="1" t="s">
        <v>166</v>
      </c>
      <c r="B623" s="1" t="s">
        <v>185</v>
      </c>
      <c r="C623" s="1" t="s">
        <v>214</v>
      </c>
      <c r="D623" s="1" t="s">
        <v>78</v>
      </c>
    </row>
    <row r="624" spans="1:4" x14ac:dyDescent="0.25">
      <c r="A624" s="1" t="s">
        <v>166</v>
      </c>
      <c r="B624" s="1" t="s">
        <v>186</v>
      </c>
      <c r="C624" s="1" t="s">
        <v>215</v>
      </c>
      <c r="D624" s="1" t="s">
        <v>275</v>
      </c>
    </row>
    <row r="625" spans="1:4" x14ac:dyDescent="0.25">
      <c r="A625" s="1" t="s">
        <v>166</v>
      </c>
      <c r="B625" s="1" t="s">
        <v>187</v>
      </c>
      <c r="C625" s="1" t="s">
        <v>216</v>
      </c>
      <c r="D625" s="1" t="s">
        <v>287</v>
      </c>
    </row>
    <row r="626" spans="1:4" x14ac:dyDescent="0.25">
      <c r="A626" s="1" t="s">
        <v>166</v>
      </c>
      <c r="B626" s="1" t="s">
        <v>188</v>
      </c>
      <c r="C626" s="1" t="s">
        <v>217</v>
      </c>
      <c r="D626" s="1" t="s">
        <v>78</v>
      </c>
    </row>
    <row r="627" spans="1:4" x14ac:dyDescent="0.25">
      <c r="A627" s="1" t="s">
        <v>166</v>
      </c>
      <c r="B627" s="1" t="s">
        <v>189</v>
      </c>
      <c r="C627" s="1" t="s">
        <v>218</v>
      </c>
      <c r="D627" s="1" t="s">
        <v>78</v>
      </c>
    </row>
    <row r="628" spans="1:4" x14ac:dyDescent="0.25">
      <c r="A628" s="1" t="s">
        <v>166</v>
      </c>
      <c r="B628" s="1" t="s">
        <v>190</v>
      </c>
      <c r="C628" s="1" t="s">
        <v>219</v>
      </c>
      <c r="D628" s="1" t="s">
        <v>242</v>
      </c>
    </row>
    <row r="629" spans="1:4" x14ac:dyDescent="0.25">
      <c r="A629" s="1" t="s">
        <v>166</v>
      </c>
      <c r="B629" s="1" t="s">
        <v>191</v>
      </c>
      <c r="C629" s="1" t="s">
        <v>220</v>
      </c>
      <c r="D629" s="1" t="s">
        <v>92</v>
      </c>
    </row>
    <row r="630" spans="1:4" x14ac:dyDescent="0.25">
      <c r="A630" s="1" t="s">
        <v>166</v>
      </c>
      <c r="B630" s="1" t="s">
        <v>192</v>
      </c>
      <c r="C630" s="1" t="s">
        <v>221</v>
      </c>
      <c r="D630" s="1" t="s">
        <v>141</v>
      </c>
    </row>
    <row r="631" spans="1:4" x14ac:dyDescent="0.25">
      <c r="A631" s="1" t="s">
        <v>166</v>
      </c>
      <c r="B631" s="1" t="s">
        <v>193</v>
      </c>
      <c r="C631" s="1" t="s">
        <v>222</v>
      </c>
      <c r="D631" s="1" t="s">
        <v>375</v>
      </c>
    </row>
    <row r="632" spans="1:4" x14ac:dyDescent="0.25">
      <c r="A632" s="1" t="s">
        <v>166</v>
      </c>
      <c r="B632" s="1"/>
      <c r="C632" s="1"/>
      <c r="D632" s="1"/>
    </row>
    <row r="633" spans="1:4" x14ac:dyDescent="0.25">
      <c r="A633" s="1" t="s">
        <v>167</v>
      </c>
      <c r="B633" s="1" t="s">
        <v>173</v>
      </c>
      <c r="C633" s="1" t="s">
        <v>194</v>
      </c>
      <c r="D633" s="1" t="s">
        <v>78</v>
      </c>
    </row>
    <row r="634" spans="1:4" x14ac:dyDescent="0.25">
      <c r="A634" s="1" t="s">
        <v>167</v>
      </c>
      <c r="B634" s="1" t="s">
        <v>174</v>
      </c>
      <c r="C634" s="1" t="s">
        <v>195</v>
      </c>
      <c r="D634" s="1" t="s">
        <v>78</v>
      </c>
    </row>
    <row r="635" spans="1:4" x14ac:dyDescent="0.25">
      <c r="A635" s="1" t="s">
        <v>167</v>
      </c>
      <c r="B635" s="1" t="s">
        <v>175</v>
      </c>
      <c r="C635" s="1" t="s">
        <v>196</v>
      </c>
      <c r="D635" s="1" t="s">
        <v>232</v>
      </c>
    </row>
    <row r="636" spans="1:4" x14ac:dyDescent="0.25">
      <c r="A636" s="1" t="s">
        <v>167</v>
      </c>
      <c r="B636" s="1" t="s">
        <v>176</v>
      </c>
      <c r="C636" s="1" t="s">
        <v>197</v>
      </c>
      <c r="D636" s="1" t="s">
        <v>78</v>
      </c>
    </row>
    <row r="637" spans="1:4" x14ac:dyDescent="0.25">
      <c r="A637" s="1" t="s">
        <v>167</v>
      </c>
      <c r="B637" s="1" t="s">
        <v>177</v>
      </c>
      <c r="C637" s="1" t="s">
        <v>198</v>
      </c>
      <c r="D637" s="1" t="s">
        <v>95</v>
      </c>
    </row>
    <row r="638" spans="1:4" x14ac:dyDescent="0.25">
      <c r="A638" s="1" t="s">
        <v>167</v>
      </c>
      <c r="B638" s="1" t="s">
        <v>33</v>
      </c>
      <c r="C638" s="1" t="s">
        <v>199</v>
      </c>
      <c r="D638" s="1" t="s">
        <v>385</v>
      </c>
    </row>
    <row r="639" spans="1:4" x14ac:dyDescent="0.25">
      <c r="A639" s="1" t="s">
        <v>167</v>
      </c>
      <c r="B639" s="1" t="s">
        <v>34</v>
      </c>
      <c r="C639" s="1" t="s">
        <v>200</v>
      </c>
      <c r="D639" s="1" t="s">
        <v>386</v>
      </c>
    </row>
    <row r="640" spans="1:4" x14ac:dyDescent="0.25">
      <c r="A640" s="1" t="s">
        <v>167</v>
      </c>
      <c r="B640" s="1" t="s">
        <v>35</v>
      </c>
      <c r="C640" s="1" t="s">
        <v>201</v>
      </c>
      <c r="D640" s="1" t="s">
        <v>387</v>
      </c>
    </row>
    <row r="641" spans="1:4" x14ac:dyDescent="0.25">
      <c r="A641" s="1" t="s">
        <v>167</v>
      </c>
      <c r="B641" s="1" t="s">
        <v>36</v>
      </c>
      <c r="C641" s="1" t="s">
        <v>202</v>
      </c>
      <c r="D641" s="1" t="s">
        <v>98</v>
      </c>
    </row>
    <row r="642" spans="1:4" x14ac:dyDescent="0.25">
      <c r="A642" s="1" t="s">
        <v>167</v>
      </c>
      <c r="B642" s="1" t="s">
        <v>37</v>
      </c>
      <c r="C642" s="1" t="s">
        <v>203</v>
      </c>
      <c r="D642" s="1" t="s">
        <v>262</v>
      </c>
    </row>
    <row r="643" spans="1:4" x14ac:dyDescent="0.25">
      <c r="A643" s="1" t="s">
        <v>167</v>
      </c>
      <c r="B643" s="1" t="s">
        <v>38</v>
      </c>
      <c r="C643" s="1" t="s">
        <v>204</v>
      </c>
      <c r="D643" s="1" t="s">
        <v>388</v>
      </c>
    </row>
    <row r="644" spans="1:4" x14ac:dyDescent="0.25">
      <c r="A644" s="1" t="s">
        <v>167</v>
      </c>
      <c r="B644" s="1" t="s">
        <v>178</v>
      </c>
      <c r="C644" s="1" t="s">
        <v>205</v>
      </c>
      <c r="D644" s="1" t="s">
        <v>78</v>
      </c>
    </row>
    <row r="645" spans="1:4" x14ac:dyDescent="0.25">
      <c r="A645" s="1" t="s">
        <v>167</v>
      </c>
      <c r="B645" s="1" t="s">
        <v>179</v>
      </c>
      <c r="C645" s="1" t="s">
        <v>206</v>
      </c>
      <c r="D645" s="1" t="s">
        <v>275</v>
      </c>
    </row>
    <row r="646" spans="1:4" x14ac:dyDescent="0.25">
      <c r="A646" s="1" t="s">
        <v>167</v>
      </c>
      <c r="B646" s="1" t="s">
        <v>40</v>
      </c>
      <c r="C646" s="1" t="s">
        <v>207</v>
      </c>
      <c r="D646" s="1" t="s">
        <v>389</v>
      </c>
    </row>
    <row r="647" spans="1:4" x14ac:dyDescent="0.25">
      <c r="A647" s="1" t="s">
        <v>167</v>
      </c>
      <c r="B647" s="1" t="s">
        <v>180</v>
      </c>
      <c r="C647" s="1" t="s">
        <v>208</v>
      </c>
      <c r="D647" s="1" t="s">
        <v>95</v>
      </c>
    </row>
    <row r="648" spans="1:4" x14ac:dyDescent="0.25">
      <c r="A648" s="1" t="s">
        <v>167</v>
      </c>
      <c r="B648" s="1" t="s">
        <v>43</v>
      </c>
      <c r="C648" s="1" t="s">
        <v>209</v>
      </c>
      <c r="D648" s="1" t="s">
        <v>275</v>
      </c>
    </row>
    <row r="649" spans="1:4" x14ac:dyDescent="0.25">
      <c r="A649" s="1" t="s">
        <v>167</v>
      </c>
      <c r="B649" s="1" t="s">
        <v>181</v>
      </c>
      <c r="C649" s="1" t="s">
        <v>210</v>
      </c>
      <c r="D649" s="1" t="s">
        <v>78</v>
      </c>
    </row>
    <row r="650" spans="1:4" x14ac:dyDescent="0.25">
      <c r="A650" s="1" t="s">
        <v>167</v>
      </c>
      <c r="B650" s="1" t="s">
        <v>182</v>
      </c>
      <c r="C650" s="1" t="s">
        <v>211</v>
      </c>
      <c r="D650" s="1" t="s">
        <v>95</v>
      </c>
    </row>
    <row r="651" spans="1:4" x14ac:dyDescent="0.25">
      <c r="A651" s="1" t="s">
        <v>167</v>
      </c>
      <c r="B651" s="1" t="s">
        <v>183</v>
      </c>
      <c r="C651" s="1" t="s">
        <v>212</v>
      </c>
      <c r="D651" s="1" t="s">
        <v>78</v>
      </c>
    </row>
    <row r="652" spans="1:4" x14ac:dyDescent="0.25">
      <c r="A652" s="1" t="s">
        <v>167</v>
      </c>
      <c r="B652" s="1" t="s">
        <v>184</v>
      </c>
      <c r="C652" s="1" t="s">
        <v>213</v>
      </c>
      <c r="D652" s="1" t="s">
        <v>133</v>
      </c>
    </row>
    <row r="653" spans="1:4" x14ac:dyDescent="0.25">
      <c r="A653" s="1" t="s">
        <v>167</v>
      </c>
      <c r="B653" s="1" t="s">
        <v>185</v>
      </c>
      <c r="C653" s="1" t="s">
        <v>214</v>
      </c>
      <c r="D653" s="1" t="s">
        <v>78</v>
      </c>
    </row>
    <row r="654" spans="1:4" x14ac:dyDescent="0.25">
      <c r="A654" s="1" t="s">
        <v>167</v>
      </c>
      <c r="B654" s="1" t="s">
        <v>186</v>
      </c>
      <c r="C654" s="1" t="s">
        <v>215</v>
      </c>
      <c r="D654" s="1" t="s">
        <v>95</v>
      </c>
    </row>
    <row r="655" spans="1:4" x14ac:dyDescent="0.25">
      <c r="A655" s="1" t="s">
        <v>167</v>
      </c>
      <c r="B655" s="1" t="s">
        <v>187</v>
      </c>
      <c r="C655" s="1" t="s">
        <v>216</v>
      </c>
      <c r="D655" s="1" t="s">
        <v>228</v>
      </c>
    </row>
    <row r="656" spans="1:4" x14ac:dyDescent="0.25">
      <c r="A656" s="1" t="s">
        <v>167</v>
      </c>
      <c r="B656" s="1" t="s">
        <v>188</v>
      </c>
      <c r="C656" s="1" t="s">
        <v>217</v>
      </c>
      <c r="D656" s="1" t="s">
        <v>78</v>
      </c>
    </row>
    <row r="657" spans="1:4" x14ac:dyDescent="0.25">
      <c r="A657" s="1" t="s">
        <v>167</v>
      </c>
      <c r="B657" s="1" t="s">
        <v>189</v>
      </c>
      <c r="C657" s="1" t="s">
        <v>218</v>
      </c>
      <c r="D657" s="1" t="s">
        <v>78</v>
      </c>
    </row>
    <row r="658" spans="1:4" x14ac:dyDescent="0.25">
      <c r="A658" s="1" t="s">
        <v>167</v>
      </c>
      <c r="B658" s="1" t="s">
        <v>190</v>
      </c>
      <c r="C658" s="1" t="s">
        <v>219</v>
      </c>
      <c r="D658" s="1" t="s">
        <v>223</v>
      </c>
    </row>
    <row r="659" spans="1:4" x14ac:dyDescent="0.25">
      <c r="A659" s="1" t="s">
        <v>167</v>
      </c>
      <c r="B659" s="1" t="s">
        <v>191</v>
      </c>
      <c r="C659" s="1" t="s">
        <v>220</v>
      </c>
      <c r="D659" s="1" t="s">
        <v>92</v>
      </c>
    </row>
    <row r="660" spans="1:4" x14ac:dyDescent="0.25">
      <c r="A660" s="1" t="s">
        <v>167</v>
      </c>
      <c r="B660" s="1" t="s">
        <v>192</v>
      </c>
      <c r="C660" s="1" t="s">
        <v>221</v>
      </c>
      <c r="D660" s="1" t="s">
        <v>92</v>
      </c>
    </row>
    <row r="661" spans="1:4" x14ac:dyDescent="0.25">
      <c r="A661" s="1" t="s">
        <v>167</v>
      </c>
      <c r="B661" s="1" t="s">
        <v>193</v>
      </c>
      <c r="C661" s="1" t="s">
        <v>222</v>
      </c>
      <c r="D661" s="1" t="s">
        <v>95</v>
      </c>
    </row>
    <row r="662" spans="1:4" x14ac:dyDescent="0.25">
      <c r="A662" s="1" t="s">
        <v>167</v>
      </c>
      <c r="B662" s="1"/>
      <c r="C662" s="1"/>
      <c r="D662" s="1"/>
    </row>
    <row r="663" spans="1:4" x14ac:dyDescent="0.25">
      <c r="A663" s="1" t="s">
        <v>168</v>
      </c>
      <c r="B663" s="1" t="s">
        <v>173</v>
      </c>
      <c r="C663" s="1" t="s">
        <v>194</v>
      </c>
      <c r="D663" s="1" t="s">
        <v>98</v>
      </c>
    </row>
    <row r="664" spans="1:4" x14ac:dyDescent="0.25">
      <c r="A664" s="1" t="s">
        <v>168</v>
      </c>
      <c r="B664" s="1" t="s">
        <v>174</v>
      </c>
      <c r="C664" s="1" t="s">
        <v>195</v>
      </c>
      <c r="D664" s="1" t="s">
        <v>230</v>
      </c>
    </row>
    <row r="665" spans="1:4" x14ac:dyDescent="0.25">
      <c r="A665" s="1" t="s">
        <v>168</v>
      </c>
      <c r="B665" s="1" t="s">
        <v>175</v>
      </c>
      <c r="C665" s="1" t="s">
        <v>196</v>
      </c>
      <c r="D665" s="1" t="s">
        <v>390</v>
      </c>
    </row>
    <row r="666" spans="1:4" x14ac:dyDescent="0.25">
      <c r="A666" s="1" t="s">
        <v>168</v>
      </c>
      <c r="B666" s="1" t="s">
        <v>176</v>
      </c>
      <c r="C666" s="1" t="s">
        <v>197</v>
      </c>
      <c r="D666" s="1" t="s">
        <v>223</v>
      </c>
    </row>
    <row r="667" spans="1:4" x14ac:dyDescent="0.25">
      <c r="A667" s="1" t="s">
        <v>168</v>
      </c>
      <c r="B667" s="1" t="s">
        <v>177</v>
      </c>
      <c r="C667" s="1" t="s">
        <v>198</v>
      </c>
      <c r="D667" s="1" t="s">
        <v>95</v>
      </c>
    </row>
    <row r="668" spans="1:4" x14ac:dyDescent="0.25">
      <c r="A668" s="1" t="s">
        <v>168</v>
      </c>
      <c r="B668" s="1" t="s">
        <v>33</v>
      </c>
      <c r="C668" s="1" t="s">
        <v>199</v>
      </c>
      <c r="D668" s="1" t="s">
        <v>391</v>
      </c>
    </row>
    <row r="669" spans="1:4" x14ac:dyDescent="0.25">
      <c r="A669" s="1" t="s">
        <v>168</v>
      </c>
      <c r="B669" s="1" t="s">
        <v>34</v>
      </c>
      <c r="C669" s="1" t="s">
        <v>200</v>
      </c>
      <c r="D669" s="1" t="s">
        <v>392</v>
      </c>
    </row>
    <row r="670" spans="1:4" x14ac:dyDescent="0.25">
      <c r="A670" s="1" t="s">
        <v>168</v>
      </c>
      <c r="B670" s="1" t="s">
        <v>35</v>
      </c>
      <c r="C670" s="1" t="s">
        <v>201</v>
      </c>
      <c r="D670" s="1" t="s">
        <v>393</v>
      </c>
    </row>
    <row r="671" spans="1:4" x14ac:dyDescent="0.25">
      <c r="A671" s="1" t="s">
        <v>168</v>
      </c>
      <c r="B671" s="1" t="s">
        <v>36</v>
      </c>
      <c r="C671" s="1" t="s">
        <v>202</v>
      </c>
      <c r="D671" s="1" t="s">
        <v>256</v>
      </c>
    </row>
    <row r="672" spans="1:4" x14ac:dyDescent="0.25">
      <c r="A672" s="1" t="s">
        <v>168</v>
      </c>
      <c r="B672" s="1" t="s">
        <v>37</v>
      </c>
      <c r="C672" s="1" t="s">
        <v>203</v>
      </c>
      <c r="D672" s="1" t="s">
        <v>394</v>
      </c>
    </row>
    <row r="673" spans="1:4" x14ac:dyDescent="0.25">
      <c r="A673" s="1" t="s">
        <v>168</v>
      </c>
      <c r="B673" s="1" t="s">
        <v>38</v>
      </c>
      <c r="C673" s="1" t="s">
        <v>204</v>
      </c>
      <c r="D673" s="1" t="s">
        <v>395</v>
      </c>
    </row>
    <row r="674" spans="1:4" x14ac:dyDescent="0.25">
      <c r="A674" s="1" t="s">
        <v>168</v>
      </c>
      <c r="B674" s="1" t="s">
        <v>178</v>
      </c>
      <c r="C674" s="1" t="s">
        <v>205</v>
      </c>
      <c r="D674" s="1" t="s">
        <v>95</v>
      </c>
    </row>
    <row r="675" spans="1:4" x14ac:dyDescent="0.25">
      <c r="A675" s="1" t="s">
        <v>168</v>
      </c>
      <c r="B675" s="1" t="s">
        <v>179</v>
      </c>
      <c r="C675" s="1" t="s">
        <v>206</v>
      </c>
      <c r="D675" s="1" t="s">
        <v>396</v>
      </c>
    </row>
    <row r="676" spans="1:4" x14ac:dyDescent="0.25">
      <c r="A676" s="1" t="s">
        <v>168</v>
      </c>
      <c r="B676" s="1" t="s">
        <v>40</v>
      </c>
      <c r="C676" s="1" t="s">
        <v>207</v>
      </c>
      <c r="D676" s="1" t="s">
        <v>397</v>
      </c>
    </row>
    <row r="677" spans="1:4" x14ac:dyDescent="0.25">
      <c r="A677" s="1" t="s">
        <v>168</v>
      </c>
      <c r="B677" s="1" t="s">
        <v>180</v>
      </c>
      <c r="C677" s="1" t="s">
        <v>208</v>
      </c>
      <c r="D677" s="1" t="s">
        <v>398</v>
      </c>
    </row>
    <row r="678" spans="1:4" x14ac:dyDescent="0.25">
      <c r="A678" s="1" t="s">
        <v>168</v>
      </c>
      <c r="B678" s="1" t="s">
        <v>43</v>
      </c>
      <c r="C678" s="1" t="s">
        <v>209</v>
      </c>
      <c r="D678" s="1" t="s">
        <v>288</v>
      </c>
    </row>
    <row r="679" spans="1:4" x14ac:dyDescent="0.25">
      <c r="A679" s="1" t="s">
        <v>168</v>
      </c>
      <c r="B679" s="1" t="s">
        <v>181</v>
      </c>
      <c r="C679" s="1" t="s">
        <v>210</v>
      </c>
      <c r="D679" s="1" t="s">
        <v>78</v>
      </c>
    </row>
    <row r="680" spans="1:4" x14ac:dyDescent="0.25">
      <c r="A680" s="1" t="s">
        <v>168</v>
      </c>
      <c r="B680" s="1" t="s">
        <v>182</v>
      </c>
      <c r="C680" s="1" t="s">
        <v>211</v>
      </c>
      <c r="D680" s="1" t="s">
        <v>223</v>
      </c>
    </row>
    <row r="681" spans="1:4" x14ac:dyDescent="0.25">
      <c r="A681" s="1" t="s">
        <v>168</v>
      </c>
      <c r="B681" s="1" t="s">
        <v>183</v>
      </c>
      <c r="C681" s="1" t="s">
        <v>212</v>
      </c>
      <c r="D681" s="1" t="s">
        <v>223</v>
      </c>
    </row>
    <row r="682" spans="1:4" x14ac:dyDescent="0.25">
      <c r="A682" s="1" t="s">
        <v>168</v>
      </c>
      <c r="B682" s="1" t="s">
        <v>184</v>
      </c>
      <c r="C682" s="1" t="s">
        <v>213</v>
      </c>
      <c r="D682" s="1" t="s">
        <v>352</v>
      </c>
    </row>
    <row r="683" spans="1:4" x14ac:dyDescent="0.25">
      <c r="A683" s="1" t="s">
        <v>168</v>
      </c>
      <c r="B683" s="1" t="s">
        <v>185</v>
      </c>
      <c r="C683" s="1" t="s">
        <v>214</v>
      </c>
      <c r="D683" s="1" t="s">
        <v>78</v>
      </c>
    </row>
    <row r="684" spans="1:4" x14ac:dyDescent="0.25">
      <c r="A684" s="1" t="s">
        <v>168</v>
      </c>
      <c r="B684" s="1" t="s">
        <v>186</v>
      </c>
      <c r="C684" s="1" t="s">
        <v>215</v>
      </c>
      <c r="D684" s="1" t="s">
        <v>275</v>
      </c>
    </row>
    <row r="685" spans="1:4" x14ac:dyDescent="0.25">
      <c r="A685" s="1" t="s">
        <v>168</v>
      </c>
      <c r="B685" s="1" t="s">
        <v>187</v>
      </c>
      <c r="C685" s="1" t="s">
        <v>216</v>
      </c>
      <c r="D685" s="1" t="s">
        <v>287</v>
      </c>
    </row>
    <row r="686" spans="1:4" x14ac:dyDescent="0.25">
      <c r="A686" s="1" t="s">
        <v>168</v>
      </c>
      <c r="B686" s="1" t="s">
        <v>188</v>
      </c>
      <c r="C686" s="1" t="s">
        <v>217</v>
      </c>
      <c r="D686" s="1" t="s">
        <v>78</v>
      </c>
    </row>
    <row r="687" spans="1:4" x14ac:dyDescent="0.25">
      <c r="A687" s="1" t="s">
        <v>168</v>
      </c>
      <c r="B687" s="1" t="s">
        <v>189</v>
      </c>
      <c r="C687" s="1" t="s">
        <v>218</v>
      </c>
      <c r="D687" s="1" t="s">
        <v>78</v>
      </c>
    </row>
    <row r="688" spans="1:4" x14ac:dyDescent="0.25">
      <c r="A688" s="1" t="s">
        <v>168</v>
      </c>
      <c r="B688" s="1" t="s">
        <v>190</v>
      </c>
      <c r="C688" s="1" t="s">
        <v>219</v>
      </c>
      <c r="D688" s="1" t="s">
        <v>399</v>
      </c>
    </row>
    <row r="689" spans="1:4" x14ac:dyDescent="0.25">
      <c r="A689" s="1" t="s">
        <v>168</v>
      </c>
      <c r="B689" s="1" t="s">
        <v>191</v>
      </c>
      <c r="C689" s="1" t="s">
        <v>220</v>
      </c>
      <c r="D689" s="1" t="s">
        <v>92</v>
      </c>
    </row>
    <row r="690" spans="1:4" x14ac:dyDescent="0.25">
      <c r="A690" s="1" t="s">
        <v>168</v>
      </c>
      <c r="B690" s="1" t="s">
        <v>192</v>
      </c>
      <c r="C690" s="1" t="s">
        <v>221</v>
      </c>
      <c r="D690" s="1" t="s">
        <v>141</v>
      </c>
    </row>
    <row r="691" spans="1:4" x14ac:dyDescent="0.25">
      <c r="A691" s="1" t="s">
        <v>168</v>
      </c>
      <c r="B691" s="1" t="s">
        <v>193</v>
      </c>
      <c r="C691" s="1" t="s">
        <v>222</v>
      </c>
      <c r="D691" s="1" t="s">
        <v>228</v>
      </c>
    </row>
    <row r="692" spans="1:4" x14ac:dyDescent="0.25">
      <c r="A692" s="1" t="s">
        <v>168</v>
      </c>
      <c r="B692" s="1"/>
      <c r="C692" s="1"/>
      <c r="D692" s="1"/>
    </row>
    <row r="693" spans="1:4" x14ac:dyDescent="0.25">
      <c r="A693" s="1" t="s">
        <v>169</v>
      </c>
      <c r="B693" s="1" t="s">
        <v>173</v>
      </c>
      <c r="C693" s="1" t="s">
        <v>194</v>
      </c>
      <c r="D693" s="1" t="s">
        <v>78</v>
      </c>
    </row>
    <row r="694" spans="1:4" x14ac:dyDescent="0.25">
      <c r="A694" s="1" t="s">
        <v>169</v>
      </c>
      <c r="B694" s="1" t="s">
        <v>174</v>
      </c>
      <c r="C694" s="1" t="s">
        <v>195</v>
      </c>
      <c r="D694" s="1" t="s">
        <v>78</v>
      </c>
    </row>
    <row r="695" spans="1:4" x14ac:dyDescent="0.25">
      <c r="A695" s="1" t="s">
        <v>169</v>
      </c>
      <c r="B695" s="1" t="s">
        <v>175</v>
      </c>
      <c r="C695" s="1" t="s">
        <v>196</v>
      </c>
      <c r="D695" s="1" t="s">
        <v>97</v>
      </c>
    </row>
    <row r="696" spans="1:4" x14ac:dyDescent="0.25">
      <c r="A696" s="1" t="s">
        <v>169</v>
      </c>
      <c r="B696" s="1" t="s">
        <v>176</v>
      </c>
      <c r="C696" s="1" t="s">
        <v>197</v>
      </c>
      <c r="D696" s="1" t="s">
        <v>78</v>
      </c>
    </row>
    <row r="697" spans="1:4" x14ac:dyDescent="0.25">
      <c r="A697" s="1" t="s">
        <v>169</v>
      </c>
      <c r="B697" s="1" t="s">
        <v>177</v>
      </c>
      <c r="C697" s="1" t="s">
        <v>198</v>
      </c>
      <c r="D697" s="1" t="s">
        <v>95</v>
      </c>
    </row>
    <row r="698" spans="1:4" x14ac:dyDescent="0.25">
      <c r="A698" s="1" t="s">
        <v>169</v>
      </c>
      <c r="B698" s="1" t="s">
        <v>33</v>
      </c>
      <c r="C698" s="1" t="s">
        <v>199</v>
      </c>
      <c r="D698" s="1" t="s">
        <v>385</v>
      </c>
    </row>
    <row r="699" spans="1:4" x14ac:dyDescent="0.25">
      <c r="A699" s="1" t="s">
        <v>169</v>
      </c>
      <c r="B699" s="1" t="s">
        <v>34</v>
      </c>
      <c r="C699" s="1" t="s">
        <v>200</v>
      </c>
      <c r="D699" s="1" t="s">
        <v>400</v>
      </c>
    </row>
    <row r="700" spans="1:4" x14ac:dyDescent="0.25">
      <c r="A700" s="1" t="s">
        <v>169</v>
      </c>
      <c r="B700" s="1" t="s">
        <v>35</v>
      </c>
      <c r="C700" s="1" t="s">
        <v>201</v>
      </c>
      <c r="D700" s="1" t="s">
        <v>401</v>
      </c>
    </row>
    <row r="701" spans="1:4" x14ac:dyDescent="0.25">
      <c r="A701" s="1" t="s">
        <v>169</v>
      </c>
      <c r="B701" s="1" t="s">
        <v>36</v>
      </c>
      <c r="C701" s="1" t="s">
        <v>202</v>
      </c>
      <c r="D701" s="1" t="s">
        <v>271</v>
      </c>
    </row>
    <row r="702" spans="1:4" x14ac:dyDescent="0.25">
      <c r="A702" s="1" t="s">
        <v>169</v>
      </c>
      <c r="B702" s="1" t="s">
        <v>37</v>
      </c>
      <c r="C702" s="1" t="s">
        <v>203</v>
      </c>
      <c r="D702" s="1" t="s">
        <v>145</v>
      </c>
    </row>
    <row r="703" spans="1:4" x14ac:dyDescent="0.25">
      <c r="A703" s="1" t="s">
        <v>169</v>
      </c>
      <c r="B703" s="1" t="s">
        <v>38</v>
      </c>
      <c r="C703" s="1" t="s">
        <v>204</v>
      </c>
      <c r="D703" s="1" t="s">
        <v>402</v>
      </c>
    </row>
    <row r="704" spans="1:4" x14ac:dyDescent="0.25">
      <c r="A704" s="1" t="s">
        <v>169</v>
      </c>
      <c r="B704" s="1" t="s">
        <v>178</v>
      </c>
      <c r="C704" s="1" t="s">
        <v>205</v>
      </c>
      <c r="D704" s="1" t="s">
        <v>78</v>
      </c>
    </row>
    <row r="705" spans="1:4" x14ac:dyDescent="0.25">
      <c r="A705" s="1" t="s">
        <v>169</v>
      </c>
      <c r="B705" s="1" t="s">
        <v>179</v>
      </c>
      <c r="C705" s="1" t="s">
        <v>206</v>
      </c>
      <c r="D705" s="1" t="s">
        <v>78</v>
      </c>
    </row>
    <row r="706" spans="1:4" x14ac:dyDescent="0.25">
      <c r="A706" s="1" t="s">
        <v>169</v>
      </c>
      <c r="B706" s="1" t="s">
        <v>40</v>
      </c>
      <c r="C706" s="1" t="s">
        <v>207</v>
      </c>
      <c r="D706" s="1" t="s">
        <v>92</v>
      </c>
    </row>
    <row r="707" spans="1:4" x14ac:dyDescent="0.25">
      <c r="A707" s="1" t="s">
        <v>169</v>
      </c>
      <c r="B707" s="1" t="s">
        <v>180</v>
      </c>
      <c r="C707" s="1" t="s">
        <v>208</v>
      </c>
      <c r="D707" s="1" t="s">
        <v>78</v>
      </c>
    </row>
    <row r="708" spans="1:4" x14ac:dyDescent="0.25">
      <c r="A708" s="1" t="s">
        <v>169</v>
      </c>
      <c r="B708" s="1" t="s">
        <v>43</v>
      </c>
      <c r="C708" s="1" t="s">
        <v>209</v>
      </c>
      <c r="D708" s="1" t="s">
        <v>95</v>
      </c>
    </row>
    <row r="709" spans="1:4" x14ac:dyDescent="0.25">
      <c r="A709" s="1" t="s">
        <v>169</v>
      </c>
      <c r="B709" s="1" t="s">
        <v>181</v>
      </c>
      <c r="C709" s="1" t="s">
        <v>210</v>
      </c>
      <c r="D709" s="1" t="s">
        <v>78</v>
      </c>
    </row>
    <row r="710" spans="1:4" x14ac:dyDescent="0.25">
      <c r="A710" s="1" t="s">
        <v>169</v>
      </c>
      <c r="B710" s="1" t="s">
        <v>182</v>
      </c>
      <c r="C710" s="1" t="s">
        <v>211</v>
      </c>
      <c r="D710" s="1" t="s">
        <v>78</v>
      </c>
    </row>
    <row r="711" spans="1:4" x14ac:dyDescent="0.25">
      <c r="A711" s="1" t="s">
        <v>169</v>
      </c>
      <c r="B711" s="1" t="s">
        <v>183</v>
      </c>
      <c r="C711" s="1" t="s">
        <v>212</v>
      </c>
      <c r="D711" s="1" t="s">
        <v>78</v>
      </c>
    </row>
    <row r="712" spans="1:4" x14ac:dyDescent="0.25">
      <c r="A712" s="1" t="s">
        <v>169</v>
      </c>
      <c r="B712" s="1" t="s">
        <v>184</v>
      </c>
      <c r="C712" s="1" t="s">
        <v>213</v>
      </c>
      <c r="D712" s="1" t="s">
        <v>133</v>
      </c>
    </row>
    <row r="713" spans="1:4" x14ac:dyDescent="0.25">
      <c r="A713" s="1" t="s">
        <v>169</v>
      </c>
      <c r="B713" s="1" t="s">
        <v>185</v>
      </c>
      <c r="C713" s="1" t="s">
        <v>214</v>
      </c>
      <c r="D713" s="1" t="s">
        <v>78</v>
      </c>
    </row>
    <row r="714" spans="1:4" x14ac:dyDescent="0.25">
      <c r="A714" s="1" t="s">
        <v>169</v>
      </c>
      <c r="B714" s="1" t="s">
        <v>186</v>
      </c>
      <c r="C714" s="1" t="s">
        <v>215</v>
      </c>
      <c r="D714" s="1" t="s">
        <v>78</v>
      </c>
    </row>
    <row r="715" spans="1:4" x14ac:dyDescent="0.25">
      <c r="A715" s="1" t="s">
        <v>169</v>
      </c>
      <c r="B715" s="1" t="s">
        <v>187</v>
      </c>
      <c r="C715" s="1" t="s">
        <v>216</v>
      </c>
      <c r="D715" s="1" t="s">
        <v>133</v>
      </c>
    </row>
    <row r="716" spans="1:4" x14ac:dyDescent="0.25">
      <c r="A716" s="1" t="s">
        <v>169</v>
      </c>
      <c r="B716" s="1" t="s">
        <v>188</v>
      </c>
      <c r="C716" s="1" t="s">
        <v>217</v>
      </c>
      <c r="D716" s="1" t="s">
        <v>78</v>
      </c>
    </row>
    <row r="717" spans="1:4" x14ac:dyDescent="0.25">
      <c r="A717" s="1" t="s">
        <v>169</v>
      </c>
      <c r="B717" s="1" t="s">
        <v>189</v>
      </c>
      <c r="C717" s="1" t="s">
        <v>218</v>
      </c>
      <c r="D717" s="1" t="s">
        <v>78</v>
      </c>
    </row>
    <row r="718" spans="1:4" x14ac:dyDescent="0.25">
      <c r="A718" s="1" t="s">
        <v>169</v>
      </c>
      <c r="B718" s="1" t="s">
        <v>190</v>
      </c>
      <c r="C718" s="1" t="s">
        <v>219</v>
      </c>
      <c r="D718" s="1" t="s">
        <v>78</v>
      </c>
    </row>
    <row r="719" spans="1:4" x14ac:dyDescent="0.25">
      <c r="A719" s="1" t="s">
        <v>169</v>
      </c>
      <c r="B719" s="1" t="s">
        <v>191</v>
      </c>
      <c r="C719" s="1" t="s">
        <v>220</v>
      </c>
      <c r="D719" s="1" t="s">
        <v>92</v>
      </c>
    </row>
    <row r="720" spans="1:4" x14ac:dyDescent="0.25">
      <c r="A720" s="1" t="s">
        <v>169</v>
      </c>
      <c r="B720" s="1" t="s">
        <v>192</v>
      </c>
      <c r="C720" s="1" t="s">
        <v>221</v>
      </c>
      <c r="D720" s="1" t="s">
        <v>92</v>
      </c>
    </row>
    <row r="721" spans="1:4" x14ac:dyDescent="0.25">
      <c r="A721" s="1" t="s">
        <v>169</v>
      </c>
      <c r="B721" s="1" t="s">
        <v>193</v>
      </c>
      <c r="C721" s="1" t="s">
        <v>222</v>
      </c>
      <c r="D721" s="1" t="s">
        <v>78</v>
      </c>
    </row>
    <row r="722" spans="1:4" x14ac:dyDescent="0.25">
      <c r="A722" s="1" t="s">
        <v>169</v>
      </c>
      <c r="B722" s="1"/>
      <c r="C722" s="1"/>
      <c r="D722" s="1"/>
    </row>
    <row r="723" spans="1:4" x14ac:dyDescent="0.25">
      <c r="A723" s="1" t="s">
        <v>170</v>
      </c>
      <c r="B723" s="1" t="s">
        <v>173</v>
      </c>
      <c r="C723" s="1" t="s">
        <v>194</v>
      </c>
      <c r="D723" s="1" t="s">
        <v>230</v>
      </c>
    </row>
    <row r="724" spans="1:4" x14ac:dyDescent="0.25">
      <c r="A724" s="1" t="s">
        <v>170</v>
      </c>
      <c r="B724" s="1" t="s">
        <v>174</v>
      </c>
      <c r="C724" s="1" t="s">
        <v>195</v>
      </c>
      <c r="D724" s="1" t="s">
        <v>374</v>
      </c>
    </row>
    <row r="725" spans="1:4" x14ac:dyDescent="0.25">
      <c r="A725" s="1" t="s">
        <v>170</v>
      </c>
      <c r="B725" s="1" t="s">
        <v>175</v>
      </c>
      <c r="C725" s="1" t="s">
        <v>196</v>
      </c>
      <c r="D725" s="1" t="s">
        <v>258</v>
      </c>
    </row>
    <row r="726" spans="1:4" x14ac:dyDescent="0.25">
      <c r="A726" s="1" t="s">
        <v>170</v>
      </c>
      <c r="B726" s="1" t="s">
        <v>176</v>
      </c>
      <c r="C726" s="1" t="s">
        <v>197</v>
      </c>
      <c r="D726" s="1" t="s">
        <v>275</v>
      </c>
    </row>
    <row r="727" spans="1:4" x14ac:dyDescent="0.25">
      <c r="A727" s="1" t="s">
        <v>170</v>
      </c>
      <c r="B727" s="1" t="s">
        <v>177</v>
      </c>
      <c r="C727" s="1" t="s">
        <v>198</v>
      </c>
      <c r="D727" s="1" t="s">
        <v>95</v>
      </c>
    </row>
    <row r="728" spans="1:4" x14ac:dyDescent="0.25">
      <c r="A728" s="1" t="s">
        <v>170</v>
      </c>
      <c r="B728" s="1" t="s">
        <v>33</v>
      </c>
      <c r="C728" s="1" t="s">
        <v>199</v>
      </c>
      <c r="D728" s="1" t="s">
        <v>403</v>
      </c>
    </row>
    <row r="729" spans="1:4" x14ac:dyDescent="0.25">
      <c r="A729" s="1" t="s">
        <v>170</v>
      </c>
      <c r="B729" s="1" t="s">
        <v>34</v>
      </c>
      <c r="C729" s="1" t="s">
        <v>200</v>
      </c>
      <c r="D729" s="1" t="s">
        <v>404</v>
      </c>
    </row>
    <row r="730" spans="1:4" x14ac:dyDescent="0.25">
      <c r="A730" s="1" t="s">
        <v>170</v>
      </c>
      <c r="B730" s="1" t="s">
        <v>35</v>
      </c>
      <c r="C730" s="1" t="s">
        <v>201</v>
      </c>
      <c r="D730" s="1" t="s">
        <v>405</v>
      </c>
    </row>
    <row r="731" spans="1:4" x14ac:dyDescent="0.25">
      <c r="A731" s="1" t="s">
        <v>170</v>
      </c>
      <c r="B731" s="1" t="s">
        <v>36</v>
      </c>
      <c r="C731" s="1" t="s">
        <v>202</v>
      </c>
      <c r="D731" s="1" t="s">
        <v>406</v>
      </c>
    </row>
    <row r="732" spans="1:4" x14ac:dyDescent="0.25">
      <c r="A732" s="1" t="s">
        <v>170</v>
      </c>
      <c r="B732" s="1" t="s">
        <v>37</v>
      </c>
      <c r="C732" s="1" t="s">
        <v>203</v>
      </c>
      <c r="D732" s="1" t="s">
        <v>407</v>
      </c>
    </row>
    <row r="733" spans="1:4" x14ac:dyDescent="0.25">
      <c r="A733" s="1" t="s">
        <v>170</v>
      </c>
      <c r="B733" s="1" t="s">
        <v>38</v>
      </c>
      <c r="C733" s="1" t="s">
        <v>204</v>
      </c>
      <c r="D733" s="1" t="s">
        <v>408</v>
      </c>
    </row>
    <row r="734" spans="1:4" x14ac:dyDescent="0.25">
      <c r="A734" s="1" t="s">
        <v>170</v>
      </c>
      <c r="B734" s="1" t="s">
        <v>178</v>
      </c>
      <c r="C734" s="1" t="s">
        <v>205</v>
      </c>
      <c r="D734" s="1" t="s">
        <v>95</v>
      </c>
    </row>
    <row r="735" spans="1:4" x14ac:dyDescent="0.25">
      <c r="A735" s="1" t="s">
        <v>170</v>
      </c>
      <c r="B735" s="1" t="s">
        <v>179</v>
      </c>
      <c r="C735" s="1" t="s">
        <v>206</v>
      </c>
      <c r="D735" s="1" t="s">
        <v>361</v>
      </c>
    </row>
    <row r="736" spans="1:4" x14ac:dyDescent="0.25">
      <c r="A736" s="1" t="s">
        <v>170</v>
      </c>
      <c r="B736" s="1" t="s">
        <v>40</v>
      </c>
      <c r="C736" s="1" t="s">
        <v>207</v>
      </c>
      <c r="D736" s="1" t="s">
        <v>409</v>
      </c>
    </row>
    <row r="737" spans="1:4" x14ac:dyDescent="0.25">
      <c r="A737" s="1" t="s">
        <v>170</v>
      </c>
      <c r="B737" s="1" t="s">
        <v>180</v>
      </c>
      <c r="C737" s="1" t="s">
        <v>208</v>
      </c>
      <c r="D737" s="1" t="s">
        <v>290</v>
      </c>
    </row>
    <row r="738" spans="1:4" x14ac:dyDescent="0.25">
      <c r="A738" s="1" t="s">
        <v>170</v>
      </c>
      <c r="B738" s="1" t="s">
        <v>43</v>
      </c>
      <c r="C738" s="1" t="s">
        <v>209</v>
      </c>
      <c r="D738" s="1" t="s">
        <v>410</v>
      </c>
    </row>
    <row r="739" spans="1:4" x14ac:dyDescent="0.25">
      <c r="A739" s="1" t="s">
        <v>170</v>
      </c>
      <c r="B739" s="1" t="s">
        <v>181</v>
      </c>
      <c r="C739" s="1" t="s">
        <v>210</v>
      </c>
      <c r="D739" s="1" t="s">
        <v>78</v>
      </c>
    </row>
    <row r="740" spans="1:4" x14ac:dyDescent="0.25">
      <c r="A740" s="1" t="s">
        <v>170</v>
      </c>
      <c r="B740" s="1" t="s">
        <v>182</v>
      </c>
      <c r="C740" s="1" t="s">
        <v>211</v>
      </c>
      <c r="D740" s="1" t="s">
        <v>232</v>
      </c>
    </row>
    <row r="741" spans="1:4" x14ac:dyDescent="0.25">
      <c r="A741" s="1" t="s">
        <v>170</v>
      </c>
      <c r="B741" s="1" t="s">
        <v>183</v>
      </c>
      <c r="C741" s="1" t="s">
        <v>212</v>
      </c>
      <c r="D741" s="1" t="s">
        <v>275</v>
      </c>
    </row>
    <row r="742" spans="1:4" x14ac:dyDescent="0.25">
      <c r="A742" s="1" t="s">
        <v>170</v>
      </c>
      <c r="B742" s="1" t="s">
        <v>184</v>
      </c>
      <c r="C742" s="1" t="s">
        <v>213</v>
      </c>
      <c r="D742" s="1" t="s">
        <v>244</v>
      </c>
    </row>
    <row r="743" spans="1:4" x14ac:dyDescent="0.25">
      <c r="A743" s="1" t="s">
        <v>170</v>
      </c>
      <c r="B743" s="1" t="s">
        <v>185</v>
      </c>
      <c r="C743" s="1" t="s">
        <v>214</v>
      </c>
      <c r="D743" s="1" t="s">
        <v>78</v>
      </c>
    </row>
    <row r="744" spans="1:4" x14ac:dyDescent="0.25">
      <c r="A744" s="1" t="s">
        <v>170</v>
      </c>
      <c r="B744" s="1" t="s">
        <v>186</v>
      </c>
      <c r="C744" s="1" t="s">
        <v>215</v>
      </c>
      <c r="D744" s="1" t="s">
        <v>97</v>
      </c>
    </row>
    <row r="745" spans="1:4" x14ac:dyDescent="0.25">
      <c r="A745" s="1" t="s">
        <v>170</v>
      </c>
      <c r="B745" s="1" t="s">
        <v>187</v>
      </c>
      <c r="C745" s="1" t="s">
        <v>216</v>
      </c>
      <c r="D745" s="1" t="s">
        <v>352</v>
      </c>
    </row>
    <row r="746" spans="1:4" x14ac:dyDescent="0.25">
      <c r="A746" s="1" t="s">
        <v>170</v>
      </c>
      <c r="B746" s="1" t="s">
        <v>188</v>
      </c>
      <c r="C746" s="1" t="s">
        <v>217</v>
      </c>
      <c r="D746" s="1" t="s">
        <v>78</v>
      </c>
    </row>
    <row r="747" spans="1:4" x14ac:dyDescent="0.25">
      <c r="A747" s="1" t="s">
        <v>170</v>
      </c>
      <c r="B747" s="1" t="s">
        <v>189</v>
      </c>
      <c r="C747" s="1" t="s">
        <v>218</v>
      </c>
      <c r="D747" s="1" t="s">
        <v>78</v>
      </c>
    </row>
    <row r="748" spans="1:4" x14ac:dyDescent="0.25">
      <c r="A748" s="1" t="s">
        <v>170</v>
      </c>
      <c r="B748" s="1" t="s">
        <v>190</v>
      </c>
      <c r="C748" s="1" t="s">
        <v>219</v>
      </c>
      <c r="D748" s="1" t="s">
        <v>399</v>
      </c>
    </row>
    <row r="749" spans="1:4" x14ac:dyDescent="0.25">
      <c r="A749" s="1" t="s">
        <v>170</v>
      </c>
      <c r="B749" s="1" t="s">
        <v>191</v>
      </c>
      <c r="C749" s="1" t="s">
        <v>220</v>
      </c>
      <c r="D749" s="1" t="s">
        <v>411</v>
      </c>
    </row>
    <row r="750" spans="1:4" x14ac:dyDescent="0.25">
      <c r="A750" s="1" t="s">
        <v>170</v>
      </c>
      <c r="B750" s="1" t="s">
        <v>192</v>
      </c>
      <c r="C750" s="1" t="s">
        <v>221</v>
      </c>
      <c r="D750" s="1" t="s">
        <v>412</v>
      </c>
    </row>
    <row r="751" spans="1:4" x14ac:dyDescent="0.25">
      <c r="A751" s="1" t="s">
        <v>170</v>
      </c>
      <c r="B751" s="1" t="s">
        <v>193</v>
      </c>
      <c r="C751" s="1" t="s">
        <v>222</v>
      </c>
      <c r="D751" s="1" t="s">
        <v>331</v>
      </c>
    </row>
    <row r="752" spans="1:4" x14ac:dyDescent="0.25">
      <c r="A752" s="1" t="s">
        <v>170</v>
      </c>
      <c r="B752" s="1"/>
      <c r="C752" s="1"/>
      <c r="D752" s="1"/>
    </row>
    <row r="753" spans="1:4" x14ac:dyDescent="0.25">
      <c r="A753" s="1" t="s">
        <v>171</v>
      </c>
      <c r="B753" s="1" t="s">
        <v>173</v>
      </c>
      <c r="C753" s="1" t="s">
        <v>194</v>
      </c>
      <c r="D753" s="1" t="s">
        <v>78</v>
      </c>
    </row>
    <row r="754" spans="1:4" x14ac:dyDescent="0.25">
      <c r="A754" s="1" t="s">
        <v>171</v>
      </c>
      <c r="B754" s="1" t="s">
        <v>174</v>
      </c>
      <c r="C754" s="1" t="s">
        <v>195</v>
      </c>
      <c r="D754" s="1" t="s">
        <v>78</v>
      </c>
    </row>
    <row r="755" spans="1:4" x14ac:dyDescent="0.25">
      <c r="A755" s="1" t="s">
        <v>171</v>
      </c>
      <c r="B755" s="1" t="s">
        <v>175</v>
      </c>
      <c r="C755" s="1" t="s">
        <v>196</v>
      </c>
      <c r="D755" s="1" t="s">
        <v>145</v>
      </c>
    </row>
    <row r="756" spans="1:4" x14ac:dyDescent="0.25">
      <c r="A756" s="1" t="s">
        <v>171</v>
      </c>
      <c r="B756" s="1" t="s">
        <v>176</v>
      </c>
      <c r="C756" s="1" t="s">
        <v>197</v>
      </c>
      <c r="D756" s="1" t="s">
        <v>95</v>
      </c>
    </row>
    <row r="757" spans="1:4" x14ac:dyDescent="0.25">
      <c r="A757" s="1" t="s">
        <v>171</v>
      </c>
      <c r="B757" s="1" t="s">
        <v>177</v>
      </c>
      <c r="C757" s="1" t="s">
        <v>198</v>
      </c>
      <c r="D757" s="1" t="s">
        <v>95</v>
      </c>
    </row>
    <row r="758" spans="1:4" x14ac:dyDescent="0.25">
      <c r="A758" s="1" t="s">
        <v>171</v>
      </c>
      <c r="B758" s="1" t="s">
        <v>33</v>
      </c>
      <c r="C758" s="1" t="s">
        <v>199</v>
      </c>
      <c r="D758" s="1" t="s">
        <v>413</v>
      </c>
    </row>
    <row r="759" spans="1:4" x14ac:dyDescent="0.25">
      <c r="A759" s="1" t="s">
        <v>171</v>
      </c>
      <c r="B759" s="1" t="s">
        <v>34</v>
      </c>
      <c r="C759" s="1" t="s">
        <v>200</v>
      </c>
      <c r="D759" s="1" t="s">
        <v>414</v>
      </c>
    </row>
    <row r="760" spans="1:4" x14ac:dyDescent="0.25">
      <c r="A760" s="1" t="s">
        <v>171</v>
      </c>
      <c r="B760" s="1" t="s">
        <v>35</v>
      </c>
      <c r="C760" s="1" t="s">
        <v>201</v>
      </c>
      <c r="D760" s="1" t="s">
        <v>415</v>
      </c>
    </row>
    <row r="761" spans="1:4" x14ac:dyDescent="0.25">
      <c r="A761" s="1" t="s">
        <v>171</v>
      </c>
      <c r="B761" s="1" t="s">
        <v>36</v>
      </c>
      <c r="C761" s="1" t="s">
        <v>202</v>
      </c>
      <c r="D761" s="1" t="s">
        <v>96</v>
      </c>
    </row>
    <row r="762" spans="1:4" x14ac:dyDescent="0.25">
      <c r="A762" s="1" t="s">
        <v>171</v>
      </c>
      <c r="B762" s="1" t="s">
        <v>37</v>
      </c>
      <c r="C762" s="1" t="s">
        <v>203</v>
      </c>
      <c r="D762" s="1" t="s">
        <v>227</v>
      </c>
    </row>
    <row r="763" spans="1:4" x14ac:dyDescent="0.25">
      <c r="A763" s="1" t="s">
        <v>171</v>
      </c>
      <c r="B763" s="1" t="s">
        <v>38</v>
      </c>
      <c r="C763" s="1" t="s">
        <v>204</v>
      </c>
      <c r="D763" s="1" t="s">
        <v>416</v>
      </c>
    </row>
    <row r="764" spans="1:4" x14ac:dyDescent="0.25">
      <c r="A764" s="1" t="s">
        <v>171</v>
      </c>
      <c r="B764" s="1" t="s">
        <v>178</v>
      </c>
      <c r="C764" s="1" t="s">
        <v>205</v>
      </c>
      <c r="D764" s="1" t="s">
        <v>95</v>
      </c>
    </row>
    <row r="765" spans="1:4" x14ac:dyDescent="0.25">
      <c r="A765" s="1" t="s">
        <v>171</v>
      </c>
      <c r="B765" s="1" t="s">
        <v>179</v>
      </c>
      <c r="C765" s="1" t="s">
        <v>206</v>
      </c>
      <c r="D765" s="1" t="s">
        <v>417</v>
      </c>
    </row>
    <row r="766" spans="1:4" x14ac:dyDescent="0.25">
      <c r="A766" s="1" t="s">
        <v>171</v>
      </c>
      <c r="B766" s="1" t="s">
        <v>40</v>
      </c>
      <c r="C766" s="1" t="s">
        <v>207</v>
      </c>
      <c r="D766" s="1" t="s">
        <v>418</v>
      </c>
    </row>
    <row r="767" spans="1:4" x14ac:dyDescent="0.25">
      <c r="A767" s="1" t="s">
        <v>171</v>
      </c>
      <c r="B767" s="1" t="s">
        <v>180</v>
      </c>
      <c r="C767" s="1" t="s">
        <v>208</v>
      </c>
      <c r="D767" s="1" t="s">
        <v>97</v>
      </c>
    </row>
    <row r="768" spans="1:4" x14ac:dyDescent="0.25">
      <c r="A768" s="1" t="s">
        <v>171</v>
      </c>
      <c r="B768" s="1" t="s">
        <v>43</v>
      </c>
      <c r="C768" s="1" t="s">
        <v>209</v>
      </c>
      <c r="D768" s="1" t="s">
        <v>230</v>
      </c>
    </row>
    <row r="769" spans="1:4" x14ac:dyDescent="0.25">
      <c r="A769" s="1" t="s">
        <v>171</v>
      </c>
      <c r="B769" s="1" t="s">
        <v>181</v>
      </c>
      <c r="C769" s="1" t="s">
        <v>210</v>
      </c>
      <c r="D769" s="1" t="s">
        <v>78</v>
      </c>
    </row>
    <row r="770" spans="1:4" x14ac:dyDescent="0.25">
      <c r="A770" s="1" t="s">
        <v>171</v>
      </c>
      <c r="B770" s="1" t="s">
        <v>182</v>
      </c>
      <c r="C770" s="1" t="s">
        <v>211</v>
      </c>
      <c r="D770" s="1" t="s">
        <v>275</v>
      </c>
    </row>
    <row r="771" spans="1:4" x14ac:dyDescent="0.25">
      <c r="A771" s="1" t="s">
        <v>171</v>
      </c>
      <c r="B771" s="1" t="s">
        <v>183</v>
      </c>
      <c r="C771" s="1" t="s">
        <v>212</v>
      </c>
      <c r="D771" s="1" t="s">
        <v>95</v>
      </c>
    </row>
    <row r="772" spans="1:4" x14ac:dyDescent="0.25">
      <c r="A772" s="1" t="s">
        <v>171</v>
      </c>
      <c r="B772" s="1" t="s">
        <v>184</v>
      </c>
      <c r="C772" s="1" t="s">
        <v>213</v>
      </c>
      <c r="D772" s="1" t="s">
        <v>227</v>
      </c>
    </row>
    <row r="773" spans="1:4" x14ac:dyDescent="0.25">
      <c r="A773" s="1" t="s">
        <v>171</v>
      </c>
      <c r="B773" s="1" t="s">
        <v>185</v>
      </c>
      <c r="C773" s="1" t="s">
        <v>214</v>
      </c>
      <c r="D773" s="1" t="s">
        <v>78</v>
      </c>
    </row>
    <row r="774" spans="1:4" x14ac:dyDescent="0.25">
      <c r="A774" s="1" t="s">
        <v>171</v>
      </c>
      <c r="B774" s="1" t="s">
        <v>186</v>
      </c>
      <c r="C774" s="1" t="s">
        <v>215</v>
      </c>
      <c r="D774" s="1" t="s">
        <v>275</v>
      </c>
    </row>
    <row r="775" spans="1:4" x14ac:dyDescent="0.25">
      <c r="A775" s="1" t="s">
        <v>171</v>
      </c>
      <c r="B775" s="1" t="s">
        <v>187</v>
      </c>
      <c r="C775" s="1" t="s">
        <v>216</v>
      </c>
      <c r="D775" s="1" t="s">
        <v>287</v>
      </c>
    </row>
    <row r="776" spans="1:4" x14ac:dyDescent="0.25">
      <c r="A776" s="1" t="s">
        <v>171</v>
      </c>
      <c r="B776" s="1" t="s">
        <v>188</v>
      </c>
      <c r="C776" s="1" t="s">
        <v>217</v>
      </c>
      <c r="D776" s="1" t="s">
        <v>78</v>
      </c>
    </row>
    <row r="777" spans="1:4" x14ac:dyDescent="0.25">
      <c r="A777" s="1" t="s">
        <v>171</v>
      </c>
      <c r="B777" s="1" t="s">
        <v>189</v>
      </c>
      <c r="C777" s="1" t="s">
        <v>218</v>
      </c>
      <c r="D777" s="1" t="s">
        <v>78</v>
      </c>
    </row>
    <row r="778" spans="1:4" x14ac:dyDescent="0.25">
      <c r="A778" s="1" t="s">
        <v>171</v>
      </c>
      <c r="B778" s="1" t="s">
        <v>190</v>
      </c>
      <c r="C778" s="1" t="s">
        <v>219</v>
      </c>
      <c r="D778" s="1" t="s">
        <v>233</v>
      </c>
    </row>
    <row r="779" spans="1:4" x14ac:dyDescent="0.25">
      <c r="A779" s="1" t="s">
        <v>171</v>
      </c>
      <c r="B779" s="1" t="s">
        <v>191</v>
      </c>
      <c r="C779" s="1" t="s">
        <v>220</v>
      </c>
      <c r="D779" s="1" t="s">
        <v>141</v>
      </c>
    </row>
    <row r="780" spans="1:4" x14ac:dyDescent="0.25">
      <c r="A780" s="1" t="s">
        <v>171</v>
      </c>
      <c r="B780" s="1" t="s">
        <v>192</v>
      </c>
      <c r="C780" s="1" t="s">
        <v>221</v>
      </c>
      <c r="D780" s="1" t="s">
        <v>332</v>
      </c>
    </row>
    <row r="781" spans="1:4" x14ac:dyDescent="0.25">
      <c r="A781" s="1" t="s">
        <v>171</v>
      </c>
      <c r="B781" s="1" t="s">
        <v>193</v>
      </c>
      <c r="C781" s="1" t="s">
        <v>222</v>
      </c>
      <c r="D781" s="1" t="s">
        <v>275</v>
      </c>
    </row>
    <row r="782" spans="1:4" x14ac:dyDescent="0.25">
      <c r="A782" s="1" t="s">
        <v>171</v>
      </c>
      <c r="B782" s="1"/>
      <c r="C782" s="1"/>
      <c r="D782" s="1"/>
    </row>
    <row r="783" spans="1:4" x14ac:dyDescent="0.25">
      <c r="A783" s="1" t="s">
        <v>172</v>
      </c>
      <c r="B783" s="1" t="s">
        <v>173</v>
      </c>
      <c r="C783" s="1" t="s">
        <v>194</v>
      </c>
      <c r="D783" s="1" t="s">
        <v>78</v>
      </c>
    </row>
    <row r="784" spans="1:4" x14ac:dyDescent="0.25">
      <c r="A784" s="1" t="s">
        <v>172</v>
      </c>
      <c r="B784" s="1" t="s">
        <v>174</v>
      </c>
      <c r="C784" s="1" t="s">
        <v>195</v>
      </c>
      <c r="D784" s="1" t="s">
        <v>78</v>
      </c>
    </row>
    <row r="785" spans="1:4" x14ac:dyDescent="0.25">
      <c r="A785" s="1" t="s">
        <v>172</v>
      </c>
      <c r="B785" s="1" t="s">
        <v>175</v>
      </c>
      <c r="C785" s="1" t="s">
        <v>196</v>
      </c>
      <c r="D785" s="1" t="s">
        <v>97</v>
      </c>
    </row>
    <row r="786" spans="1:4" x14ac:dyDescent="0.25">
      <c r="A786" s="1" t="s">
        <v>172</v>
      </c>
      <c r="B786" s="1" t="s">
        <v>176</v>
      </c>
      <c r="C786" s="1" t="s">
        <v>197</v>
      </c>
      <c r="D786" s="1" t="s">
        <v>223</v>
      </c>
    </row>
    <row r="787" spans="1:4" x14ac:dyDescent="0.25">
      <c r="A787" s="1" t="s">
        <v>172</v>
      </c>
      <c r="B787" s="1" t="s">
        <v>177</v>
      </c>
      <c r="C787" s="1" t="s">
        <v>198</v>
      </c>
      <c r="D787" s="1" t="s">
        <v>95</v>
      </c>
    </row>
    <row r="788" spans="1:4" x14ac:dyDescent="0.25">
      <c r="A788" s="1" t="s">
        <v>172</v>
      </c>
      <c r="B788" s="1" t="s">
        <v>33</v>
      </c>
      <c r="C788" s="1" t="s">
        <v>199</v>
      </c>
      <c r="D788" s="1" t="s">
        <v>419</v>
      </c>
    </row>
    <row r="789" spans="1:4" x14ac:dyDescent="0.25">
      <c r="A789" s="1" t="s">
        <v>172</v>
      </c>
      <c r="B789" s="1" t="s">
        <v>34</v>
      </c>
      <c r="C789" s="1" t="s">
        <v>200</v>
      </c>
      <c r="D789" s="1" t="s">
        <v>420</v>
      </c>
    </row>
    <row r="790" spans="1:4" x14ac:dyDescent="0.25">
      <c r="A790" s="1" t="s">
        <v>172</v>
      </c>
      <c r="B790" s="1" t="s">
        <v>35</v>
      </c>
      <c r="C790" s="1" t="s">
        <v>201</v>
      </c>
      <c r="D790" s="1" t="s">
        <v>421</v>
      </c>
    </row>
    <row r="791" spans="1:4" x14ac:dyDescent="0.25">
      <c r="A791" s="1" t="s">
        <v>172</v>
      </c>
      <c r="B791" s="1" t="s">
        <v>36</v>
      </c>
      <c r="C791" s="1" t="s">
        <v>202</v>
      </c>
      <c r="D791" s="1" t="s">
        <v>422</v>
      </c>
    </row>
    <row r="792" spans="1:4" x14ac:dyDescent="0.25">
      <c r="A792" s="1" t="s">
        <v>172</v>
      </c>
      <c r="B792" s="1" t="s">
        <v>37</v>
      </c>
      <c r="C792" s="1" t="s">
        <v>203</v>
      </c>
      <c r="D792" s="1" t="s">
        <v>240</v>
      </c>
    </row>
    <row r="793" spans="1:4" x14ac:dyDescent="0.25">
      <c r="A793" s="1" t="s">
        <v>172</v>
      </c>
      <c r="B793" s="1" t="s">
        <v>38</v>
      </c>
      <c r="C793" s="1" t="s">
        <v>204</v>
      </c>
      <c r="D793" s="1" t="s">
        <v>423</v>
      </c>
    </row>
    <row r="794" spans="1:4" x14ac:dyDescent="0.25">
      <c r="A794" s="1" t="s">
        <v>172</v>
      </c>
      <c r="B794" s="1" t="s">
        <v>178</v>
      </c>
      <c r="C794" s="1" t="s">
        <v>205</v>
      </c>
      <c r="D794" s="1" t="s">
        <v>262</v>
      </c>
    </row>
    <row r="795" spans="1:4" x14ac:dyDescent="0.25">
      <c r="A795" s="1" t="s">
        <v>172</v>
      </c>
      <c r="B795" s="1" t="s">
        <v>179</v>
      </c>
      <c r="C795" s="1" t="s">
        <v>206</v>
      </c>
      <c r="D795" s="1" t="s">
        <v>307</v>
      </c>
    </row>
    <row r="796" spans="1:4" x14ac:dyDescent="0.25">
      <c r="A796" s="1" t="s">
        <v>172</v>
      </c>
      <c r="B796" s="1" t="s">
        <v>40</v>
      </c>
      <c r="C796" s="1" t="s">
        <v>207</v>
      </c>
      <c r="D796" s="1" t="s">
        <v>424</v>
      </c>
    </row>
    <row r="797" spans="1:4" x14ac:dyDescent="0.25">
      <c r="A797" s="1" t="s">
        <v>172</v>
      </c>
      <c r="B797" s="1" t="s">
        <v>180</v>
      </c>
      <c r="C797" s="1" t="s">
        <v>208</v>
      </c>
      <c r="D797" s="1" t="s">
        <v>95</v>
      </c>
    </row>
    <row r="798" spans="1:4" x14ac:dyDescent="0.25">
      <c r="A798" s="1" t="s">
        <v>172</v>
      </c>
      <c r="B798" s="1" t="s">
        <v>43</v>
      </c>
      <c r="C798" s="1" t="s">
        <v>209</v>
      </c>
      <c r="D798" s="1" t="s">
        <v>425</v>
      </c>
    </row>
    <row r="799" spans="1:4" x14ac:dyDescent="0.25">
      <c r="A799" s="1" t="s">
        <v>172</v>
      </c>
      <c r="B799" s="1" t="s">
        <v>181</v>
      </c>
      <c r="C799" s="1" t="s">
        <v>210</v>
      </c>
      <c r="D799" s="1" t="s">
        <v>145</v>
      </c>
    </row>
    <row r="800" spans="1:4" x14ac:dyDescent="0.25">
      <c r="A800" s="1" t="s">
        <v>172</v>
      </c>
      <c r="B800" s="1" t="s">
        <v>182</v>
      </c>
      <c r="C800" s="1" t="s">
        <v>211</v>
      </c>
      <c r="D800" s="1" t="s">
        <v>245</v>
      </c>
    </row>
    <row r="801" spans="1:4" x14ac:dyDescent="0.25">
      <c r="A801" s="1" t="s">
        <v>172</v>
      </c>
      <c r="B801" s="1" t="s">
        <v>183</v>
      </c>
      <c r="C801" s="1" t="s">
        <v>212</v>
      </c>
      <c r="D801" s="1" t="s">
        <v>145</v>
      </c>
    </row>
    <row r="802" spans="1:4" x14ac:dyDescent="0.25">
      <c r="A802" s="1" t="s">
        <v>172</v>
      </c>
      <c r="B802" s="1" t="s">
        <v>184</v>
      </c>
      <c r="C802" s="1" t="s">
        <v>213</v>
      </c>
      <c r="D802" s="1" t="s">
        <v>258</v>
      </c>
    </row>
    <row r="803" spans="1:4" x14ac:dyDescent="0.25">
      <c r="A803" s="1" t="s">
        <v>172</v>
      </c>
      <c r="B803" s="1" t="s">
        <v>185</v>
      </c>
      <c r="C803" s="1" t="s">
        <v>214</v>
      </c>
      <c r="D803" s="1" t="s">
        <v>78</v>
      </c>
    </row>
    <row r="804" spans="1:4" x14ac:dyDescent="0.25">
      <c r="A804" s="1" t="s">
        <v>172</v>
      </c>
      <c r="B804" s="1" t="s">
        <v>186</v>
      </c>
      <c r="C804" s="1" t="s">
        <v>215</v>
      </c>
      <c r="D804" s="1" t="s">
        <v>233</v>
      </c>
    </row>
    <row r="805" spans="1:4" x14ac:dyDescent="0.25">
      <c r="A805" s="1" t="s">
        <v>172</v>
      </c>
      <c r="B805" s="1" t="s">
        <v>187</v>
      </c>
      <c r="C805" s="1" t="s">
        <v>216</v>
      </c>
      <c r="D805" s="1" t="s">
        <v>289</v>
      </c>
    </row>
    <row r="806" spans="1:4" x14ac:dyDescent="0.25">
      <c r="A806" s="1" t="s">
        <v>172</v>
      </c>
      <c r="B806" s="1" t="s">
        <v>188</v>
      </c>
      <c r="C806" s="1" t="s">
        <v>217</v>
      </c>
      <c r="D806" s="1" t="s">
        <v>78</v>
      </c>
    </row>
    <row r="807" spans="1:4" x14ac:dyDescent="0.25">
      <c r="A807" s="1" t="s">
        <v>172</v>
      </c>
      <c r="B807" s="1" t="s">
        <v>189</v>
      </c>
      <c r="C807" s="1" t="s">
        <v>218</v>
      </c>
      <c r="D807" s="1" t="s">
        <v>78</v>
      </c>
    </row>
    <row r="808" spans="1:4" x14ac:dyDescent="0.25">
      <c r="A808" s="1" t="s">
        <v>172</v>
      </c>
      <c r="B808" s="1" t="s">
        <v>190</v>
      </c>
      <c r="C808" s="1" t="s">
        <v>219</v>
      </c>
      <c r="D808" s="1" t="s">
        <v>134</v>
      </c>
    </row>
    <row r="809" spans="1:4" x14ac:dyDescent="0.25">
      <c r="A809" s="1" t="s">
        <v>172</v>
      </c>
      <c r="B809" s="1" t="s">
        <v>191</v>
      </c>
      <c r="C809" s="1" t="s">
        <v>220</v>
      </c>
      <c r="D809" s="1" t="s">
        <v>426</v>
      </c>
    </row>
    <row r="810" spans="1:4" x14ac:dyDescent="0.25">
      <c r="A810" s="1" t="s">
        <v>172</v>
      </c>
      <c r="B810" s="1" t="s">
        <v>192</v>
      </c>
      <c r="C810" s="1" t="s">
        <v>221</v>
      </c>
      <c r="D810" s="1" t="s">
        <v>427</v>
      </c>
    </row>
    <row r="811" spans="1:4" x14ac:dyDescent="0.25">
      <c r="A811" s="1" t="s">
        <v>172</v>
      </c>
      <c r="B811" s="1" t="s">
        <v>193</v>
      </c>
      <c r="C811" s="1" t="s">
        <v>222</v>
      </c>
      <c r="D811" s="1" t="s">
        <v>233</v>
      </c>
    </row>
    <row r="812" spans="1:4" x14ac:dyDescent="0.25">
      <c r="A812" s="1" t="s">
        <v>172</v>
      </c>
      <c r="B812" s="1"/>
      <c r="C812" s="1"/>
      <c r="D81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B776-7270-4385-9CD3-94F1BC877DDC}">
  <dimension ref="A1:P3894"/>
  <sheetViews>
    <sheetView topLeftCell="A2244" zoomScale="85" zoomScaleNormal="85" workbookViewId="0">
      <selection activeCell="D2267" sqref="A2267:D2267"/>
    </sheetView>
  </sheetViews>
  <sheetFormatPr defaultRowHeight="15" x14ac:dyDescent="0.25"/>
  <cols>
    <col min="1" max="1" width="57" bestFit="1" customWidth="1"/>
    <col min="2" max="2" width="28.7109375" bestFit="1" customWidth="1"/>
    <col min="3" max="3" width="10.28515625" bestFit="1" customWidth="1"/>
    <col min="4" max="4" width="11.5703125" customWidth="1"/>
    <col min="5" max="5" width="20.425781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57" bestFit="1" customWidth="1"/>
    <col min="10" max="10" width="28.7109375" bestFit="1" customWidth="1"/>
    <col min="11" max="12" width="11.140625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6" x14ac:dyDescent="0.25">
      <c r="O2" s="1"/>
      <c r="P2" s="1"/>
    </row>
    <row r="3" spans="1:16" x14ac:dyDescent="0.25">
      <c r="A3" s="1" t="s">
        <v>428</v>
      </c>
      <c r="B3" s="1" t="s">
        <v>174</v>
      </c>
      <c r="C3" s="1" t="s">
        <v>574</v>
      </c>
      <c r="D3" s="1" t="s">
        <v>78</v>
      </c>
      <c r="E3" s="1"/>
      <c r="F3" s="1"/>
      <c r="G3" s="1"/>
      <c r="H3" s="1"/>
      <c r="I3" s="1"/>
      <c r="J3" s="1"/>
      <c r="K3" s="1"/>
      <c r="L3" s="1"/>
      <c r="O3" s="1"/>
      <c r="P3" s="1"/>
    </row>
    <row r="4" spans="1:16" x14ac:dyDescent="0.25">
      <c r="A4" s="1" t="s">
        <v>428</v>
      </c>
      <c r="B4" s="1" t="s">
        <v>563</v>
      </c>
      <c r="C4" s="1" t="s">
        <v>575</v>
      </c>
      <c r="D4" s="1" t="s">
        <v>78</v>
      </c>
      <c r="E4" s="1"/>
      <c r="F4" s="1"/>
      <c r="G4" s="1"/>
      <c r="H4" s="1"/>
      <c r="I4" s="1"/>
      <c r="J4" s="1"/>
      <c r="K4" s="1"/>
      <c r="L4" s="1"/>
      <c r="O4" s="1"/>
      <c r="P4" s="1"/>
    </row>
    <row r="5" spans="1:16" x14ac:dyDescent="0.25">
      <c r="A5" s="1" t="s">
        <v>428</v>
      </c>
      <c r="B5" s="1" t="s">
        <v>564</v>
      </c>
      <c r="C5" s="1" t="s">
        <v>576</v>
      </c>
      <c r="D5" s="1" t="s">
        <v>594</v>
      </c>
      <c r="E5" s="1"/>
      <c r="F5" s="1"/>
      <c r="G5" s="1"/>
      <c r="H5" s="1"/>
      <c r="I5" s="1"/>
      <c r="J5" s="1"/>
      <c r="K5" s="1"/>
      <c r="L5" s="1"/>
      <c r="O5" s="1"/>
      <c r="P5" s="1"/>
    </row>
    <row r="6" spans="1:16" x14ac:dyDescent="0.25">
      <c r="A6" s="1" t="s">
        <v>428</v>
      </c>
      <c r="B6" s="1" t="s">
        <v>565</v>
      </c>
      <c r="C6" s="1" t="s">
        <v>577</v>
      </c>
      <c r="D6" s="1" t="s">
        <v>97</v>
      </c>
      <c r="E6" s="1"/>
      <c r="F6" s="1"/>
      <c r="G6" s="1"/>
      <c r="H6" s="1"/>
      <c r="I6" s="1"/>
      <c r="J6" s="1"/>
      <c r="K6" s="1"/>
      <c r="L6" s="1"/>
      <c r="O6" s="1"/>
      <c r="P6" s="1"/>
    </row>
    <row r="7" spans="1:16" x14ac:dyDescent="0.25">
      <c r="A7" s="1" t="s">
        <v>428</v>
      </c>
      <c r="B7" s="1" t="s">
        <v>566</v>
      </c>
      <c r="C7" s="1" t="s">
        <v>578</v>
      </c>
      <c r="D7" s="1" t="s">
        <v>78</v>
      </c>
      <c r="E7" s="1"/>
      <c r="F7" s="1"/>
      <c r="G7" s="1"/>
      <c r="H7" s="1"/>
      <c r="I7" s="1"/>
      <c r="J7" s="1"/>
      <c r="K7" s="1"/>
      <c r="L7" s="1"/>
      <c r="O7" s="1"/>
      <c r="P7" s="1"/>
    </row>
    <row r="8" spans="1:16" x14ac:dyDescent="0.25">
      <c r="A8" s="1" t="s">
        <v>428</v>
      </c>
      <c r="B8" s="1" t="s">
        <v>33</v>
      </c>
      <c r="C8" s="1" t="s">
        <v>579</v>
      </c>
      <c r="D8" s="1" t="s">
        <v>595</v>
      </c>
      <c r="E8" s="1"/>
      <c r="F8" s="1"/>
      <c r="G8" s="1"/>
      <c r="H8" s="1"/>
      <c r="I8" s="1"/>
      <c r="J8" s="1"/>
      <c r="K8" s="1"/>
      <c r="L8" s="1"/>
      <c r="O8" s="1"/>
      <c r="P8" s="1"/>
    </row>
    <row r="9" spans="1:16" x14ac:dyDescent="0.25">
      <c r="A9" s="1" t="s">
        <v>428</v>
      </c>
      <c r="B9" s="1" t="s">
        <v>34</v>
      </c>
      <c r="C9" s="1" t="s">
        <v>580</v>
      </c>
      <c r="D9" s="1" t="s">
        <v>596</v>
      </c>
      <c r="E9" s="1"/>
      <c r="F9" s="1"/>
      <c r="G9" s="1"/>
      <c r="H9" s="1"/>
      <c r="I9" s="1"/>
      <c r="J9" s="1"/>
      <c r="K9" s="1"/>
      <c r="L9" s="1"/>
      <c r="O9" s="1"/>
      <c r="P9" s="1"/>
    </row>
    <row r="10" spans="1:16" x14ac:dyDescent="0.25">
      <c r="A10" s="1" t="s">
        <v>428</v>
      </c>
      <c r="B10" s="1" t="s">
        <v>35</v>
      </c>
      <c r="C10" s="1" t="s">
        <v>581</v>
      </c>
      <c r="D10" s="1" t="s">
        <v>597</v>
      </c>
      <c r="E10" s="1"/>
      <c r="F10" s="1"/>
      <c r="G10" s="1"/>
      <c r="H10" s="1"/>
      <c r="I10" s="1"/>
      <c r="J10" s="1"/>
      <c r="K10" s="1"/>
      <c r="L10" s="1"/>
      <c r="O10" s="1"/>
      <c r="P10" s="1"/>
    </row>
    <row r="11" spans="1:16" x14ac:dyDescent="0.25">
      <c r="A11" s="1" t="s">
        <v>428</v>
      </c>
      <c r="B11" s="1" t="s">
        <v>36</v>
      </c>
      <c r="C11" s="1" t="s">
        <v>582</v>
      </c>
      <c r="D11" s="1" t="s">
        <v>228</v>
      </c>
      <c r="E11" s="1"/>
      <c r="F11" s="1"/>
      <c r="G11" s="1"/>
      <c r="H11" s="1"/>
      <c r="I11" s="1"/>
      <c r="J11" s="1"/>
      <c r="K11" s="1"/>
      <c r="L11" s="1"/>
      <c r="O11" s="1"/>
      <c r="P11" s="1"/>
    </row>
    <row r="12" spans="1:16" x14ac:dyDescent="0.25">
      <c r="A12" s="1" t="s">
        <v>428</v>
      </c>
      <c r="B12" s="1" t="s">
        <v>37</v>
      </c>
      <c r="C12" s="1" t="s">
        <v>583</v>
      </c>
      <c r="D12" s="1" t="s">
        <v>134</v>
      </c>
      <c r="E12" s="1"/>
      <c r="F12" s="1"/>
      <c r="G12" s="1"/>
      <c r="H12" s="1"/>
      <c r="I12" s="1"/>
      <c r="J12" s="1"/>
      <c r="K12" s="1"/>
      <c r="L12" s="1"/>
      <c r="O12" s="1"/>
      <c r="P12" s="1"/>
    </row>
    <row r="13" spans="1:16" x14ac:dyDescent="0.25">
      <c r="A13" s="1" t="s">
        <v>428</v>
      </c>
      <c r="B13" s="1" t="s">
        <v>38</v>
      </c>
      <c r="C13" s="1" t="s">
        <v>584</v>
      </c>
      <c r="D13" s="1" t="s">
        <v>598</v>
      </c>
      <c r="E13" s="1"/>
      <c r="F13" s="1"/>
      <c r="G13" s="1"/>
      <c r="H13" s="1"/>
      <c r="I13" s="1"/>
      <c r="J13" s="1"/>
      <c r="K13" s="1"/>
      <c r="L13" s="1"/>
      <c r="O13" s="1"/>
      <c r="P13" s="1"/>
    </row>
    <row r="14" spans="1:16" x14ac:dyDescent="0.25">
      <c r="A14" s="1" t="s">
        <v>428</v>
      </c>
      <c r="B14" s="1" t="s">
        <v>39</v>
      </c>
      <c r="C14" s="1" t="s">
        <v>585</v>
      </c>
      <c r="D14" s="1" t="s">
        <v>230</v>
      </c>
      <c r="E14" s="1"/>
      <c r="F14" s="1"/>
      <c r="G14" s="1"/>
      <c r="H14" s="1"/>
      <c r="I14" s="1"/>
      <c r="J14" s="1"/>
      <c r="K14" s="1"/>
      <c r="L14" s="1"/>
      <c r="O14" s="1"/>
      <c r="P14" s="1"/>
    </row>
    <row r="15" spans="1:16" x14ac:dyDescent="0.25">
      <c r="A15" s="1" t="s">
        <v>428</v>
      </c>
      <c r="B15" s="1" t="s">
        <v>567</v>
      </c>
      <c r="C15" s="1" t="s">
        <v>586</v>
      </c>
      <c r="D15" s="1" t="s">
        <v>92</v>
      </c>
      <c r="E15" s="1"/>
      <c r="F15" s="1"/>
      <c r="G15" s="1"/>
      <c r="H15" s="1"/>
      <c r="I15" s="1"/>
      <c r="J15" s="1"/>
      <c r="K15" s="1"/>
      <c r="L15" s="1"/>
      <c r="O15" s="1"/>
      <c r="P15" s="1"/>
    </row>
    <row r="16" spans="1:16" x14ac:dyDescent="0.25">
      <c r="A16" s="1" t="s">
        <v>428</v>
      </c>
      <c r="B16" s="1" t="s">
        <v>568</v>
      </c>
      <c r="C16" s="1" t="s">
        <v>587</v>
      </c>
      <c r="D16" s="1" t="s">
        <v>78</v>
      </c>
      <c r="E16" s="1"/>
      <c r="F16" s="1"/>
      <c r="G16" s="1"/>
      <c r="H16" s="1"/>
      <c r="I16" s="1"/>
      <c r="J16" s="1"/>
      <c r="K16" s="1"/>
      <c r="L16" s="1"/>
      <c r="O16" s="1"/>
      <c r="P16" s="1"/>
    </row>
    <row r="17" spans="1:16" x14ac:dyDescent="0.25">
      <c r="A17" s="1" t="s">
        <v>428</v>
      </c>
      <c r="B17" s="1" t="s">
        <v>40</v>
      </c>
      <c r="C17" s="1" t="s">
        <v>588</v>
      </c>
      <c r="D17" s="1" t="s">
        <v>599</v>
      </c>
      <c r="E17" s="1"/>
      <c r="F17" s="1"/>
      <c r="G17" s="1"/>
      <c r="H17" s="1"/>
      <c r="I17" s="1"/>
      <c r="J17" s="1"/>
      <c r="K17" s="1"/>
      <c r="L17" s="1"/>
      <c r="O17" s="1"/>
      <c r="P17" s="1"/>
    </row>
    <row r="18" spans="1:16" x14ac:dyDescent="0.25">
      <c r="A18" s="1" t="s">
        <v>428</v>
      </c>
      <c r="B18" s="1" t="s">
        <v>569</v>
      </c>
      <c r="C18" s="1" t="s">
        <v>589</v>
      </c>
      <c r="D18" s="1" t="s">
        <v>78</v>
      </c>
      <c r="E18" s="1"/>
      <c r="F18" s="1"/>
      <c r="G18" s="1"/>
      <c r="H18" s="1"/>
      <c r="I18" s="1"/>
      <c r="J18" s="1"/>
      <c r="K18" s="1"/>
      <c r="L18" s="1"/>
      <c r="O18" s="1"/>
      <c r="P18" s="1"/>
    </row>
    <row r="19" spans="1:16" x14ac:dyDescent="0.25">
      <c r="A19" s="1" t="s">
        <v>428</v>
      </c>
      <c r="B19" s="1" t="s">
        <v>570</v>
      </c>
      <c r="C19" s="1" t="s">
        <v>590</v>
      </c>
      <c r="D19" s="1" t="s">
        <v>95</v>
      </c>
      <c r="E19" s="1"/>
      <c r="F19" s="1"/>
      <c r="G19" s="1"/>
      <c r="H19" s="1"/>
      <c r="I19" s="1"/>
      <c r="J19" s="1"/>
      <c r="K19" s="1"/>
      <c r="L19" s="1"/>
      <c r="O19" s="1"/>
      <c r="P19" s="1"/>
    </row>
    <row r="20" spans="1:16" x14ac:dyDescent="0.25">
      <c r="A20" s="1" t="s">
        <v>428</v>
      </c>
      <c r="B20" s="1" t="s">
        <v>571</v>
      </c>
      <c r="C20" s="1" t="s">
        <v>591</v>
      </c>
      <c r="D20" s="1" t="s">
        <v>223</v>
      </c>
      <c r="E20" s="1"/>
      <c r="F20" s="1"/>
      <c r="G20" s="1"/>
      <c r="H20" s="1"/>
      <c r="I20" s="1"/>
      <c r="J20" s="1"/>
      <c r="K20" s="1"/>
      <c r="L20" s="1"/>
      <c r="O20" s="1"/>
      <c r="P20" s="1"/>
    </row>
    <row r="21" spans="1:16" x14ac:dyDescent="0.25">
      <c r="A21" s="1" t="s">
        <v>428</v>
      </c>
      <c r="B21" s="1" t="s">
        <v>572</v>
      </c>
      <c r="C21" s="1" t="s">
        <v>592</v>
      </c>
      <c r="D21" s="1" t="s">
        <v>78</v>
      </c>
      <c r="E21" s="1"/>
      <c r="F21" s="1"/>
      <c r="G21" s="1"/>
      <c r="H21" s="1"/>
      <c r="I21" s="1"/>
      <c r="J21" s="1"/>
      <c r="K21" s="1"/>
      <c r="L21" s="1"/>
      <c r="O21" s="1"/>
      <c r="P21" s="1"/>
    </row>
    <row r="22" spans="1:16" x14ac:dyDescent="0.25">
      <c r="A22" s="1" t="s">
        <v>428</v>
      </c>
      <c r="B22" s="1" t="s">
        <v>573</v>
      </c>
      <c r="C22" s="1" t="s">
        <v>593</v>
      </c>
      <c r="D22" s="1" t="s">
        <v>223</v>
      </c>
      <c r="E22" s="1"/>
      <c r="F22" s="1"/>
      <c r="G22" s="1"/>
      <c r="H22" s="1"/>
      <c r="I22" s="1"/>
      <c r="J22" s="1"/>
      <c r="K22" s="1"/>
      <c r="L22" s="1"/>
      <c r="O22" s="1"/>
      <c r="P22" s="1"/>
    </row>
    <row r="23" spans="1:16" x14ac:dyDescent="0.25">
      <c r="A23" s="1" t="s">
        <v>429</v>
      </c>
      <c r="B23" s="1" t="s">
        <v>174</v>
      </c>
      <c r="C23" s="1" t="s">
        <v>574</v>
      </c>
      <c r="D23" s="1" t="s">
        <v>97</v>
      </c>
      <c r="E23" s="1"/>
      <c r="F23" s="1"/>
      <c r="G23" s="1"/>
      <c r="H23" s="1"/>
      <c r="I23" s="1"/>
      <c r="J23" s="1"/>
      <c r="K23" s="1"/>
      <c r="L23" s="1"/>
      <c r="O23" s="1"/>
      <c r="P23" s="1"/>
    </row>
    <row r="24" spans="1:16" x14ac:dyDescent="0.25">
      <c r="A24" s="1" t="s">
        <v>429</v>
      </c>
      <c r="B24" s="1" t="s">
        <v>563</v>
      </c>
      <c r="C24" s="1" t="s">
        <v>575</v>
      </c>
      <c r="D24" s="1" t="s">
        <v>78</v>
      </c>
      <c r="E24" s="1"/>
      <c r="F24" s="1"/>
      <c r="G24" s="1"/>
      <c r="H24" s="1"/>
      <c r="I24" s="1"/>
      <c r="J24" s="1"/>
      <c r="K24" s="1"/>
      <c r="L24" s="1"/>
      <c r="O24" s="1"/>
      <c r="P24" s="1"/>
    </row>
    <row r="25" spans="1:16" x14ac:dyDescent="0.25">
      <c r="A25" s="1" t="s">
        <v>429</v>
      </c>
      <c r="B25" s="1" t="s">
        <v>564</v>
      </c>
      <c r="C25" s="1" t="s">
        <v>576</v>
      </c>
      <c r="D25" s="1" t="s">
        <v>600</v>
      </c>
      <c r="E25" s="1"/>
      <c r="F25" s="1"/>
      <c r="G25" s="1"/>
      <c r="H25" s="1"/>
      <c r="I25" s="1"/>
      <c r="J25" s="1"/>
      <c r="K25" s="1"/>
      <c r="L25" s="1"/>
      <c r="O25" s="1"/>
      <c r="P25" s="1"/>
    </row>
    <row r="26" spans="1:16" x14ac:dyDescent="0.25">
      <c r="A26" s="1" t="s">
        <v>429</v>
      </c>
      <c r="B26" s="1" t="s">
        <v>565</v>
      </c>
      <c r="C26" s="1" t="s">
        <v>577</v>
      </c>
      <c r="D26" s="1" t="s">
        <v>262</v>
      </c>
      <c r="E26" s="1"/>
      <c r="F26" s="1"/>
      <c r="G26" s="1"/>
      <c r="H26" s="1"/>
      <c r="I26" s="1"/>
      <c r="J26" s="1"/>
      <c r="K26" s="1"/>
      <c r="L26" s="1"/>
      <c r="O26" s="1"/>
      <c r="P26" s="1"/>
    </row>
    <row r="27" spans="1:16" x14ac:dyDescent="0.25">
      <c r="A27" s="1" t="s">
        <v>429</v>
      </c>
      <c r="B27" s="1" t="s">
        <v>566</v>
      </c>
      <c r="C27" s="1" t="s">
        <v>578</v>
      </c>
      <c r="D27" s="1" t="s">
        <v>95</v>
      </c>
      <c r="E27" s="1"/>
      <c r="F27" s="1"/>
      <c r="G27" s="1"/>
      <c r="H27" s="1"/>
      <c r="I27" s="1"/>
      <c r="J27" s="1"/>
      <c r="K27" s="1"/>
      <c r="L27" s="1"/>
      <c r="O27" s="1"/>
      <c r="P27" s="1"/>
    </row>
    <row r="28" spans="1:16" x14ac:dyDescent="0.25">
      <c r="A28" s="1" t="s">
        <v>429</v>
      </c>
      <c r="B28" s="1" t="s">
        <v>33</v>
      </c>
      <c r="C28" s="1" t="s">
        <v>579</v>
      </c>
      <c r="D28" s="1" t="s">
        <v>601</v>
      </c>
      <c r="E28" s="1"/>
      <c r="F28" s="1"/>
      <c r="G28" s="1"/>
      <c r="H28" s="1"/>
      <c r="I28" s="1"/>
      <c r="J28" s="1"/>
      <c r="K28" s="1"/>
      <c r="L28" s="1"/>
      <c r="O28" s="1"/>
      <c r="P28" s="1"/>
    </row>
    <row r="29" spans="1:16" x14ac:dyDescent="0.25">
      <c r="A29" s="1" t="s">
        <v>429</v>
      </c>
      <c r="B29" s="1" t="s">
        <v>34</v>
      </c>
      <c r="C29" s="1" t="s">
        <v>580</v>
      </c>
      <c r="D29" s="1" t="s">
        <v>602</v>
      </c>
      <c r="E29" s="1"/>
      <c r="F29" s="1"/>
      <c r="G29" s="1"/>
      <c r="H29" s="1"/>
      <c r="I29" s="1"/>
      <c r="J29" s="1"/>
      <c r="K29" s="1"/>
      <c r="L29" s="1"/>
      <c r="O29" s="1"/>
      <c r="P29" s="1"/>
    </row>
    <row r="30" spans="1:16" x14ac:dyDescent="0.25">
      <c r="A30" s="1" t="s">
        <v>429</v>
      </c>
      <c r="B30" s="1" t="s">
        <v>35</v>
      </c>
      <c r="C30" s="1" t="s">
        <v>581</v>
      </c>
      <c r="D30" s="1" t="s">
        <v>603</v>
      </c>
      <c r="E30" s="1"/>
      <c r="F30" s="1"/>
      <c r="G30" s="1"/>
      <c r="H30" s="1"/>
      <c r="I30" s="1"/>
      <c r="J30" s="1"/>
      <c r="K30" s="1"/>
      <c r="L30" s="1"/>
      <c r="O30" s="1"/>
      <c r="P30" s="1"/>
    </row>
    <row r="31" spans="1:16" x14ac:dyDescent="0.25">
      <c r="A31" s="1" t="s">
        <v>429</v>
      </c>
      <c r="B31" s="1" t="s">
        <v>36</v>
      </c>
      <c r="C31" s="1" t="s">
        <v>582</v>
      </c>
      <c r="D31" s="1" t="s">
        <v>604</v>
      </c>
      <c r="E31" s="1"/>
      <c r="F31" s="1"/>
      <c r="G31" s="1"/>
      <c r="H31" s="1"/>
      <c r="I31" s="1"/>
      <c r="J31" s="1"/>
      <c r="K31" s="1"/>
      <c r="L31" s="1"/>
      <c r="O31" s="1"/>
      <c r="P31" s="1"/>
    </row>
    <row r="32" spans="1:16" x14ac:dyDescent="0.25">
      <c r="A32" s="1" t="s">
        <v>429</v>
      </c>
      <c r="B32" s="1" t="s">
        <v>37</v>
      </c>
      <c r="C32" s="1" t="s">
        <v>583</v>
      </c>
      <c r="D32" s="1" t="s">
        <v>390</v>
      </c>
      <c r="E32" s="1"/>
      <c r="F32" s="1"/>
      <c r="G32" s="1"/>
      <c r="H32" s="1"/>
      <c r="I32" s="1"/>
      <c r="J32" s="1"/>
      <c r="K32" s="1"/>
      <c r="L32" s="1"/>
      <c r="O32" s="1"/>
      <c r="P32" s="1"/>
    </row>
    <row r="33" spans="1:16" x14ac:dyDescent="0.25">
      <c r="A33" s="1" t="s">
        <v>429</v>
      </c>
      <c r="B33" s="1" t="s">
        <v>38</v>
      </c>
      <c r="C33" s="1" t="s">
        <v>584</v>
      </c>
      <c r="D33" s="1" t="s">
        <v>605</v>
      </c>
      <c r="E33" s="1"/>
      <c r="F33" s="1"/>
      <c r="G33" s="1"/>
      <c r="H33" s="1"/>
      <c r="I33" s="1"/>
      <c r="J33" s="1"/>
      <c r="K33" s="1"/>
      <c r="L33" s="1"/>
      <c r="O33" s="1"/>
      <c r="P33" s="1"/>
    </row>
    <row r="34" spans="1:16" x14ac:dyDescent="0.25">
      <c r="A34" s="1" t="s">
        <v>429</v>
      </c>
      <c r="B34" s="1" t="s">
        <v>39</v>
      </c>
      <c r="C34" s="1" t="s">
        <v>585</v>
      </c>
      <c r="D34" s="1" t="s">
        <v>242</v>
      </c>
      <c r="E34" s="1"/>
      <c r="F34" s="1"/>
      <c r="G34" s="1"/>
      <c r="H34" s="1"/>
      <c r="I34" s="1"/>
      <c r="J34" s="1"/>
      <c r="K34" s="1"/>
      <c r="L34" s="1"/>
      <c r="O34" s="1"/>
      <c r="P34" s="1"/>
    </row>
    <row r="35" spans="1:16" x14ac:dyDescent="0.25">
      <c r="A35" s="1" t="s">
        <v>429</v>
      </c>
      <c r="B35" s="1" t="s">
        <v>567</v>
      </c>
      <c r="C35" s="1" t="s">
        <v>586</v>
      </c>
      <c r="D35" s="1" t="s">
        <v>92</v>
      </c>
      <c r="E35" s="1"/>
      <c r="F35" s="1"/>
      <c r="G35" s="1"/>
      <c r="H35" s="1"/>
      <c r="I35" s="1"/>
      <c r="J35" s="1"/>
      <c r="K35" s="1"/>
      <c r="L35" s="1"/>
      <c r="O35" s="1"/>
      <c r="P35" s="1"/>
    </row>
    <row r="36" spans="1:16" x14ac:dyDescent="0.25">
      <c r="A36" s="1" t="s">
        <v>429</v>
      </c>
      <c r="B36" s="1" t="s">
        <v>568</v>
      </c>
      <c r="C36" s="1" t="s">
        <v>587</v>
      </c>
      <c r="D36" s="1" t="s">
        <v>95</v>
      </c>
      <c r="E36" s="1"/>
      <c r="F36" s="1"/>
      <c r="G36" s="1"/>
      <c r="H36" s="1"/>
      <c r="I36" s="1"/>
      <c r="J36" s="1"/>
      <c r="K36" s="1"/>
      <c r="L36" s="1"/>
      <c r="O36" s="1"/>
      <c r="P36" s="1"/>
    </row>
    <row r="37" spans="1:16" x14ac:dyDescent="0.25">
      <c r="A37" s="1" t="s">
        <v>429</v>
      </c>
      <c r="B37" s="1" t="s">
        <v>40</v>
      </c>
      <c r="C37" s="1" t="s">
        <v>588</v>
      </c>
      <c r="D37" s="1" t="s">
        <v>606</v>
      </c>
      <c r="E37" s="1"/>
      <c r="F37" s="1"/>
      <c r="G37" s="1"/>
      <c r="H37" s="1"/>
      <c r="I37" s="1"/>
      <c r="J37" s="1"/>
      <c r="K37" s="1"/>
      <c r="L37" s="1"/>
      <c r="O37" s="1"/>
      <c r="P37" s="1"/>
    </row>
    <row r="38" spans="1:16" x14ac:dyDescent="0.25">
      <c r="A38" s="1" t="s">
        <v>429</v>
      </c>
      <c r="B38" s="1" t="s">
        <v>569</v>
      </c>
      <c r="C38" s="1" t="s">
        <v>589</v>
      </c>
      <c r="D38" s="1" t="s">
        <v>95</v>
      </c>
      <c r="E38" s="1"/>
      <c r="F38" s="1"/>
      <c r="G38" s="1"/>
      <c r="H38" s="1"/>
      <c r="I38" s="1"/>
      <c r="J38" s="1"/>
      <c r="K38" s="1"/>
      <c r="L38" s="1"/>
      <c r="O38" s="1"/>
      <c r="P38" s="1"/>
    </row>
    <row r="39" spans="1:16" x14ac:dyDescent="0.25">
      <c r="A39" s="1" t="s">
        <v>429</v>
      </c>
      <c r="B39" s="1" t="s">
        <v>570</v>
      </c>
      <c r="C39" s="1" t="s">
        <v>590</v>
      </c>
      <c r="D39" s="1" t="s">
        <v>245</v>
      </c>
      <c r="E39" s="1"/>
      <c r="F39" s="1"/>
      <c r="G39" s="1"/>
      <c r="H39" s="1"/>
      <c r="I39" s="1"/>
      <c r="J39" s="1"/>
      <c r="K39" s="1"/>
      <c r="L39" s="1"/>
      <c r="O39" s="1"/>
      <c r="P39" s="1"/>
    </row>
    <row r="40" spans="1:16" x14ac:dyDescent="0.25">
      <c r="A40" s="1" t="s">
        <v>429</v>
      </c>
      <c r="B40" s="1" t="s">
        <v>571</v>
      </c>
      <c r="C40" s="1" t="s">
        <v>591</v>
      </c>
      <c r="D40" s="1" t="s">
        <v>233</v>
      </c>
      <c r="E40" s="1"/>
      <c r="F40" s="1"/>
      <c r="G40" s="1"/>
      <c r="H40" s="1"/>
      <c r="I40" s="1"/>
      <c r="J40" s="1"/>
      <c r="K40" s="1"/>
      <c r="L40" s="1"/>
      <c r="O40" s="1"/>
      <c r="P40" s="1"/>
    </row>
    <row r="41" spans="1:16" x14ac:dyDescent="0.25">
      <c r="A41" s="1" t="s">
        <v>429</v>
      </c>
      <c r="B41" s="1" t="s">
        <v>572</v>
      </c>
      <c r="C41" s="1" t="s">
        <v>592</v>
      </c>
      <c r="D41" s="1" t="s">
        <v>232</v>
      </c>
      <c r="E41" s="1"/>
      <c r="F41" s="1"/>
      <c r="G41" s="1"/>
      <c r="H41" s="1"/>
      <c r="I41" s="1"/>
      <c r="J41" s="1"/>
      <c r="K41" s="1"/>
      <c r="L41" s="1"/>
      <c r="O41" s="1"/>
      <c r="P41" s="1"/>
    </row>
    <row r="42" spans="1:16" x14ac:dyDescent="0.25">
      <c r="A42" s="1" t="s">
        <v>429</v>
      </c>
      <c r="B42" s="1" t="s">
        <v>573</v>
      </c>
      <c r="C42" s="1" t="s">
        <v>593</v>
      </c>
      <c r="D42" s="1" t="s">
        <v>223</v>
      </c>
      <c r="E42" s="1"/>
      <c r="F42" s="1"/>
      <c r="G42" s="1"/>
      <c r="H42" s="1"/>
      <c r="I42" s="1"/>
      <c r="J42" s="1"/>
      <c r="K42" s="1"/>
      <c r="L42" s="1"/>
      <c r="O42" s="1"/>
      <c r="P42" s="1"/>
    </row>
    <row r="43" spans="1:16" x14ac:dyDescent="0.25">
      <c r="A43" s="1" t="s">
        <v>430</v>
      </c>
      <c r="B43" s="1" t="s">
        <v>174</v>
      </c>
      <c r="C43" s="1" t="s">
        <v>574</v>
      </c>
      <c r="D43" s="1" t="s">
        <v>97</v>
      </c>
      <c r="E43" s="1"/>
      <c r="F43" s="1"/>
      <c r="G43" s="1"/>
      <c r="H43" s="1"/>
      <c r="I43" s="1"/>
      <c r="J43" s="1"/>
      <c r="K43" s="1"/>
      <c r="L43" s="1"/>
      <c r="O43" s="1"/>
      <c r="P43" s="1"/>
    </row>
    <row r="44" spans="1:16" x14ac:dyDescent="0.25">
      <c r="A44" s="1" t="s">
        <v>430</v>
      </c>
      <c r="B44" s="1" t="s">
        <v>563</v>
      </c>
      <c r="C44" s="1" t="s">
        <v>575</v>
      </c>
      <c r="D44" s="1" t="s">
        <v>78</v>
      </c>
      <c r="E44" s="1"/>
      <c r="F44" s="1"/>
      <c r="G44" s="1"/>
      <c r="H44" s="1"/>
      <c r="I44" s="1"/>
      <c r="J44" s="1"/>
      <c r="K44" s="1"/>
      <c r="L44" s="1"/>
      <c r="O44" s="1"/>
      <c r="P44" s="1"/>
    </row>
    <row r="45" spans="1:16" x14ac:dyDescent="0.25">
      <c r="A45" s="1" t="s">
        <v>430</v>
      </c>
      <c r="B45" s="1" t="s">
        <v>564</v>
      </c>
      <c r="C45" s="1" t="s">
        <v>576</v>
      </c>
      <c r="D45" s="1" t="s">
        <v>600</v>
      </c>
      <c r="E45" s="1"/>
      <c r="F45" s="1"/>
      <c r="G45" s="1"/>
      <c r="H45" s="1"/>
      <c r="I45" s="1"/>
      <c r="J45" s="1"/>
      <c r="K45" s="1"/>
      <c r="L45" s="1"/>
      <c r="O45" s="1"/>
      <c r="P45" s="1"/>
    </row>
    <row r="46" spans="1:16" x14ac:dyDescent="0.25">
      <c r="A46" s="1" t="s">
        <v>430</v>
      </c>
      <c r="B46" s="1" t="s">
        <v>565</v>
      </c>
      <c r="C46" s="1" t="s">
        <v>577</v>
      </c>
      <c r="D46" s="1" t="s">
        <v>262</v>
      </c>
      <c r="E46" s="1"/>
      <c r="F46" s="1"/>
      <c r="G46" s="1"/>
      <c r="H46" s="1"/>
      <c r="I46" s="1"/>
      <c r="J46" s="1"/>
      <c r="K46" s="1"/>
      <c r="L46" s="1"/>
      <c r="O46" s="1"/>
      <c r="P46" s="1"/>
    </row>
    <row r="47" spans="1:16" x14ac:dyDescent="0.25">
      <c r="A47" s="1" t="s">
        <v>430</v>
      </c>
      <c r="B47" s="1" t="s">
        <v>566</v>
      </c>
      <c r="C47" s="1" t="s">
        <v>578</v>
      </c>
      <c r="D47" s="1" t="s">
        <v>95</v>
      </c>
      <c r="E47" s="1"/>
      <c r="F47" s="1"/>
      <c r="G47" s="1"/>
      <c r="H47" s="1"/>
      <c r="I47" s="1"/>
      <c r="J47" s="1"/>
      <c r="K47" s="1"/>
      <c r="L47" s="1"/>
      <c r="O47" s="1"/>
      <c r="P47" s="1"/>
    </row>
    <row r="48" spans="1:16" x14ac:dyDescent="0.25">
      <c r="A48" s="1" t="s">
        <v>430</v>
      </c>
      <c r="B48" s="1" t="s">
        <v>33</v>
      </c>
      <c r="C48" s="1" t="s">
        <v>579</v>
      </c>
      <c r="D48" s="1" t="s">
        <v>601</v>
      </c>
      <c r="E48" s="1"/>
      <c r="F48" s="1"/>
      <c r="G48" s="1"/>
      <c r="H48" s="1"/>
      <c r="I48" s="1"/>
      <c r="J48" s="1"/>
      <c r="K48" s="1"/>
      <c r="L48" s="1"/>
      <c r="O48" s="1"/>
      <c r="P48" s="1"/>
    </row>
    <row r="49" spans="1:16" x14ac:dyDescent="0.25">
      <c r="A49" s="1" t="s">
        <v>430</v>
      </c>
      <c r="B49" s="1" t="s">
        <v>34</v>
      </c>
      <c r="C49" s="1" t="s">
        <v>580</v>
      </c>
      <c r="D49" s="1" t="s">
        <v>602</v>
      </c>
      <c r="E49" s="1"/>
      <c r="F49" s="1"/>
      <c r="G49" s="1"/>
      <c r="H49" s="1"/>
      <c r="I49" s="1"/>
      <c r="J49" s="1"/>
      <c r="K49" s="1"/>
      <c r="L49" s="1"/>
      <c r="O49" s="1"/>
      <c r="P49" s="1"/>
    </row>
    <row r="50" spans="1:16" x14ac:dyDescent="0.25">
      <c r="A50" s="1" t="s">
        <v>430</v>
      </c>
      <c r="B50" s="1" t="s">
        <v>35</v>
      </c>
      <c r="C50" s="1" t="s">
        <v>581</v>
      </c>
      <c r="D50" s="1" t="s">
        <v>603</v>
      </c>
      <c r="E50" s="1"/>
      <c r="F50" s="1"/>
      <c r="G50" s="1"/>
      <c r="H50" s="1"/>
      <c r="I50" s="1"/>
      <c r="J50" s="1"/>
      <c r="K50" s="1"/>
      <c r="L50" s="1"/>
      <c r="O50" s="1"/>
      <c r="P50" s="1"/>
    </row>
    <row r="51" spans="1:16" x14ac:dyDescent="0.25">
      <c r="A51" s="1" t="s">
        <v>430</v>
      </c>
      <c r="B51" s="1" t="s">
        <v>36</v>
      </c>
      <c r="C51" s="1" t="s">
        <v>582</v>
      </c>
      <c r="D51" s="1" t="s">
        <v>604</v>
      </c>
      <c r="E51" s="1"/>
      <c r="F51" s="1"/>
      <c r="G51" s="1"/>
      <c r="H51" s="1"/>
      <c r="I51" s="1"/>
      <c r="J51" s="1"/>
      <c r="K51" s="1"/>
      <c r="L51" s="1"/>
      <c r="O51" s="1"/>
      <c r="P51" s="1"/>
    </row>
    <row r="52" spans="1:16" x14ac:dyDescent="0.25">
      <c r="A52" s="1" t="s">
        <v>430</v>
      </c>
      <c r="B52" s="1" t="s">
        <v>37</v>
      </c>
      <c r="C52" s="1" t="s">
        <v>583</v>
      </c>
      <c r="D52" s="1" t="s">
        <v>390</v>
      </c>
      <c r="E52" s="1"/>
      <c r="F52" s="1"/>
      <c r="G52" s="1"/>
      <c r="H52" s="1"/>
      <c r="I52" s="1"/>
      <c r="J52" s="1"/>
      <c r="K52" s="1"/>
      <c r="L52" s="1"/>
      <c r="O52" s="1"/>
      <c r="P52" s="1"/>
    </row>
    <row r="53" spans="1:16" x14ac:dyDescent="0.25">
      <c r="A53" s="1" t="s">
        <v>430</v>
      </c>
      <c r="B53" s="1" t="s">
        <v>38</v>
      </c>
      <c r="C53" s="1" t="s">
        <v>584</v>
      </c>
      <c r="D53" s="1" t="s">
        <v>605</v>
      </c>
      <c r="E53" s="1"/>
      <c r="F53" s="1"/>
      <c r="G53" s="1"/>
      <c r="H53" s="1"/>
      <c r="I53" s="1"/>
      <c r="J53" s="1"/>
      <c r="K53" s="1"/>
      <c r="L53" s="1"/>
      <c r="O53" s="1"/>
      <c r="P53" s="1"/>
    </row>
    <row r="54" spans="1:16" x14ac:dyDescent="0.25">
      <c r="A54" s="1" t="s">
        <v>430</v>
      </c>
      <c r="B54" s="1" t="s">
        <v>39</v>
      </c>
      <c r="C54" s="1" t="s">
        <v>585</v>
      </c>
      <c r="D54" s="1" t="s">
        <v>242</v>
      </c>
      <c r="E54" s="1"/>
      <c r="F54" s="1"/>
      <c r="G54" s="1"/>
      <c r="H54" s="1"/>
      <c r="I54" s="1"/>
      <c r="J54" s="1"/>
      <c r="K54" s="1"/>
      <c r="L54" s="1"/>
      <c r="O54" s="1"/>
      <c r="P54" s="1"/>
    </row>
    <row r="55" spans="1:16" x14ac:dyDescent="0.25">
      <c r="A55" s="1" t="s">
        <v>430</v>
      </c>
      <c r="B55" s="1" t="s">
        <v>567</v>
      </c>
      <c r="C55" s="1" t="s">
        <v>586</v>
      </c>
      <c r="D55" s="1" t="s">
        <v>92</v>
      </c>
      <c r="E55" s="1"/>
      <c r="F55" s="1"/>
      <c r="G55" s="1"/>
      <c r="H55" s="1"/>
      <c r="I55" s="1"/>
      <c r="J55" s="1"/>
      <c r="K55" s="1"/>
      <c r="L55" s="1"/>
      <c r="O55" s="1"/>
      <c r="P55" s="1"/>
    </row>
    <row r="56" spans="1:16" x14ac:dyDescent="0.25">
      <c r="A56" s="1" t="s">
        <v>430</v>
      </c>
      <c r="B56" s="1" t="s">
        <v>568</v>
      </c>
      <c r="C56" s="1" t="s">
        <v>587</v>
      </c>
      <c r="D56" s="1" t="s">
        <v>95</v>
      </c>
      <c r="E56" s="1"/>
      <c r="F56" s="1"/>
      <c r="G56" s="1"/>
      <c r="H56" s="1"/>
      <c r="I56" s="1"/>
      <c r="J56" s="1"/>
      <c r="K56" s="1"/>
      <c r="L56" s="1"/>
      <c r="O56" s="1"/>
      <c r="P56" s="1"/>
    </row>
    <row r="57" spans="1:16" x14ac:dyDescent="0.25">
      <c r="A57" s="1" t="s">
        <v>430</v>
      </c>
      <c r="B57" s="1" t="s">
        <v>40</v>
      </c>
      <c r="C57" s="1" t="s">
        <v>588</v>
      </c>
      <c r="D57" s="1" t="s">
        <v>606</v>
      </c>
      <c r="E57" s="1"/>
      <c r="F57" s="1"/>
      <c r="G57" s="1"/>
      <c r="H57" s="1"/>
      <c r="I57" s="1"/>
      <c r="J57" s="1"/>
      <c r="K57" s="1"/>
      <c r="L57" s="1"/>
      <c r="O57" s="1"/>
      <c r="P57" s="1"/>
    </row>
    <row r="58" spans="1:16" x14ac:dyDescent="0.25">
      <c r="A58" s="1" t="s">
        <v>430</v>
      </c>
      <c r="B58" s="1" t="s">
        <v>569</v>
      </c>
      <c r="C58" s="1" t="s">
        <v>589</v>
      </c>
      <c r="D58" s="1" t="s">
        <v>95</v>
      </c>
      <c r="E58" s="1"/>
      <c r="F58" s="1"/>
      <c r="G58" s="1"/>
      <c r="H58" s="1"/>
      <c r="I58" s="1"/>
      <c r="J58" s="1"/>
      <c r="K58" s="1"/>
      <c r="L58" s="1"/>
      <c r="O58" s="1"/>
      <c r="P58" s="1"/>
    </row>
    <row r="59" spans="1:16" x14ac:dyDescent="0.25">
      <c r="A59" s="1" t="s">
        <v>430</v>
      </c>
      <c r="B59" s="1" t="s">
        <v>570</v>
      </c>
      <c r="C59" s="1" t="s">
        <v>590</v>
      </c>
      <c r="D59" s="1" t="s">
        <v>245</v>
      </c>
      <c r="E59" s="1"/>
      <c r="F59" s="1"/>
      <c r="G59" s="1"/>
      <c r="H59" s="1"/>
      <c r="I59" s="1"/>
      <c r="J59" s="1"/>
      <c r="K59" s="1"/>
      <c r="L59" s="1"/>
      <c r="O59" s="1"/>
      <c r="P59" s="1"/>
    </row>
    <row r="60" spans="1:16" x14ac:dyDescent="0.25">
      <c r="A60" s="1" t="s">
        <v>430</v>
      </c>
      <c r="B60" s="1" t="s">
        <v>571</v>
      </c>
      <c r="C60" s="1" t="s">
        <v>591</v>
      </c>
      <c r="D60" s="1" t="s">
        <v>233</v>
      </c>
      <c r="E60" s="1"/>
      <c r="F60" s="1"/>
      <c r="G60" s="1"/>
      <c r="H60" s="1"/>
      <c r="I60" s="1"/>
      <c r="J60" s="1"/>
      <c r="K60" s="1"/>
      <c r="L60" s="1"/>
      <c r="O60" s="1"/>
      <c r="P60" s="1"/>
    </row>
    <row r="61" spans="1:16" x14ac:dyDescent="0.25">
      <c r="A61" s="1" t="s">
        <v>430</v>
      </c>
      <c r="B61" s="1" t="s">
        <v>572</v>
      </c>
      <c r="C61" s="1" t="s">
        <v>592</v>
      </c>
      <c r="D61" s="1" t="s">
        <v>232</v>
      </c>
      <c r="E61" s="1"/>
      <c r="F61" s="1"/>
      <c r="G61" s="1"/>
      <c r="H61" s="1"/>
      <c r="I61" s="1"/>
      <c r="J61" s="1"/>
      <c r="K61" s="1"/>
      <c r="L61" s="1"/>
      <c r="P61" s="1"/>
    </row>
    <row r="62" spans="1:16" x14ac:dyDescent="0.25">
      <c r="A62" s="1" t="s">
        <v>430</v>
      </c>
      <c r="B62" s="1" t="s">
        <v>573</v>
      </c>
      <c r="C62" s="1" t="s">
        <v>593</v>
      </c>
      <c r="D62" s="1" t="s">
        <v>223</v>
      </c>
      <c r="E62" s="1"/>
      <c r="F62" s="1"/>
      <c r="G62" s="1"/>
      <c r="H62" s="1"/>
      <c r="I62" s="1"/>
      <c r="J62" s="1"/>
      <c r="K62" s="1"/>
      <c r="L62" s="1"/>
      <c r="P62" s="1"/>
    </row>
    <row r="63" spans="1:16" x14ac:dyDescent="0.25">
      <c r="A63" s="1" t="s">
        <v>431</v>
      </c>
      <c r="B63" s="1" t="s">
        <v>174</v>
      </c>
      <c r="C63" s="1" t="s">
        <v>574</v>
      </c>
      <c r="D63" s="1" t="s">
        <v>78</v>
      </c>
      <c r="E63" s="1"/>
      <c r="F63" s="1"/>
      <c r="G63" s="1"/>
      <c r="H63" s="1"/>
      <c r="I63" s="1"/>
      <c r="J63" s="1"/>
      <c r="K63" s="1"/>
      <c r="L63" s="1"/>
      <c r="P63" s="1"/>
    </row>
    <row r="64" spans="1:16" x14ac:dyDescent="0.25">
      <c r="A64" s="1" t="s">
        <v>431</v>
      </c>
      <c r="B64" s="1" t="s">
        <v>563</v>
      </c>
      <c r="C64" s="1" t="s">
        <v>575</v>
      </c>
      <c r="D64" s="1" t="s">
        <v>78</v>
      </c>
      <c r="E64" s="1"/>
      <c r="F64" s="1"/>
      <c r="G64" s="1"/>
      <c r="H64" s="1"/>
      <c r="I64" s="1"/>
      <c r="J64" s="1"/>
      <c r="K64" s="1"/>
      <c r="L64" s="1"/>
      <c r="P64" s="1"/>
    </row>
    <row r="65" spans="1:16" x14ac:dyDescent="0.25">
      <c r="A65" s="1" t="s">
        <v>431</v>
      </c>
      <c r="B65" s="1" t="s">
        <v>564</v>
      </c>
      <c r="C65" s="1" t="s">
        <v>576</v>
      </c>
      <c r="D65" s="1" t="s">
        <v>92</v>
      </c>
      <c r="E65" s="1"/>
      <c r="F65" s="1"/>
      <c r="G65" s="1"/>
      <c r="H65" s="1"/>
      <c r="I65" s="1"/>
      <c r="J65" s="1"/>
      <c r="K65" s="1"/>
      <c r="L65" s="1"/>
      <c r="P65" s="1"/>
    </row>
    <row r="66" spans="1:16" x14ac:dyDescent="0.25">
      <c r="A66" s="1" t="s">
        <v>431</v>
      </c>
      <c r="B66" s="1" t="s">
        <v>565</v>
      </c>
      <c r="C66" s="1" t="s">
        <v>577</v>
      </c>
      <c r="D66" s="1" t="s">
        <v>78</v>
      </c>
      <c r="E66" s="1"/>
      <c r="F66" s="1"/>
      <c r="G66" s="1"/>
      <c r="H66" s="1"/>
      <c r="I66" s="1"/>
      <c r="J66" s="1"/>
      <c r="K66" s="1"/>
      <c r="L66" s="1"/>
      <c r="P66" s="1"/>
    </row>
    <row r="67" spans="1:16" x14ac:dyDescent="0.25">
      <c r="A67" s="1" t="s">
        <v>431</v>
      </c>
      <c r="B67" s="1" t="s">
        <v>566</v>
      </c>
      <c r="C67" s="1" t="s">
        <v>578</v>
      </c>
      <c r="D67" s="1" t="s">
        <v>78</v>
      </c>
      <c r="E67" s="1"/>
      <c r="F67" s="1"/>
      <c r="G67" s="1"/>
      <c r="H67" s="1"/>
      <c r="I67" s="1"/>
      <c r="J67" s="1"/>
      <c r="K67" s="1"/>
      <c r="L67" s="1"/>
      <c r="P67" s="1"/>
    </row>
    <row r="68" spans="1:16" x14ac:dyDescent="0.25">
      <c r="A68" s="1" t="s">
        <v>431</v>
      </c>
      <c r="B68" s="1" t="s">
        <v>33</v>
      </c>
      <c r="C68" s="1" t="s">
        <v>579</v>
      </c>
      <c r="D68" s="1" t="s">
        <v>141</v>
      </c>
      <c r="E68" s="1"/>
      <c r="F68" s="1"/>
      <c r="G68" s="1"/>
      <c r="H68" s="1"/>
      <c r="I68" s="1"/>
      <c r="J68" s="1"/>
      <c r="K68" s="1"/>
      <c r="L68" s="1"/>
      <c r="P68" s="1"/>
    </row>
    <row r="69" spans="1:16" x14ac:dyDescent="0.25">
      <c r="A69" s="1" t="s">
        <v>431</v>
      </c>
      <c r="B69" s="1" t="s">
        <v>34</v>
      </c>
      <c r="C69" s="1" t="s">
        <v>580</v>
      </c>
      <c r="D69" s="1" t="s">
        <v>607</v>
      </c>
      <c r="E69" s="1"/>
      <c r="F69" s="1"/>
      <c r="G69" s="1"/>
      <c r="H69" s="1"/>
      <c r="I69" s="1"/>
      <c r="J69" s="1"/>
      <c r="K69" s="1"/>
      <c r="L69" s="1"/>
      <c r="P69" s="1"/>
    </row>
    <row r="70" spans="1:16" x14ac:dyDescent="0.25">
      <c r="A70" s="1" t="s">
        <v>431</v>
      </c>
      <c r="B70" s="1" t="s">
        <v>35</v>
      </c>
      <c r="C70" s="1" t="s">
        <v>581</v>
      </c>
      <c r="D70" s="1" t="s">
        <v>608</v>
      </c>
      <c r="E70" s="1"/>
      <c r="F70" s="1"/>
      <c r="G70" s="1"/>
      <c r="H70" s="1"/>
      <c r="I70" s="1"/>
      <c r="J70" s="1"/>
      <c r="K70" s="1"/>
      <c r="L70" s="1"/>
      <c r="P70" s="1"/>
    </row>
    <row r="71" spans="1:16" x14ac:dyDescent="0.25">
      <c r="A71" s="1" t="s">
        <v>431</v>
      </c>
      <c r="B71" s="1" t="s">
        <v>36</v>
      </c>
      <c r="C71" s="1" t="s">
        <v>582</v>
      </c>
      <c r="D71" s="1" t="s">
        <v>232</v>
      </c>
      <c r="E71" s="1"/>
      <c r="F71" s="1"/>
      <c r="G71" s="1"/>
      <c r="H71" s="1"/>
      <c r="I71" s="1"/>
      <c r="J71" s="1"/>
      <c r="K71" s="1"/>
      <c r="L71" s="1"/>
      <c r="P71" s="1"/>
    </row>
    <row r="72" spans="1:16" x14ac:dyDescent="0.25">
      <c r="A72" s="1" t="s">
        <v>431</v>
      </c>
      <c r="B72" s="1" t="s">
        <v>37</v>
      </c>
      <c r="C72" s="1" t="s">
        <v>583</v>
      </c>
      <c r="D72" s="1" t="s">
        <v>232</v>
      </c>
      <c r="E72" s="1"/>
      <c r="F72" s="1"/>
      <c r="G72" s="1"/>
      <c r="H72" s="1"/>
      <c r="I72" s="1"/>
      <c r="J72" s="1"/>
      <c r="K72" s="1"/>
      <c r="L72" s="1"/>
      <c r="P72" s="1"/>
    </row>
    <row r="73" spans="1:16" x14ac:dyDescent="0.25">
      <c r="A73" s="1" t="s">
        <v>431</v>
      </c>
      <c r="B73" s="1" t="s">
        <v>38</v>
      </c>
      <c r="C73" s="1" t="s">
        <v>584</v>
      </c>
      <c r="D73" s="1" t="s">
        <v>607</v>
      </c>
      <c r="E73" s="1"/>
      <c r="F73" s="1"/>
      <c r="G73" s="1"/>
      <c r="H73" s="1"/>
      <c r="I73" s="1"/>
      <c r="J73" s="1"/>
      <c r="K73" s="1"/>
      <c r="L73" s="1"/>
      <c r="P73" s="1"/>
    </row>
    <row r="74" spans="1:16" x14ac:dyDescent="0.25">
      <c r="A74" s="1" t="s">
        <v>431</v>
      </c>
      <c r="B74" s="1" t="s">
        <v>39</v>
      </c>
      <c r="C74" s="1" t="s">
        <v>585</v>
      </c>
      <c r="D74" s="1" t="s">
        <v>245</v>
      </c>
      <c r="E74" s="1"/>
      <c r="F74" s="1"/>
      <c r="G74" s="1"/>
      <c r="H74" s="1"/>
      <c r="I74" s="1"/>
      <c r="J74" s="1"/>
      <c r="K74" s="1"/>
      <c r="L74" s="1"/>
      <c r="P74" s="1"/>
    </row>
    <row r="75" spans="1:16" x14ac:dyDescent="0.25">
      <c r="A75" s="1" t="s">
        <v>431</v>
      </c>
      <c r="B75" s="1" t="s">
        <v>567</v>
      </c>
      <c r="C75" s="1" t="s">
        <v>586</v>
      </c>
      <c r="D75" s="1" t="s">
        <v>141</v>
      </c>
      <c r="E75" s="1"/>
      <c r="F75" s="1"/>
      <c r="G75" s="1"/>
      <c r="H75" s="1"/>
      <c r="I75" s="1"/>
      <c r="J75" s="1"/>
      <c r="K75" s="1"/>
      <c r="L75" s="1"/>
      <c r="P75" s="1"/>
    </row>
    <row r="76" spans="1:16" x14ac:dyDescent="0.25">
      <c r="A76" s="1" t="s">
        <v>431</v>
      </c>
      <c r="B76" s="1" t="s">
        <v>568</v>
      </c>
      <c r="C76" s="1" t="s">
        <v>587</v>
      </c>
      <c r="D76" s="1" t="s">
        <v>78</v>
      </c>
      <c r="E76" s="1"/>
      <c r="F76" s="1"/>
      <c r="G76" s="1"/>
      <c r="H76" s="1"/>
      <c r="I76" s="1"/>
      <c r="J76" s="1"/>
      <c r="K76" s="1"/>
      <c r="L76" s="1"/>
      <c r="P76" s="1"/>
    </row>
    <row r="77" spans="1:16" x14ac:dyDescent="0.25">
      <c r="A77" s="1" t="s">
        <v>431</v>
      </c>
      <c r="B77" s="1" t="s">
        <v>40</v>
      </c>
      <c r="C77" s="1" t="s">
        <v>588</v>
      </c>
      <c r="D77" s="1" t="s">
        <v>609</v>
      </c>
      <c r="E77" s="1"/>
      <c r="F77" s="1"/>
      <c r="G77" s="1"/>
      <c r="H77" s="1"/>
      <c r="I77" s="1"/>
      <c r="J77" s="1"/>
      <c r="K77" s="1"/>
      <c r="L77" s="1"/>
      <c r="P77" s="1"/>
    </row>
    <row r="78" spans="1:16" x14ac:dyDescent="0.25">
      <c r="A78" s="1" t="s">
        <v>431</v>
      </c>
      <c r="B78" s="1" t="s">
        <v>569</v>
      </c>
      <c r="C78" s="1" t="s">
        <v>589</v>
      </c>
      <c r="D78" s="1" t="s">
        <v>78</v>
      </c>
      <c r="E78" s="1"/>
      <c r="F78" s="1"/>
      <c r="G78" s="1"/>
      <c r="H78" s="1"/>
      <c r="I78" s="1"/>
      <c r="J78" s="1"/>
      <c r="K78" s="1"/>
      <c r="L78" s="1"/>
      <c r="O78" s="1"/>
      <c r="P78" s="1"/>
    </row>
    <row r="79" spans="1:16" x14ac:dyDescent="0.25">
      <c r="A79" s="1" t="s">
        <v>431</v>
      </c>
      <c r="B79" s="1" t="s">
        <v>570</v>
      </c>
      <c r="C79" s="1" t="s">
        <v>590</v>
      </c>
      <c r="D79" s="1" t="s">
        <v>95</v>
      </c>
      <c r="E79" s="1"/>
      <c r="F79" s="1"/>
      <c r="G79" s="1"/>
      <c r="H79" s="1"/>
      <c r="I79" s="1"/>
      <c r="J79" s="1"/>
      <c r="K79" s="1"/>
      <c r="L79" s="1"/>
      <c r="O79" s="1"/>
      <c r="P79" s="1"/>
    </row>
    <row r="80" spans="1:16" x14ac:dyDescent="0.25">
      <c r="A80" s="1" t="s">
        <v>431</v>
      </c>
      <c r="B80" s="1" t="s">
        <v>571</v>
      </c>
      <c r="C80" s="1" t="s">
        <v>591</v>
      </c>
      <c r="D80" s="1" t="s">
        <v>223</v>
      </c>
      <c r="E80" s="1"/>
      <c r="F80" s="1"/>
      <c r="G80" s="1"/>
      <c r="H80" s="1"/>
      <c r="I80" s="1"/>
      <c r="J80" s="1"/>
      <c r="K80" s="1"/>
      <c r="L80" s="1"/>
      <c r="O80" s="1"/>
      <c r="P80" s="1"/>
    </row>
    <row r="81" spans="1:16" x14ac:dyDescent="0.25">
      <c r="A81" s="1" t="s">
        <v>431</v>
      </c>
      <c r="B81" s="1" t="s">
        <v>572</v>
      </c>
      <c r="C81" s="1" t="s">
        <v>592</v>
      </c>
      <c r="D81" s="1" t="s">
        <v>78</v>
      </c>
      <c r="E81" s="1"/>
      <c r="F81" s="1"/>
      <c r="G81" s="1"/>
      <c r="H81" s="1"/>
      <c r="I81" s="1"/>
      <c r="J81" s="1"/>
      <c r="K81" s="1"/>
      <c r="L81" s="1"/>
      <c r="O81" s="1"/>
      <c r="P81" s="1"/>
    </row>
    <row r="82" spans="1:16" x14ac:dyDescent="0.25">
      <c r="A82" s="1" t="s">
        <v>431</v>
      </c>
      <c r="B82" s="1" t="s">
        <v>573</v>
      </c>
      <c r="C82" s="1" t="s">
        <v>593</v>
      </c>
      <c r="D82" s="1" t="s">
        <v>95</v>
      </c>
      <c r="E82" s="1"/>
      <c r="F82" s="1"/>
      <c r="G82" s="1"/>
      <c r="H82" s="1"/>
      <c r="I82" s="1"/>
      <c r="J82" s="1"/>
      <c r="K82" s="1"/>
      <c r="L82" s="1"/>
      <c r="O82" s="1"/>
      <c r="P82" s="1"/>
    </row>
    <row r="83" spans="1:16" x14ac:dyDescent="0.25">
      <c r="A83" s="1" t="s">
        <v>432</v>
      </c>
      <c r="B83" s="1" t="s">
        <v>174</v>
      </c>
      <c r="C83" s="1" t="s">
        <v>574</v>
      </c>
      <c r="D83" s="1" t="s">
        <v>95</v>
      </c>
      <c r="E83" s="1"/>
      <c r="F83" s="1"/>
      <c r="G83" s="1"/>
      <c r="H83" s="1"/>
      <c r="I83" s="1"/>
      <c r="J83" s="1"/>
      <c r="K83" s="1"/>
      <c r="L83" s="1"/>
      <c r="O83" s="1"/>
      <c r="P83" s="1"/>
    </row>
    <row r="84" spans="1:16" x14ac:dyDescent="0.25">
      <c r="A84" s="1" t="s">
        <v>432</v>
      </c>
      <c r="B84" s="1" t="s">
        <v>563</v>
      </c>
      <c r="C84" s="1" t="s">
        <v>575</v>
      </c>
      <c r="D84" s="1" t="s">
        <v>78</v>
      </c>
      <c r="E84" s="1"/>
      <c r="F84" s="1"/>
      <c r="G84" s="1"/>
      <c r="H84" s="1"/>
      <c r="I84" s="1"/>
      <c r="J84" s="1"/>
      <c r="K84" s="1"/>
      <c r="L84" s="1"/>
      <c r="O84" s="1"/>
      <c r="P84" s="1"/>
    </row>
    <row r="85" spans="1:16" x14ac:dyDescent="0.25">
      <c r="A85" s="1" t="s">
        <v>432</v>
      </c>
      <c r="B85" s="1" t="s">
        <v>564</v>
      </c>
      <c r="C85" s="1" t="s">
        <v>576</v>
      </c>
      <c r="D85" s="1" t="s">
        <v>92</v>
      </c>
      <c r="E85" s="1"/>
      <c r="F85" s="1"/>
      <c r="G85" s="1"/>
      <c r="H85" s="1"/>
      <c r="I85" s="1"/>
      <c r="J85" s="1"/>
      <c r="K85" s="1"/>
      <c r="L85" s="1"/>
      <c r="O85" s="1"/>
      <c r="P85" s="1"/>
    </row>
    <row r="86" spans="1:16" x14ac:dyDescent="0.25">
      <c r="A86" s="1" t="s">
        <v>432</v>
      </c>
      <c r="B86" s="1" t="s">
        <v>565</v>
      </c>
      <c r="C86" s="1" t="s">
        <v>577</v>
      </c>
      <c r="D86" s="1" t="s">
        <v>78</v>
      </c>
      <c r="E86" s="1"/>
      <c r="F86" s="1"/>
      <c r="G86" s="1"/>
      <c r="H86" s="1"/>
      <c r="I86" s="1"/>
      <c r="J86" s="1"/>
      <c r="K86" s="1"/>
      <c r="L86" s="1"/>
      <c r="O86" s="1"/>
      <c r="P86" s="1"/>
    </row>
    <row r="87" spans="1:16" x14ac:dyDescent="0.25">
      <c r="A87" s="1" t="s">
        <v>432</v>
      </c>
      <c r="B87" s="1" t="s">
        <v>566</v>
      </c>
      <c r="C87" s="1" t="s">
        <v>578</v>
      </c>
      <c r="D87" s="1" t="s">
        <v>78</v>
      </c>
      <c r="E87" s="1"/>
      <c r="F87" s="1"/>
      <c r="G87" s="1"/>
      <c r="H87" s="1"/>
      <c r="I87" s="1"/>
      <c r="J87" s="1"/>
      <c r="K87" s="1"/>
      <c r="L87" s="1"/>
      <c r="O87" s="1"/>
      <c r="P87" s="1"/>
    </row>
    <row r="88" spans="1:16" x14ac:dyDescent="0.25">
      <c r="A88" s="1" t="s">
        <v>432</v>
      </c>
      <c r="B88" s="1" t="s">
        <v>33</v>
      </c>
      <c r="C88" s="1" t="s">
        <v>579</v>
      </c>
      <c r="D88" s="1" t="s">
        <v>610</v>
      </c>
      <c r="E88" s="1"/>
      <c r="F88" s="1"/>
      <c r="G88" s="1"/>
      <c r="H88" s="1"/>
      <c r="I88" s="1"/>
      <c r="J88" s="1"/>
      <c r="K88" s="1"/>
      <c r="L88" s="1"/>
      <c r="O88" s="1"/>
      <c r="P88" s="1"/>
    </row>
    <row r="89" spans="1:16" x14ac:dyDescent="0.25">
      <c r="A89" s="1" t="s">
        <v>432</v>
      </c>
      <c r="B89" s="1" t="s">
        <v>34</v>
      </c>
      <c r="C89" s="1" t="s">
        <v>580</v>
      </c>
      <c r="D89" s="1" t="s">
        <v>611</v>
      </c>
      <c r="E89" s="1"/>
      <c r="F89" s="1"/>
      <c r="G89" s="1"/>
      <c r="H89" s="1"/>
      <c r="I89" s="1"/>
      <c r="J89" s="1"/>
      <c r="K89" s="1"/>
      <c r="L89" s="1"/>
      <c r="O89" s="1"/>
      <c r="P89" s="1"/>
    </row>
    <row r="90" spans="1:16" x14ac:dyDescent="0.25">
      <c r="A90" s="1" t="s">
        <v>432</v>
      </c>
      <c r="B90" s="1" t="s">
        <v>35</v>
      </c>
      <c r="C90" s="1" t="s">
        <v>581</v>
      </c>
      <c r="D90" s="1" t="s">
        <v>612</v>
      </c>
      <c r="E90" s="1"/>
      <c r="F90" s="1"/>
      <c r="G90" s="1"/>
      <c r="H90" s="1"/>
      <c r="I90" s="1"/>
      <c r="J90" s="1"/>
      <c r="K90" s="1"/>
      <c r="L90" s="1"/>
      <c r="O90" s="1"/>
      <c r="P90" s="1"/>
    </row>
    <row r="91" spans="1:16" x14ac:dyDescent="0.25">
      <c r="A91" s="1" t="s">
        <v>432</v>
      </c>
      <c r="B91" s="1" t="s">
        <v>36</v>
      </c>
      <c r="C91" s="1" t="s">
        <v>582</v>
      </c>
      <c r="D91" s="1" t="s">
        <v>390</v>
      </c>
      <c r="E91" s="1"/>
      <c r="F91" s="1"/>
      <c r="G91" s="1"/>
      <c r="H91" s="1"/>
      <c r="I91" s="1"/>
      <c r="J91" s="1"/>
      <c r="K91" s="1"/>
      <c r="L91" s="1"/>
      <c r="O91" s="1"/>
      <c r="P91" s="1"/>
    </row>
    <row r="92" spans="1:16" x14ac:dyDescent="0.25">
      <c r="A92" s="1" t="s">
        <v>432</v>
      </c>
      <c r="B92" s="1" t="s">
        <v>37</v>
      </c>
      <c r="C92" s="1" t="s">
        <v>583</v>
      </c>
      <c r="D92" s="1" t="s">
        <v>352</v>
      </c>
      <c r="E92" s="1"/>
      <c r="F92" s="1"/>
      <c r="G92" s="1"/>
      <c r="H92" s="1"/>
      <c r="I92" s="1"/>
      <c r="J92" s="1"/>
      <c r="K92" s="1"/>
      <c r="L92" s="1"/>
      <c r="O92" s="1"/>
      <c r="P92" s="1"/>
    </row>
    <row r="93" spans="1:16" x14ac:dyDescent="0.25">
      <c r="A93" s="1" t="s">
        <v>432</v>
      </c>
      <c r="B93" s="1" t="s">
        <v>38</v>
      </c>
      <c r="C93" s="1" t="s">
        <v>584</v>
      </c>
      <c r="D93" s="1" t="s">
        <v>613</v>
      </c>
      <c r="E93" s="1"/>
      <c r="F93" s="1"/>
      <c r="G93" s="1"/>
      <c r="H93" s="1"/>
      <c r="I93" s="1"/>
      <c r="J93" s="1"/>
      <c r="K93" s="1"/>
      <c r="L93" s="1"/>
      <c r="O93" s="1"/>
      <c r="P93" s="1"/>
    </row>
    <row r="94" spans="1:16" x14ac:dyDescent="0.25">
      <c r="A94" s="1" t="s">
        <v>432</v>
      </c>
      <c r="B94" s="1" t="s">
        <v>39</v>
      </c>
      <c r="C94" s="1" t="s">
        <v>585</v>
      </c>
      <c r="D94" s="1" t="s">
        <v>96</v>
      </c>
      <c r="E94" s="1"/>
      <c r="F94" s="1"/>
      <c r="G94" s="1"/>
      <c r="H94" s="1"/>
      <c r="I94" s="1"/>
      <c r="J94" s="1"/>
      <c r="K94" s="1"/>
      <c r="L94" s="1"/>
      <c r="O94" s="1"/>
      <c r="P94" s="1"/>
    </row>
    <row r="95" spans="1:16" x14ac:dyDescent="0.25">
      <c r="A95" s="1" t="s">
        <v>432</v>
      </c>
      <c r="B95" s="1" t="s">
        <v>567</v>
      </c>
      <c r="C95" s="1" t="s">
        <v>586</v>
      </c>
      <c r="D95" s="1" t="s">
        <v>141</v>
      </c>
      <c r="E95" s="1"/>
      <c r="F95" s="1"/>
      <c r="G95" s="1"/>
      <c r="H95" s="1"/>
      <c r="I95" s="1"/>
      <c r="J95" s="1"/>
      <c r="K95" s="1"/>
      <c r="L95" s="1"/>
      <c r="O95" s="1"/>
      <c r="P95" s="1"/>
    </row>
    <row r="96" spans="1:16" x14ac:dyDescent="0.25">
      <c r="A96" s="1" t="s">
        <v>432</v>
      </c>
      <c r="B96" s="1" t="s">
        <v>568</v>
      </c>
      <c r="C96" s="1" t="s">
        <v>587</v>
      </c>
      <c r="D96" s="1" t="s">
        <v>78</v>
      </c>
      <c r="E96" s="1"/>
      <c r="F96" s="1"/>
      <c r="G96" s="1"/>
      <c r="H96" s="1"/>
      <c r="I96" s="1"/>
      <c r="J96" s="1"/>
      <c r="K96" s="1"/>
      <c r="L96" s="1"/>
      <c r="O96" s="1"/>
      <c r="P96" s="1"/>
    </row>
    <row r="97" spans="1:16" x14ac:dyDescent="0.25">
      <c r="A97" s="1" t="s">
        <v>432</v>
      </c>
      <c r="B97" s="1" t="s">
        <v>40</v>
      </c>
      <c r="C97" s="1" t="s">
        <v>588</v>
      </c>
      <c r="D97" s="1" t="s">
        <v>614</v>
      </c>
      <c r="E97" s="1"/>
      <c r="F97" s="1"/>
      <c r="G97" s="1"/>
      <c r="H97" s="1"/>
      <c r="I97" s="1"/>
      <c r="J97" s="1"/>
      <c r="K97" s="1"/>
      <c r="L97" s="1"/>
      <c r="O97" s="1"/>
      <c r="P97" s="1"/>
    </row>
    <row r="98" spans="1:16" x14ac:dyDescent="0.25">
      <c r="A98" s="1" t="s">
        <v>432</v>
      </c>
      <c r="B98" s="1" t="s">
        <v>569</v>
      </c>
      <c r="C98" s="1" t="s">
        <v>589</v>
      </c>
      <c r="D98" s="1" t="s">
        <v>95</v>
      </c>
      <c r="E98" s="1"/>
      <c r="F98" s="1"/>
      <c r="G98" s="1"/>
      <c r="H98" s="1"/>
      <c r="I98" s="1"/>
      <c r="J98" s="1"/>
      <c r="K98" s="1"/>
      <c r="L98" s="1"/>
      <c r="O98" s="1"/>
      <c r="P98" s="1"/>
    </row>
    <row r="99" spans="1:16" x14ac:dyDescent="0.25">
      <c r="A99" s="1" t="s">
        <v>432</v>
      </c>
      <c r="B99" s="1" t="s">
        <v>570</v>
      </c>
      <c r="C99" s="1" t="s">
        <v>590</v>
      </c>
      <c r="D99" s="1" t="s">
        <v>262</v>
      </c>
      <c r="E99" s="1"/>
      <c r="F99" s="1"/>
      <c r="G99" s="1"/>
      <c r="H99" s="1"/>
      <c r="I99" s="1"/>
      <c r="J99" s="1"/>
      <c r="K99" s="1"/>
      <c r="L99" s="1"/>
      <c r="O99" s="1"/>
      <c r="P99" s="1"/>
    </row>
    <row r="100" spans="1:16" x14ac:dyDescent="0.25">
      <c r="A100" s="1" t="s">
        <v>432</v>
      </c>
      <c r="B100" s="1" t="s">
        <v>571</v>
      </c>
      <c r="C100" s="1" t="s">
        <v>591</v>
      </c>
      <c r="D100" s="1" t="s">
        <v>262</v>
      </c>
      <c r="E100" s="1"/>
      <c r="F100" s="1"/>
      <c r="G100" s="1"/>
      <c r="H100" s="1"/>
      <c r="I100" s="1"/>
      <c r="J100" s="1"/>
      <c r="K100" s="1"/>
      <c r="L100" s="1"/>
      <c r="O100" s="1"/>
      <c r="P100" s="1"/>
    </row>
    <row r="101" spans="1:16" x14ac:dyDescent="0.25">
      <c r="A101" s="1" t="s">
        <v>432</v>
      </c>
      <c r="B101" s="1" t="s">
        <v>572</v>
      </c>
      <c r="C101" s="1" t="s">
        <v>592</v>
      </c>
      <c r="D101" s="1" t="s">
        <v>78</v>
      </c>
      <c r="E101" s="1"/>
      <c r="F101" s="1"/>
      <c r="G101" s="1"/>
      <c r="H101" s="1"/>
      <c r="I101" s="1"/>
      <c r="J101" s="1"/>
      <c r="K101" s="1"/>
      <c r="L101" s="1"/>
      <c r="O101" s="1"/>
      <c r="P101" s="1"/>
    </row>
    <row r="102" spans="1:16" x14ac:dyDescent="0.25">
      <c r="A102" s="1" t="s">
        <v>432</v>
      </c>
      <c r="B102" s="1" t="s">
        <v>573</v>
      </c>
      <c r="C102" s="1" t="s">
        <v>593</v>
      </c>
      <c r="D102" s="1" t="s">
        <v>95</v>
      </c>
      <c r="E102" s="1"/>
      <c r="F102" s="1"/>
      <c r="G102" s="1"/>
      <c r="H102" s="1"/>
      <c r="I102" s="1"/>
      <c r="J102" s="1"/>
      <c r="K102" s="1"/>
      <c r="L102" s="1"/>
      <c r="O102" s="1"/>
      <c r="P102" s="1"/>
    </row>
    <row r="103" spans="1:16" x14ac:dyDescent="0.25">
      <c r="A103" s="1" t="s">
        <v>433</v>
      </c>
      <c r="B103" s="1" t="s">
        <v>174</v>
      </c>
      <c r="C103" s="1" t="s">
        <v>574</v>
      </c>
      <c r="D103" s="1" t="s">
        <v>78</v>
      </c>
      <c r="E103" s="1"/>
      <c r="F103" s="1"/>
      <c r="G103" s="1"/>
      <c r="H103" s="1"/>
      <c r="I103" s="1"/>
      <c r="J103" s="1"/>
      <c r="K103" s="1"/>
      <c r="L103" s="1"/>
      <c r="O103" s="1"/>
      <c r="P103" s="1"/>
    </row>
    <row r="104" spans="1:16" x14ac:dyDescent="0.25">
      <c r="A104" s="1" t="s">
        <v>433</v>
      </c>
      <c r="B104" s="1" t="s">
        <v>563</v>
      </c>
      <c r="C104" s="1" t="s">
        <v>575</v>
      </c>
      <c r="D104" s="1" t="s">
        <v>78</v>
      </c>
      <c r="E104" s="1"/>
      <c r="F104" s="1"/>
      <c r="G104" s="1"/>
      <c r="H104" s="1"/>
      <c r="I104" s="1"/>
      <c r="J104" s="1"/>
      <c r="K104" s="1"/>
      <c r="L104" s="1"/>
      <c r="O104" s="1"/>
      <c r="P104" s="1"/>
    </row>
    <row r="105" spans="1:16" x14ac:dyDescent="0.25">
      <c r="A105" s="1" t="s">
        <v>433</v>
      </c>
      <c r="B105" s="1" t="s">
        <v>564</v>
      </c>
      <c r="C105" s="1" t="s">
        <v>576</v>
      </c>
      <c r="D105" s="1" t="s">
        <v>92</v>
      </c>
      <c r="E105" s="1"/>
      <c r="F105" s="1"/>
      <c r="G105" s="1"/>
      <c r="H105" s="1"/>
      <c r="I105" s="1"/>
      <c r="J105" s="1"/>
      <c r="K105" s="1"/>
      <c r="L105" s="1"/>
      <c r="O105" s="1"/>
      <c r="P105" s="1"/>
    </row>
    <row r="106" spans="1:16" x14ac:dyDescent="0.25">
      <c r="A106" s="1" t="s">
        <v>433</v>
      </c>
      <c r="B106" s="1" t="s">
        <v>565</v>
      </c>
      <c r="C106" s="1" t="s">
        <v>577</v>
      </c>
      <c r="D106" s="1" t="s">
        <v>78</v>
      </c>
      <c r="E106" s="1"/>
      <c r="F106" s="1"/>
      <c r="G106" s="1"/>
      <c r="H106" s="1"/>
      <c r="I106" s="1"/>
      <c r="J106" s="1"/>
      <c r="K106" s="1"/>
      <c r="L106" s="1"/>
      <c r="O106" s="1"/>
      <c r="P106" s="1"/>
    </row>
    <row r="107" spans="1:16" x14ac:dyDescent="0.25">
      <c r="A107" s="1" t="s">
        <v>433</v>
      </c>
      <c r="B107" s="1" t="s">
        <v>566</v>
      </c>
      <c r="C107" s="1" t="s">
        <v>578</v>
      </c>
      <c r="D107" s="1" t="s">
        <v>78</v>
      </c>
      <c r="E107" s="1"/>
      <c r="F107" s="1"/>
      <c r="G107" s="1"/>
      <c r="H107" s="1"/>
      <c r="I107" s="1"/>
      <c r="J107" s="1"/>
      <c r="K107" s="1"/>
      <c r="L107" s="1"/>
      <c r="O107" s="1"/>
      <c r="P107" s="1"/>
    </row>
    <row r="108" spans="1:16" x14ac:dyDescent="0.25">
      <c r="A108" s="1" t="s">
        <v>433</v>
      </c>
      <c r="B108" s="1" t="s">
        <v>33</v>
      </c>
      <c r="C108" s="1" t="s">
        <v>579</v>
      </c>
      <c r="D108" s="1" t="s">
        <v>615</v>
      </c>
      <c r="E108" s="1"/>
      <c r="F108" s="1"/>
      <c r="G108" s="1"/>
      <c r="H108" s="1"/>
      <c r="I108" s="1"/>
      <c r="J108" s="1"/>
      <c r="K108" s="1"/>
      <c r="L108" s="1"/>
      <c r="O108" s="1"/>
      <c r="P108" s="1"/>
    </row>
    <row r="109" spans="1:16" x14ac:dyDescent="0.25">
      <c r="A109" s="1" t="s">
        <v>433</v>
      </c>
      <c r="B109" s="1" t="s">
        <v>34</v>
      </c>
      <c r="C109" s="1" t="s">
        <v>580</v>
      </c>
      <c r="D109" s="1" t="s">
        <v>616</v>
      </c>
      <c r="E109" s="1"/>
      <c r="F109" s="1"/>
      <c r="G109" s="1"/>
      <c r="H109" s="1"/>
      <c r="I109" s="1"/>
      <c r="J109" s="1"/>
      <c r="K109" s="1"/>
      <c r="L109" s="1"/>
      <c r="O109" s="1"/>
      <c r="P109" s="1"/>
    </row>
    <row r="110" spans="1:16" x14ac:dyDescent="0.25">
      <c r="A110" s="1" t="s">
        <v>433</v>
      </c>
      <c r="B110" s="1" t="s">
        <v>35</v>
      </c>
      <c r="C110" s="1" t="s">
        <v>581</v>
      </c>
      <c r="D110" s="1" t="s">
        <v>617</v>
      </c>
      <c r="E110" s="1"/>
      <c r="F110" s="1"/>
      <c r="G110" s="1"/>
      <c r="H110" s="1"/>
      <c r="I110" s="1"/>
      <c r="J110" s="1"/>
      <c r="K110" s="1"/>
      <c r="L110" s="1"/>
      <c r="O110" s="1"/>
      <c r="P110" s="1"/>
    </row>
    <row r="111" spans="1:16" x14ac:dyDescent="0.25">
      <c r="A111" s="1" t="s">
        <v>433</v>
      </c>
      <c r="B111" s="1" t="s">
        <v>36</v>
      </c>
      <c r="C111" s="1" t="s">
        <v>582</v>
      </c>
      <c r="D111" s="1" t="s">
        <v>232</v>
      </c>
      <c r="E111" s="1"/>
      <c r="F111" s="1"/>
      <c r="G111" s="1"/>
      <c r="H111" s="1"/>
      <c r="I111" s="1"/>
      <c r="J111" s="1"/>
      <c r="K111" s="1"/>
      <c r="L111" s="1"/>
      <c r="O111" s="1"/>
      <c r="P111" s="1"/>
    </row>
    <row r="112" spans="1:16" x14ac:dyDescent="0.25">
      <c r="A112" s="1" t="s">
        <v>433</v>
      </c>
      <c r="B112" s="1" t="s">
        <v>37</v>
      </c>
      <c r="C112" s="1" t="s">
        <v>583</v>
      </c>
      <c r="D112" s="1" t="s">
        <v>232</v>
      </c>
      <c r="E112" s="1"/>
      <c r="F112" s="1"/>
      <c r="G112" s="1"/>
      <c r="H112" s="1"/>
      <c r="I112" s="1"/>
      <c r="J112" s="1"/>
      <c r="K112" s="1"/>
      <c r="L112" s="1"/>
      <c r="O112" s="1"/>
      <c r="P112" s="1"/>
    </row>
    <row r="113" spans="1:16" x14ac:dyDescent="0.25">
      <c r="A113" s="1" t="s">
        <v>433</v>
      </c>
      <c r="B113" s="1" t="s">
        <v>38</v>
      </c>
      <c r="C113" s="1" t="s">
        <v>584</v>
      </c>
      <c r="D113" s="1" t="s">
        <v>607</v>
      </c>
      <c r="E113" s="1"/>
      <c r="F113" s="1"/>
      <c r="G113" s="1"/>
      <c r="H113" s="1"/>
      <c r="I113" s="1"/>
      <c r="J113" s="1"/>
      <c r="K113" s="1"/>
      <c r="L113" s="1"/>
      <c r="O113" s="1"/>
      <c r="P113" s="1"/>
    </row>
    <row r="114" spans="1:16" x14ac:dyDescent="0.25">
      <c r="A114" s="1" t="s">
        <v>433</v>
      </c>
      <c r="B114" s="1" t="s">
        <v>39</v>
      </c>
      <c r="C114" s="1" t="s">
        <v>585</v>
      </c>
      <c r="D114" s="1" t="s">
        <v>245</v>
      </c>
      <c r="E114" s="1"/>
      <c r="F114" s="1"/>
      <c r="G114" s="1"/>
      <c r="H114" s="1"/>
      <c r="I114" s="1"/>
      <c r="J114" s="1"/>
      <c r="K114" s="1"/>
      <c r="L114" s="1"/>
      <c r="O114" s="1"/>
      <c r="P114" s="1"/>
    </row>
    <row r="115" spans="1:16" x14ac:dyDescent="0.25">
      <c r="A115" s="1" t="s">
        <v>433</v>
      </c>
      <c r="B115" s="1" t="s">
        <v>567</v>
      </c>
      <c r="C115" s="1" t="s">
        <v>586</v>
      </c>
      <c r="D115" s="1" t="s">
        <v>141</v>
      </c>
      <c r="E115" s="1"/>
      <c r="F115" s="1"/>
      <c r="G115" s="1"/>
      <c r="H115" s="1"/>
      <c r="I115" s="1"/>
      <c r="J115" s="1"/>
      <c r="K115" s="1"/>
      <c r="L115" s="1"/>
      <c r="O115" s="1"/>
      <c r="P115" s="1"/>
    </row>
    <row r="116" spans="1:16" x14ac:dyDescent="0.25">
      <c r="A116" s="1" t="s">
        <v>433</v>
      </c>
      <c r="B116" s="1" t="s">
        <v>568</v>
      </c>
      <c r="C116" s="1" t="s">
        <v>587</v>
      </c>
      <c r="D116" s="1" t="s">
        <v>78</v>
      </c>
      <c r="E116" s="1"/>
      <c r="F116" s="1"/>
      <c r="G116" s="1"/>
      <c r="H116" s="1"/>
      <c r="I116" s="1"/>
      <c r="J116" s="1"/>
      <c r="K116" s="1"/>
      <c r="L116" s="1"/>
      <c r="O116" s="1"/>
      <c r="P116" s="1"/>
    </row>
    <row r="117" spans="1:16" x14ac:dyDescent="0.25">
      <c r="A117" s="1" t="s">
        <v>433</v>
      </c>
      <c r="B117" s="1" t="s">
        <v>40</v>
      </c>
      <c r="C117" s="1" t="s">
        <v>588</v>
      </c>
      <c r="D117" s="1" t="s">
        <v>609</v>
      </c>
      <c r="E117" s="1"/>
      <c r="F117" s="1"/>
      <c r="G117" s="1"/>
      <c r="H117" s="1"/>
      <c r="I117" s="1"/>
      <c r="J117" s="1"/>
      <c r="K117" s="1"/>
      <c r="L117" s="1"/>
      <c r="O117" s="1"/>
      <c r="P117" s="1"/>
    </row>
    <row r="118" spans="1:16" x14ac:dyDescent="0.25">
      <c r="A118" s="1" t="s">
        <v>433</v>
      </c>
      <c r="B118" s="1" t="s">
        <v>569</v>
      </c>
      <c r="C118" s="1" t="s">
        <v>589</v>
      </c>
      <c r="D118" s="1" t="s">
        <v>78</v>
      </c>
      <c r="E118" s="1"/>
      <c r="F118" s="1"/>
      <c r="G118" s="1"/>
      <c r="H118" s="1"/>
      <c r="I118" s="1"/>
      <c r="J118" s="1"/>
      <c r="K118" s="1"/>
      <c r="L118" s="1"/>
      <c r="O118" s="1"/>
      <c r="P118" s="1"/>
    </row>
    <row r="119" spans="1:16" x14ac:dyDescent="0.25">
      <c r="A119" s="1" t="s">
        <v>433</v>
      </c>
      <c r="B119" s="1" t="s">
        <v>570</v>
      </c>
      <c r="C119" s="1" t="s">
        <v>590</v>
      </c>
      <c r="D119" s="1" t="s">
        <v>95</v>
      </c>
      <c r="E119" s="1"/>
      <c r="F119" s="1"/>
      <c r="G119" s="1"/>
      <c r="H119" s="1"/>
      <c r="I119" s="1"/>
      <c r="J119" s="1"/>
      <c r="K119" s="1"/>
      <c r="L119" s="1"/>
      <c r="O119" s="1"/>
      <c r="P119" s="1"/>
    </row>
    <row r="120" spans="1:16" x14ac:dyDescent="0.25">
      <c r="A120" s="1" t="s">
        <v>433</v>
      </c>
      <c r="B120" s="1" t="s">
        <v>571</v>
      </c>
      <c r="C120" s="1" t="s">
        <v>591</v>
      </c>
      <c r="D120" s="1" t="s">
        <v>95</v>
      </c>
      <c r="E120" s="1"/>
      <c r="F120" s="1"/>
      <c r="G120" s="1"/>
      <c r="H120" s="1"/>
      <c r="I120" s="1"/>
      <c r="J120" s="1"/>
      <c r="K120" s="1"/>
      <c r="L120" s="1"/>
      <c r="O120" s="1"/>
      <c r="P120" s="1"/>
    </row>
    <row r="121" spans="1:16" x14ac:dyDescent="0.25">
      <c r="A121" s="1" t="s">
        <v>433</v>
      </c>
      <c r="B121" s="1" t="s">
        <v>572</v>
      </c>
      <c r="C121" s="1" t="s">
        <v>592</v>
      </c>
      <c r="D121" s="1" t="s">
        <v>78</v>
      </c>
      <c r="E121" s="1"/>
      <c r="F121" s="1"/>
      <c r="G121" s="1"/>
      <c r="H121" s="1"/>
      <c r="I121" s="1"/>
      <c r="J121" s="1"/>
      <c r="K121" s="1"/>
      <c r="L121" s="1"/>
      <c r="O121" s="1"/>
      <c r="P121" s="1"/>
    </row>
    <row r="122" spans="1:16" x14ac:dyDescent="0.25">
      <c r="A122" s="1" t="s">
        <v>433</v>
      </c>
      <c r="B122" s="1" t="s">
        <v>573</v>
      </c>
      <c r="C122" s="1" t="s">
        <v>593</v>
      </c>
      <c r="D122" s="1" t="s">
        <v>78</v>
      </c>
      <c r="E122" s="1"/>
      <c r="F122" s="1"/>
      <c r="G122" s="1"/>
      <c r="H122" s="1"/>
      <c r="I122" s="1"/>
      <c r="J122" s="1"/>
      <c r="K122" s="1"/>
      <c r="L122" s="1"/>
      <c r="O122" s="1"/>
      <c r="P122" s="1"/>
    </row>
    <row r="123" spans="1:16" x14ac:dyDescent="0.25">
      <c r="A123" s="1" t="s">
        <v>434</v>
      </c>
      <c r="B123" s="1" t="s">
        <v>174</v>
      </c>
      <c r="C123" s="1" t="s">
        <v>574</v>
      </c>
      <c r="D123" s="1" t="s">
        <v>78</v>
      </c>
      <c r="E123" s="1"/>
      <c r="F123" s="1"/>
      <c r="G123" s="1"/>
      <c r="H123" s="1"/>
      <c r="I123" s="1"/>
      <c r="J123" s="1"/>
      <c r="K123" s="1"/>
      <c r="L123" s="1"/>
      <c r="O123" s="1"/>
      <c r="P123" s="1"/>
    </row>
    <row r="124" spans="1:16" x14ac:dyDescent="0.25">
      <c r="A124" s="1" t="s">
        <v>434</v>
      </c>
      <c r="B124" s="1" t="s">
        <v>563</v>
      </c>
      <c r="C124" s="1" t="s">
        <v>575</v>
      </c>
      <c r="D124" s="1" t="s">
        <v>78</v>
      </c>
      <c r="E124" s="1"/>
      <c r="F124" s="1"/>
      <c r="G124" s="1"/>
      <c r="H124" s="1"/>
      <c r="I124" s="1"/>
      <c r="J124" s="1"/>
      <c r="K124" s="1"/>
      <c r="L124" s="1"/>
      <c r="O124" s="1"/>
      <c r="P124" s="1"/>
    </row>
    <row r="125" spans="1:16" x14ac:dyDescent="0.25">
      <c r="A125" s="1" t="s">
        <v>434</v>
      </c>
      <c r="B125" s="1" t="s">
        <v>564</v>
      </c>
      <c r="C125" s="1" t="s">
        <v>576</v>
      </c>
      <c r="D125" s="1" t="s">
        <v>600</v>
      </c>
      <c r="E125" s="1"/>
      <c r="F125" s="1"/>
      <c r="G125" s="1"/>
      <c r="H125" s="1"/>
      <c r="I125" s="1"/>
      <c r="J125" s="1"/>
      <c r="K125" s="1"/>
      <c r="L125" s="1"/>
      <c r="O125" s="1"/>
      <c r="P125" s="1"/>
    </row>
    <row r="126" spans="1:16" x14ac:dyDescent="0.25">
      <c r="A126" s="1" t="s">
        <v>434</v>
      </c>
      <c r="B126" s="1" t="s">
        <v>565</v>
      </c>
      <c r="C126" s="1" t="s">
        <v>577</v>
      </c>
      <c r="D126" s="1" t="s">
        <v>95</v>
      </c>
      <c r="E126" s="1"/>
      <c r="F126" s="1"/>
      <c r="G126" s="1"/>
      <c r="H126" s="1"/>
      <c r="I126" s="1"/>
      <c r="J126" s="1"/>
      <c r="K126" s="1"/>
      <c r="L126" s="1"/>
      <c r="O126" s="1"/>
      <c r="P126" s="1"/>
    </row>
    <row r="127" spans="1:16" x14ac:dyDescent="0.25">
      <c r="A127" s="1" t="s">
        <v>434</v>
      </c>
      <c r="B127" s="1" t="s">
        <v>566</v>
      </c>
      <c r="C127" s="1" t="s">
        <v>578</v>
      </c>
      <c r="D127" s="1" t="s">
        <v>95</v>
      </c>
      <c r="E127" s="1"/>
      <c r="F127" s="1"/>
      <c r="G127" s="1"/>
      <c r="H127" s="1"/>
      <c r="I127" s="1"/>
      <c r="J127" s="1"/>
      <c r="K127" s="1"/>
      <c r="L127" s="1"/>
      <c r="O127" s="1"/>
      <c r="P127" s="1"/>
    </row>
    <row r="128" spans="1:16" x14ac:dyDescent="0.25">
      <c r="A128" s="1" t="s">
        <v>434</v>
      </c>
      <c r="B128" s="1" t="s">
        <v>33</v>
      </c>
      <c r="C128" s="1" t="s">
        <v>579</v>
      </c>
      <c r="D128" s="1" t="s">
        <v>618</v>
      </c>
      <c r="E128" s="1"/>
      <c r="F128" s="1"/>
      <c r="G128" s="1"/>
      <c r="H128" s="1"/>
      <c r="I128" s="1"/>
      <c r="J128" s="1"/>
      <c r="K128" s="1"/>
      <c r="L128" s="1"/>
      <c r="O128" s="1"/>
      <c r="P128" s="1"/>
    </row>
    <row r="129" spans="1:16" x14ac:dyDescent="0.25">
      <c r="A129" s="1" t="s">
        <v>434</v>
      </c>
      <c r="B129" s="1" t="s">
        <v>34</v>
      </c>
      <c r="C129" s="1" t="s">
        <v>580</v>
      </c>
      <c r="D129" s="1" t="s">
        <v>619</v>
      </c>
      <c r="E129" s="1"/>
      <c r="F129" s="1"/>
      <c r="G129" s="1"/>
      <c r="H129" s="1"/>
      <c r="I129" s="1"/>
      <c r="J129" s="1"/>
      <c r="K129" s="1"/>
      <c r="L129" s="1"/>
      <c r="O129" s="1"/>
      <c r="P129" s="1"/>
    </row>
    <row r="130" spans="1:16" x14ac:dyDescent="0.25">
      <c r="A130" s="1" t="s">
        <v>434</v>
      </c>
      <c r="B130" s="1" t="s">
        <v>35</v>
      </c>
      <c r="C130" s="1" t="s">
        <v>581</v>
      </c>
      <c r="D130" s="1" t="s">
        <v>620</v>
      </c>
      <c r="E130" s="1"/>
      <c r="F130" s="1"/>
      <c r="G130" s="1"/>
      <c r="H130" s="1"/>
      <c r="I130" s="1"/>
      <c r="J130" s="1"/>
      <c r="K130" s="1"/>
      <c r="L130" s="1"/>
      <c r="O130" s="1"/>
      <c r="P130" s="1"/>
    </row>
    <row r="131" spans="1:16" x14ac:dyDescent="0.25">
      <c r="A131" s="1" t="s">
        <v>434</v>
      </c>
      <c r="B131" s="1" t="s">
        <v>36</v>
      </c>
      <c r="C131" s="1" t="s">
        <v>582</v>
      </c>
      <c r="D131" s="1" t="s">
        <v>134</v>
      </c>
      <c r="E131" s="1"/>
      <c r="F131" s="1"/>
      <c r="G131" s="1"/>
      <c r="H131" s="1"/>
      <c r="I131" s="1"/>
      <c r="J131" s="1"/>
      <c r="K131" s="1"/>
      <c r="L131" s="1"/>
      <c r="O131" s="1"/>
      <c r="P131" s="1"/>
    </row>
    <row r="132" spans="1:16" x14ac:dyDescent="0.25">
      <c r="A132" s="1" t="s">
        <v>434</v>
      </c>
      <c r="B132" s="1" t="s">
        <v>37</v>
      </c>
      <c r="C132" s="1" t="s">
        <v>583</v>
      </c>
      <c r="D132" s="1" t="s">
        <v>233</v>
      </c>
      <c r="E132" s="1"/>
      <c r="F132" s="1"/>
      <c r="G132" s="1"/>
      <c r="H132" s="1"/>
      <c r="I132" s="1"/>
      <c r="J132" s="1"/>
      <c r="K132" s="1"/>
      <c r="L132" s="1"/>
      <c r="O132" s="1"/>
      <c r="P132" s="1"/>
    </row>
    <row r="133" spans="1:16" x14ac:dyDescent="0.25">
      <c r="A133" s="1" t="s">
        <v>434</v>
      </c>
      <c r="B133" s="1" t="s">
        <v>38</v>
      </c>
      <c r="C133" s="1" t="s">
        <v>584</v>
      </c>
      <c r="D133" s="1" t="s">
        <v>621</v>
      </c>
      <c r="E133" s="1"/>
      <c r="F133" s="1"/>
      <c r="G133" s="1"/>
      <c r="H133" s="1"/>
      <c r="I133" s="1"/>
      <c r="J133" s="1"/>
      <c r="K133" s="1"/>
      <c r="L133" s="1"/>
      <c r="O133" s="1"/>
      <c r="P133" s="1"/>
    </row>
    <row r="134" spans="1:16" x14ac:dyDescent="0.25">
      <c r="A134" s="1" t="s">
        <v>434</v>
      </c>
      <c r="B134" s="1" t="s">
        <v>39</v>
      </c>
      <c r="C134" s="1" t="s">
        <v>585</v>
      </c>
      <c r="D134" s="1" t="s">
        <v>233</v>
      </c>
      <c r="E134" s="1"/>
      <c r="F134" s="1"/>
      <c r="G134" s="1"/>
      <c r="H134" s="1"/>
      <c r="I134" s="1"/>
      <c r="J134" s="1"/>
      <c r="K134" s="1"/>
      <c r="L134" s="1"/>
      <c r="O134" s="1"/>
      <c r="P134" s="1"/>
    </row>
    <row r="135" spans="1:16" x14ac:dyDescent="0.25">
      <c r="A135" s="1" t="s">
        <v>434</v>
      </c>
      <c r="B135" s="1" t="s">
        <v>567</v>
      </c>
      <c r="C135" s="1" t="s">
        <v>586</v>
      </c>
      <c r="D135" s="1" t="s">
        <v>92</v>
      </c>
      <c r="E135" s="1"/>
      <c r="F135" s="1"/>
      <c r="G135" s="1"/>
      <c r="H135" s="1"/>
      <c r="I135" s="1"/>
      <c r="J135" s="1"/>
      <c r="K135" s="1"/>
      <c r="L135" s="1"/>
      <c r="O135" s="1"/>
      <c r="P135" s="1"/>
    </row>
    <row r="136" spans="1:16" x14ac:dyDescent="0.25">
      <c r="A136" s="1" t="s">
        <v>434</v>
      </c>
      <c r="B136" s="1" t="s">
        <v>568</v>
      </c>
      <c r="C136" s="1" t="s">
        <v>587</v>
      </c>
      <c r="D136" s="1" t="s">
        <v>78</v>
      </c>
      <c r="E136" s="1"/>
      <c r="F136" s="1"/>
      <c r="G136" s="1"/>
      <c r="H136" s="1"/>
      <c r="I136" s="1"/>
      <c r="J136" s="1"/>
      <c r="K136" s="1"/>
      <c r="L136" s="1"/>
      <c r="O136" s="1"/>
      <c r="P136" s="1"/>
    </row>
    <row r="137" spans="1:16" x14ac:dyDescent="0.25">
      <c r="A137" s="1" t="s">
        <v>434</v>
      </c>
      <c r="B137" s="1" t="s">
        <v>40</v>
      </c>
      <c r="C137" s="1" t="s">
        <v>588</v>
      </c>
      <c r="D137" s="1" t="s">
        <v>622</v>
      </c>
      <c r="E137" s="1"/>
      <c r="F137" s="1"/>
      <c r="G137" s="1"/>
      <c r="H137" s="1"/>
      <c r="I137" s="1"/>
      <c r="J137" s="1"/>
      <c r="K137" s="1"/>
      <c r="L137" s="1"/>
      <c r="O137" s="1"/>
      <c r="P137" s="1"/>
    </row>
    <row r="138" spans="1:16" x14ac:dyDescent="0.25">
      <c r="A138" s="1" t="s">
        <v>434</v>
      </c>
      <c r="B138" s="1" t="s">
        <v>569</v>
      </c>
      <c r="C138" s="1" t="s">
        <v>589</v>
      </c>
      <c r="D138" s="1" t="s">
        <v>78</v>
      </c>
      <c r="E138" s="1"/>
      <c r="F138" s="1"/>
      <c r="G138" s="1"/>
      <c r="H138" s="1"/>
      <c r="I138" s="1"/>
      <c r="J138" s="1"/>
      <c r="K138" s="1"/>
      <c r="L138" s="1"/>
      <c r="O138" s="1"/>
      <c r="P138" s="1"/>
    </row>
    <row r="139" spans="1:16" x14ac:dyDescent="0.25">
      <c r="A139" s="1" t="s">
        <v>434</v>
      </c>
      <c r="B139" s="1" t="s">
        <v>570</v>
      </c>
      <c r="C139" s="1" t="s">
        <v>590</v>
      </c>
      <c r="D139" s="1" t="s">
        <v>95</v>
      </c>
      <c r="E139" s="1"/>
      <c r="F139" s="1"/>
      <c r="G139" s="1"/>
      <c r="H139" s="1"/>
      <c r="I139" s="1"/>
      <c r="J139" s="1"/>
      <c r="K139" s="1"/>
      <c r="L139" s="1"/>
      <c r="O139" s="1"/>
      <c r="P139" s="1"/>
    </row>
    <row r="140" spans="1:16" x14ac:dyDescent="0.25">
      <c r="A140" s="1" t="s">
        <v>434</v>
      </c>
      <c r="B140" s="1" t="s">
        <v>571</v>
      </c>
      <c r="C140" s="1" t="s">
        <v>591</v>
      </c>
      <c r="D140" s="1" t="s">
        <v>275</v>
      </c>
      <c r="E140" s="1"/>
      <c r="F140" s="1"/>
      <c r="G140" s="1"/>
      <c r="H140" s="1"/>
      <c r="I140" s="1"/>
      <c r="J140" s="1"/>
      <c r="K140" s="1"/>
      <c r="L140" s="1"/>
      <c r="O140" s="1"/>
      <c r="P140" s="1"/>
    </row>
    <row r="141" spans="1:16" x14ac:dyDescent="0.25">
      <c r="A141" s="1" t="s">
        <v>434</v>
      </c>
      <c r="B141" s="1" t="s">
        <v>572</v>
      </c>
      <c r="C141" s="1" t="s">
        <v>592</v>
      </c>
      <c r="D141" s="1" t="s">
        <v>78</v>
      </c>
      <c r="E141" s="1"/>
      <c r="F141" s="1"/>
      <c r="G141" s="1"/>
      <c r="H141" s="1"/>
      <c r="I141" s="1"/>
      <c r="J141" s="1"/>
      <c r="K141" s="1"/>
      <c r="L141" s="1"/>
      <c r="O141" s="1"/>
      <c r="P141" s="1"/>
    </row>
    <row r="142" spans="1:16" x14ac:dyDescent="0.25">
      <c r="A142" s="1" t="s">
        <v>434</v>
      </c>
      <c r="B142" s="1" t="s">
        <v>573</v>
      </c>
      <c r="C142" s="1" t="s">
        <v>593</v>
      </c>
      <c r="D142" s="1" t="s">
        <v>78</v>
      </c>
      <c r="E142" s="1"/>
      <c r="F142" s="1"/>
      <c r="G142" s="1"/>
      <c r="H142" s="1"/>
      <c r="I142" s="1"/>
      <c r="J142" s="1"/>
      <c r="K142" s="1"/>
      <c r="L142" s="1"/>
      <c r="O142" s="1"/>
      <c r="P142" s="1"/>
    </row>
    <row r="143" spans="1:16" x14ac:dyDescent="0.25">
      <c r="A143" s="1" t="s">
        <v>435</v>
      </c>
      <c r="B143" s="1" t="s">
        <v>174</v>
      </c>
      <c r="C143" s="1" t="s">
        <v>574</v>
      </c>
      <c r="D143" s="1" t="s">
        <v>78</v>
      </c>
      <c r="E143" s="1"/>
      <c r="F143" s="1"/>
      <c r="G143" s="1"/>
      <c r="H143" s="1"/>
      <c r="I143" s="1"/>
      <c r="J143" s="1"/>
      <c r="K143" s="1"/>
      <c r="L143" s="1"/>
      <c r="O143" s="1"/>
      <c r="P143" s="1"/>
    </row>
    <row r="144" spans="1:16" x14ac:dyDescent="0.25">
      <c r="A144" s="1" t="s">
        <v>435</v>
      </c>
      <c r="B144" s="1" t="s">
        <v>563</v>
      </c>
      <c r="C144" s="1" t="s">
        <v>575</v>
      </c>
      <c r="D144" s="1" t="s">
        <v>78</v>
      </c>
      <c r="E144" s="1"/>
      <c r="F144" s="1"/>
      <c r="G144" s="1"/>
      <c r="H144" s="1"/>
      <c r="I144" s="1"/>
      <c r="J144" s="1"/>
      <c r="K144" s="1"/>
      <c r="L144" s="1"/>
      <c r="O144" s="1"/>
      <c r="P144" s="1"/>
    </row>
    <row r="145" spans="1:16" x14ac:dyDescent="0.25">
      <c r="A145" s="1" t="s">
        <v>435</v>
      </c>
      <c r="B145" s="1" t="s">
        <v>564</v>
      </c>
      <c r="C145" s="1" t="s">
        <v>576</v>
      </c>
      <c r="D145" s="1" t="s">
        <v>92</v>
      </c>
      <c r="E145" s="1"/>
      <c r="F145" s="1"/>
      <c r="G145" s="1"/>
      <c r="H145" s="1"/>
      <c r="I145" s="1"/>
      <c r="J145" s="1"/>
      <c r="K145" s="1"/>
      <c r="L145" s="1"/>
      <c r="O145" s="1"/>
      <c r="P145" s="1"/>
    </row>
    <row r="146" spans="1:16" x14ac:dyDescent="0.25">
      <c r="A146" s="1" t="s">
        <v>435</v>
      </c>
      <c r="B146" s="1" t="s">
        <v>565</v>
      </c>
      <c r="C146" s="1" t="s">
        <v>577</v>
      </c>
      <c r="D146" s="1" t="s">
        <v>78</v>
      </c>
      <c r="E146" s="1"/>
      <c r="F146" s="1"/>
      <c r="G146" s="1"/>
      <c r="H146" s="1"/>
      <c r="I146" s="1"/>
      <c r="J146" s="1"/>
      <c r="K146" s="1"/>
      <c r="L146" s="1"/>
      <c r="O146" s="1"/>
      <c r="P146" s="1"/>
    </row>
    <row r="147" spans="1:16" x14ac:dyDescent="0.25">
      <c r="A147" s="1" t="s">
        <v>435</v>
      </c>
      <c r="B147" s="1" t="s">
        <v>566</v>
      </c>
      <c r="C147" s="1" t="s">
        <v>578</v>
      </c>
      <c r="D147" s="1" t="s">
        <v>78</v>
      </c>
      <c r="E147" s="1"/>
      <c r="F147" s="1"/>
      <c r="G147" s="1"/>
      <c r="H147" s="1"/>
      <c r="I147" s="1"/>
      <c r="J147" s="1"/>
      <c r="K147" s="1"/>
      <c r="L147" s="1"/>
      <c r="O147" s="1"/>
      <c r="P147" s="1"/>
    </row>
    <row r="148" spans="1:16" x14ac:dyDescent="0.25">
      <c r="A148" s="1" t="s">
        <v>435</v>
      </c>
      <c r="B148" s="1" t="s">
        <v>33</v>
      </c>
      <c r="C148" s="1" t="s">
        <v>579</v>
      </c>
      <c r="D148" s="1" t="s">
        <v>615</v>
      </c>
      <c r="E148" s="1"/>
      <c r="F148" s="1"/>
      <c r="G148" s="1"/>
      <c r="H148" s="1"/>
      <c r="I148" s="1"/>
      <c r="J148" s="1"/>
      <c r="K148" s="1"/>
      <c r="L148" s="1"/>
      <c r="O148" s="1"/>
      <c r="P148" s="1"/>
    </row>
    <row r="149" spans="1:16" x14ac:dyDescent="0.25">
      <c r="A149" s="1" t="s">
        <v>435</v>
      </c>
      <c r="B149" s="1" t="s">
        <v>34</v>
      </c>
      <c r="C149" s="1" t="s">
        <v>580</v>
      </c>
      <c r="D149" s="1" t="s">
        <v>623</v>
      </c>
      <c r="E149" s="1"/>
      <c r="F149" s="1"/>
      <c r="G149" s="1"/>
      <c r="H149" s="1"/>
      <c r="I149" s="1"/>
      <c r="J149" s="1"/>
      <c r="K149" s="1"/>
      <c r="L149" s="1"/>
      <c r="O149" s="1"/>
      <c r="P149" s="1"/>
    </row>
    <row r="150" spans="1:16" x14ac:dyDescent="0.25">
      <c r="A150" s="1" t="s">
        <v>435</v>
      </c>
      <c r="B150" s="1" t="s">
        <v>35</v>
      </c>
      <c r="C150" s="1" t="s">
        <v>581</v>
      </c>
      <c r="D150" s="1" t="s">
        <v>624</v>
      </c>
      <c r="E150" s="1"/>
      <c r="F150" s="1"/>
      <c r="G150" s="1"/>
      <c r="H150" s="1"/>
      <c r="I150" s="1"/>
      <c r="J150" s="1"/>
      <c r="K150" s="1"/>
      <c r="L150" s="1"/>
      <c r="O150" s="1"/>
      <c r="P150" s="1"/>
    </row>
    <row r="151" spans="1:16" x14ac:dyDescent="0.25">
      <c r="A151" s="1" t="s">
        <v>435</v>
      </c>
      <c r="B151" s="1" t="s">
        <v>36</v>
      </c>
      <c r="C151" s="1" t="s">
        <v>582</v>
      </c>
      <c r="D151" s="1" t="s">
        <v>97</v>
      </c>
      <c r="E151" s="1"/>
      <c r="F151" s="1"/>
      <c r="G151" s="1"/>
      <c r="H151" s="1"/>
      <c r="I151" s="1"/>
      <c r="J151" s="1"/>
      <c r="K151" s="1"/>
      <c r="L151" s="1"/>
      <c r="O151" s="1"/>
      <c r="P151" s="1"/>
    </row>
    <row r="152" spans="1:16" x14ac:dyDescent="0.25">
      <c r="A152" s="1" t="s">
        <v>435</v>
      </c>
      <c r="B152" s="1" t="s">
        <v>37</v>
      </c>
      <c r="C152" s="1" t="s">
        <v>583</v>
      </c>
      <c r="D152" s="1" t="s">
        <v>97</v>
      </c>
      <c r="E152" s="1"/>
      <c r="F152" s="1"/>
      <c r="G152" s="1"/>
      <c r="H152" s="1"/>
      <c r="I152" s="1"/>
      <c r="J152" s="1"/>
      <c r="K152" s="1"/>
      <c r="L152" s="1"/>
      <c r="O152" s="1"/>
      <c r="P152" s="1"/>
    </row>
    <row r="153" spans="1:16" x14ac:dyDescent="0.25">
      <c r="A153" s="1" t="s">
        <v>435</v>
      </c>
      <c r="B153" s="1" t="s">
        <v>38</v>
      </c>
      <c r="C153" s="1" t="s">
        <v>584</v>
      </c>
      <c r="D153" s="1" t="s">
        <v>625</v>
      </c>
      <c r="E153" s="1"/>
      <c r="F153" s="1"/>
      <c r="G153" s="1"/>
      <c r="H153" s="1"/>
      <c r="I153" s="1"/>
      <c r="J153" s="1"/>
      <c r="K153" s="1"/>
      <c r="L153" s="1"/>
      <c r="O153" s="1"/>
      <c r="P153" s="1"/>
    </row>
    <row r="154" spans="1:16" x14ac:dyDescent="0.25">
      <c r="A154" s="1" t="s">
        <v>435</v>
      </c>
      <c r="B154" s="1" t="s">
        <v>39</v>
      </c>
      <c r="C154" s="1" t="s">
        <v>585</v>
      </c>
      <c r="D154" s="1" t="s">
        <v>233</v>
      </c>
      <c r="E154" s="1"/>
      <c r="F154" s="1"/>
      <c r="G154" s="1"/>
      <c r="H154" s="1"/>
      <c r="I154" s="1"/>
      <c r="J154" s="1"/>
      <c r="K154" s="1"/>
      <c r="L154" s="1"/>
      <c r="O154" s="1"/>
      <c r="P154" s="1"/>
    </row>
    <row r="155" spans="1:16" x14ac:dyDescent="0.25">
      <c r="A155" s="1" t="s">
        <v>435</v>
      </c>
      <c r="B155" s="1" t="s">
        <v>567</v>
      </c>
      <c r="C155" s="1" t="s">
        <v>586</v>
      </c>
      <c r="D155" s="1" t="s">
        <v>141</v>
      </c>
      <c r="E155" s="1"/>
      <c r="F155" s="1"/>
      <c r="G155" s="1"/>
      <c r="H155" s="1"/>
      <c r="I155" s="1"/>
      <c r="J155" s="1"/>
      <c r="K155" s="1"/>
      <c r="L155" s="1"/>
      <c r="O155" s="1"/>
      <c r="P155" s="1"/>
    </row>
    <row r="156" spans="1:16" x14ac:dyDescent="0.25">
      <c r="A156" s="1" t="s">
        <v>435</v>
      </c>
      <c r="B156" s="1" t="s">
        <v>568</v>
      </c>
      <c r="C156" s="1" t="s">
        <v>587</v>
      </c>
      <c r="D156" s="1" t="s">
        <v>78</v>
      </c>
      <c r="E156" s="1"/>
      <c r="F156" s="1"/>
      <c r="G156" s="1"/>
      <c r="H156" s="1"/>
      <c r="I156" s="1"/>
      <c r="J156" s="1"/>
      <c r="K156" s="1"/>
      <c r="L156" s="1"/>
      <c r="O156" s="1"/>
      <c r="P156" s="1"/>
    </row>
    <row r="157" spans="1:16" x14ac:dyDescent="0.25">
      <c r="A157" s="1" t="s">
        <v>435</v>
      </c>
      <c r="B157" s="1" t="s">
        <v>40</v>
      </c>
      <c r="C157" s="1" t="s">
        <v>588</v>
      </c>
      <c r="D157" s="1" t="s">
        <v>626</v>
      </c>
      <c r="E157" s="1"/>
      <c r="F157" s="1"/>
      <c r="G157" s="1"/>
      <c r="H157" s="1"/>
      <c r="I157" s="1"/>
      <c r="J157" s="1"/>
      <c r="K157" s="1"/>
      <c r="L157" s="1"/>
      <c r="O157" s="1"/>
      <c r="P157" s="1"/>
    </row>
    <row r="158" spans="1:16" x14ac:dyDescent="0.25">
      <c r="A158" s="1" t="s">
        <v>435</v>
      </c>
      <c r="B158" s="1" t="s">
        <v>569</v>
      </c>
      <c r="C158" s="1" t="s">
        <v>589</v>
      </c>
      <c r="D158" s="1" t="s">
        <v>78</v>
      </c>
      <c r="E158" s="1"/>
      <c r="F158" s="1"/>
      <c r="G158" s="1"/>
      <c r="H158" s="1"/>
      <c r="I158" s="1"/>
      <c r="J158" s="1"/>
      <c r="K158" s="1"/>
      <c r="L158" s="1"/>
      <c r="O158" s="1"/>
      <c r="P158" s="1"/>
    </row>
    <row r="159" spans="1:16" x14ac:dyDescent="0.25">
      <c r="A159" s="1" t="s">
        <v>435</v>
      </c>
      <c r="B159" s="1" t="s">
        <v>570</v>
      </c>
      <c r="C159" s="1" t="s">
        <v>590</v>
      </c>
      <c r="D159" s="1" t="s">
        <v>95</v>
      </c>
      <c r="E159" s="1"/>
      <c r="F159" s="1"/>
      <c r="G159" s="1"/>
      <c r="H159" s="1"/>
      <c r="I159" s="1"/>
      <c r="J159" s="1"/>
      <c r="K159" s="1"/>
      <c r="L159" s="1"/>
      <c r="O159" s="1"/>
      <c r="P159" s="1"/>
    </row>
    <row r="160" spans="1:16" x14ac:dyDescent="0.25">
      <c r="A160" s="1" t="s">
        <v>435</v>
      </c>
      <c r="B160" s="1" t="s">
        <v>571</v>
      </c>
      <c r="C160" s="1" t="s">
        <v>591</v>
      </c>
      <c r="D160" s="1" t="s">
        <v>95</v>
      </c>
      <c r="E160" s="1"/>
      <c r="F160" s="1"/>
      <c r="G160" s="1"/>
      <c r="H160" s="1"/>
      <c r="I160" s="1"/>
      <c r="J160" s="1"/>
      <c r="K160" s="1"/>
      <c r="L160" s="1"/>
      <c r="O160" s="1"/>
      <c r="P160" s="1"/>
    </row>
    <row r="161" spans="1:16" x14ac:dyDescent="0.25">
      <c r="A161" s="1" t="s">
        <v>435</v>
      </c>
      <c r="B161" s="1" t="s">
        <v>572</v>
      </c>
      <c r="C161" s="1" t="s">
        <v>592</v>
      </c>
      <c r="D161" s="1" t="s">
        <v>78</v>
      </c>
      <c r="E161" s="1"/>
      <c r="F161" s="1"/>
      <c r="G161" s="1"/>
      <c r="H161" s="1"/>
      <c r="I161" s="1"/>
      <c r="J161" s="1"/>
      <c r="K161" s="1"/>
      <c r="L161" s="1"/>
      <c r="O161" s="1"/>
      <c r="P161" s="1"/>
    </row>
    <row r="162" spans="1:16" x14ac:dyDescent="0.25">
      <c r="A162" s="1" t="s">
        <v>435</v>
      </c>
      <c r="B162" s="1" t="s">
        <v>573</v>
      </c>
      <c r="C162" s="1" t="s">
        <v>593</v>
      </c>
      <c r="D162" s="1" t="s">
        <v>78</v>
      </c>
      <c r="E162" s="1"/>
      <c r="F162" s="1"/>
      <c r="G162" s="1"/>
      <c r="H162" s="1"/>
      <c r="I162" s="1"/>
      <c r="J162" s="1"/>
      <c r="K162" s="1"/>
      <c r="L162" s="1"/>
      <c r="O162" s="1"/>
      <c r="P162" s="1"/>
    </row>
    <row r="163" spans="1:16" x14ac:dyDescent="0.25">
      <c r="A163" s="1" t="s">
        <v>436</v>
      </c>
      <c r="B163" s="1" t="s">
        <v>174</v>
      </c>
      <c r="C163" s="1" t="s">
        <v>574</v>
      </c>
      <c r="D163" s="1" t="s">
        <v>78</v>
      </c>
      <c r="E163" s="1"/>
      <c r="F163" s="1"/>
      <c r="G163" s="1"/>
      <c r="H163" s="1"/>
      <c r="I163" s="1"/>
      <c r="J163" s="1"/>
      <c r="K163" s="1"/>
      <c r="L163" s="1"/>
      <c r="O163" s="1"/>
      <c r="P163" s="1"/>
    </row>
    <row r="164" spans="1:16" x14ac:dyDescent="0.25">
      <c r="A164" s="1" t="s">
        <v>436</v>
      </c>
      <c r="B164" s="1" t="s">
        <v>563</v>
      </c>
      <c r="C164" s="1" t="s">
        <v>575</v>
      </c>
      <c r="D164" s="1" t="s">
        <v>78</v>
      </c>
      <c r="E164" s="1"/>
      <c r="F164" s="1"/>
      <c r="G164" s="1"/>
      <c r="H164" s="1"/>
      <c r="I164" s="1"/>
      <c r="J164" s="1"/>
      <c r="K164" s="1"/>
      <c r="L164" s="1"/>
    </row>
    <row r="165" spans="1:16" x14ac:dyDescent="0.25">
      <c r="A165" s="1" t="s">
        <v>436</v>
      </c>
      <c r="B165" s="1" t="s">
        <v>564</v>
      </c>
      <c r="C165" s="1" t="s">
        <v>576</v>
      </c>
      <c r="D165" s="1" t="s">
        <v>92</v>
      </c>
      <c r="E165" s="1"/>
      <c r="F165" s="1"/>
      <c r="G165" s="1"/>
      <c r="H165" s="1"/>
      <c r="I165" s="1"/>
      <c r="J165" s="1"/>
      <c r="K165" s="1"/>
      <c r="L165" s="1"/>
    </row>
    <row r="166" spans="1:16" x14ac:dyDescent="0.25">
      <c r="A166" s="1" t="s">
        <v>436</v>
      </c>
      <c r="B166" s="1" t="s">
        <v>565</v>
      </c>
      <c r="C166" s="1" t="s">
        <v>577</v>
      </c>
      <c r="D166" s="1" t="s">
        <v>78</v>
      </c>
      <c r="E166" s="1"/>
      <c r="F166" s="1"/>
      <c r="G166" s="1"/>
      <c r="H166" s="1"/>
      <c r="I166" s="1"/>
      <c r="J166" s="1"/>
      <c r="K166" s="1"/>
      <c r="L166" s="1"/>
    </row>
    <row r="167" spans="1:16" x14ac:dyDescent="0.25">
      <c r="A167" s="1" t="s">
        <v>436</v>
      </c>
      <c r="B167" s="1" t="s">
        <v>566</v>
      </c>
      <c r="C167" s="1" t="s">
        <v>578</v>
      </c>
      <c r="D167" s="1" t="s">
        <v>78</v>
      </c>
      <c r="E167" s="1"/>
      <c r="F167" s="1"/>
      <c r="G167" s="1"/>
      <c r="H167" s="1"/>
      <c r="I167" s="1"/>
      <c r="J167" s="1"/>
      <c r="K167" s="1"/>
      <c r="L167" s="1"/>
    </row>
    <row r="168" spans="1:16" x14ac:dyDescent="0.25">
      <c r="A168" s="1" t="s">
        <v>436</v>
      </c>
      <c r="B168" s="1" t="s">
        <v>33</v>
      </c>
      <c r="C168" s="1" t="s">
        <v>579</v>
      </c>
      <c r="D168" s="1" t="s">
        <v>92</v>
      </c>
      <c r="E168" s="1"/>
      <c r="F168" s="1"/>
      <c r="G168" s="1"/>
      <c r="H168" s="1"/>
      <c r="I168" s="1"/>
      <c r="J168" s="1"/>
      <c r="K168" s="1"/>
      <c r="L168" s="1"/>
    </row>
    <row r="169" spans="1:16" x14ac:dyDescent="0.25">
      <c r="A169" s="1" t="s">
        <v>436</v>
      </c>
      <c r="B169" s="1" t="s">
        <v>34</v>
      </c>
      <c r="C169" s="1" t="s">
        <v>580</v>
      </c>
      <c r="D169" s="1" t="s">
        <v>627</v>
      </c>
      <c r="E169" s="1"/>
      <c r="F169" s="1"/>
      <c r="G169" s="1"/>
      <c r="H169" s="1"/>
      <c r="I169" s="1"/>
      <c r="J169" s="1"/>
      <c r="K169" s="1"/>
      <c r="L169" s="1"/>
    </row>
    <row r="170" spans="1:16" x14ac:dyDescent="0.25">
      <c r="A170" s="1" t="s">
        <v>436</v>
      </c>
      <c r="B170" s="1" t="s">
        <v>35</v>
      </c>
      <c r="C170" s="1" t="s">
        <v>581</v>
      </c>
      <c r="D170" s="1" t="s">
        <v>627</v>
      </c>
      <c r="E170" s="1"/>
      <c r="F170" s="1"/>
      <c r="G170" s="1"/>
      <c r="H170" s="1"/>
      <c r="I170" s="1"/>
      <c r="J170" s="1"/>
      <c r="K170" s="1"/>
      <c r="L170" s="1"/>
    </row>
    <row r="171" spans="1:16" x14ac:dyDescent="0.25">
      <c r="A171" s="1" t="s">
        <v>436</v>
      </c>
      <c r="B171" s="1" t="s">
        <v>36</v>
      </c>
      <c r="C171" s="1" t="s">
        <v>582</v>
      </c>
      <c r="D171" s="1" t="s">
        <v>78</v>
      </c>
      <c r="E171" s="1"/>
      <c r="F171" s="1"/>
      <c r="G171" s="1"/>
      <c r="H171" s="1"/>
      <c r="I171" s="1"/>
      <c r="J171" s="1"/>
      <c r="K171" s="1"/>
      <c r="L171" s="1"/>
    </row>
    <row r="172" spans="1:16" x14ac:dyDescent="0.25">
      <c r="A172" s="1" t="s">
        <v>436</v>
      </c>
      <c r="B172" s="1" t="s">
        <v>37</v>
      </c>
      <c r="C172" s="1" t="s">
        <v>583</v>
      </c>
      <c r="D172" s="1" t="s">
        <v>78</v>
      </c>
      <c r="E172" s="1"/>
      <c r="F172" s="1"/>
      <c r="G172" s="1"/>
      <c r="H172" s="1"/>
      <c r="I172" s="1"/>
      <c r="J172" s="1"/>
      <c r="K172" s="1"/>
      <c r="L172" s="1"/>
    </row>
    <row r="173" spans="1:16" x14ac:dyDescent="0.25">
      <c r="A173" s="1" t="s">
        <v>436</v>
      </c>
      <c r="B173" s="1" t="s">
        <v>38</v>
      </c>
      <c r="C173" s="1" t="s">
        <v>584</v>
      </c>
      <c r="D173" s="1" t="s">
        <v>627</v>
      </c>
      <c r="E173" s="1"/>
      <c r="F173" s="1"/>
      <c r="G173" s="1"/>
      <c r="H173" s="1"/>
      <c r="I173" s="1"/>
      <c r="J173" s="1"/>
      <c r="K173" s="1"/>
      <c r="L173" s="1"/>
    </row>
    <row r="174" spans="1:16" x14ac:dyDescent="0.25">
      <c r="A174" s="1" t="s">
        <v>436</v>
      </c>
      <c r="B174" s="1" t="s">
        <v>39</v>
      </c>
      <c r="C174" s="1" t="s">
        <v>585</v>
      </c>
      <c r="D174" s="1" t="s">
        <v>78</v>
      </c>
      <c r="E174" s="1"/>
      <c r="F174" s="1"/>
      <c r="G174" s="1"/>
      <c r="H174" s="1"/>
      <c r="I174" s="1"/>
      <c r="J174" s="1"/>
      <c r="K174" s="1"/>
      <c r="L174" s="1"/>
    </row>
    <row r="175" spans="1:16" x14ac:dyDescent="0.25">
      <c r="A175" s="1" t="s">
        <v>436</v>
      </c>
      <c r="B175" s="1" t="s">
        <v>567</v>
      </c>
      <c r="C175" s="1" t="s">
        <v>586</v>
      </c>
      <c r="D175" s="1" t="s">
        <v>92</v>
      </c>
      <c r="E175" s="1"/>
      <c r="F175" s="1"/>
      <c r="G175" s="1"/>
      <c r="H175" s="1"/>
      <c r="I175" s="1"/>
      <c r="J175" s="1"/>
      <c r="K175" s="1"/>
      <c r="L175" s="1"/>
    </row>
    <row r="176" spans="1:16" x14ac:dyDescent="0.25">
      <c r="A176" s="1" t="s">
        <v>436</v>
      </c>
      <c r="B176" s="1" t="s">
        <v>568</v>
      </c>
      <c r="C176" s="1" t="s">
        <v>587</v>
      </c>
      <c r="D176" s="1" t="s">
        <v>78</v>
      </c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 t="s">
        <v>436</v>
      </c>
      <c r="B177" s="1" t="s">
        <v>40</v>
      </c>
      <c r="C177" s="1" t="s">
        <v>588</v>
      </c>
      <c r="D177" s="1" t="s">
        <v>92</v>
      </c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 t="s">
        <v>436</v>
      </c>
      <c r="B178" s="1" t="s">
        <v>569</v>
      </c>
      <c r="C178" s="1" t="s">
        <v>589</v>
      </c>
      <c r="D178" s="1" t="s">
        <v>628</v>
      </c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 t="s">
        <v>436</v>
      </c>
      <c r="B179" s="1" t="s">
        <v>570</v>
      </c>
      <c r="C179" s="1" t="s">
        <v>590</v>
      </c>
      <c r="D179" s="1" t="s">
        <v>95</v>
      </c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 t="s">
        <v>436</v>
      </c>
      <c r="B180" s="1" t="s">
        <v>571</v>
      </c>
      <c r="C180" s="1" t="s">
        <v>591</v>
      </c>
      <c r="D180" s="1" t="s">
        <v>78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436</v>
      </c>
      <c r="B181" s="1" t="s">
        <v>572</v>
      </c>
      <c r="C181" s="1" t="s">
        <v>592</v>
      </c>
      <c r="D181" s="1" t="s">
        <v>78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436</v>
      </c>
      <c r="B182" s="1" t="s">
        <v>573</v>
      </c>
      <c r="C182" s="1" t="s">
        <v>593</v>
      </c>
      <c r="D182" s="1" t="s">
        <v>95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 t="s">
        <v>437</v>
      </c>
      <c r="B183" s="1" t="s">
        <v>174</v>
      </c>
      <c r="C183" s="1" t="s">
        <v>574</v>
      </c>
      <c r="D183" s="1" t="s">
        <v>78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 t="s">
        <v>437</v>
      </c>
      <c r="B184" s="1" t="s">
        <v>563</v>
      </c>
      <c r="C184" s="1" t="s">
        <v>575</v>
      </c>
      <c r="D184" s="1" t="s">
        <v>78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 t="s">
        <v>437</v>
      </c>
      <c r="B185" s="1" t="s">
        <v>564</v>
      </c>
      <c r="C185" s="1" t="s">
        <v>576</v>
      </c>
      <c r="D185" s="1" t="s">
        <v>92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 t="s">
        <v>437</v>
      </c>
      <c r="B186" s="1" t="s">
        <v>565</v>
      </c>
      <c r="C186" s="1" t="s">
        <v>577</v>
      </c>
      <c r="D186" s="1" t="s">
        <v>78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 t="s">
        <v>437</v>
      </c>
      <c r="B187" s="1" t="s">
        <v>566</v>
      </c>
      <c r="C187" s="1" t="s">
        <v>578</v>
      </c>
      <c r="D187" s="1" t="s">
        <v>78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 t="s">
        <v>437</v>
      </c>
      <c r="B188" s="1" t="s">
        <v>33</v>
      </c>
      <c r="C188" s="1" t="s">
        <v>579</v>
      </c>
      <c r="D188" s="1" t="s">
        <v>92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 t="s">
        <v>437</v>
      </c>
      <c r="B189" s="1" t="s">
        <v>34</v>
      </c>
      <c r="C189" s="1" t="s">
        <v>580</v>
      </c>
      <c r="D189" s="1" t="s">
        <v>627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 t="s">
        <v>437</v>
      </c>
      <c r="B190" s="1" t="s">
        <v>35</v>
      </c>
      <c r="C190" s="1" t="s">
        <v>581</v>
      </c>
      <c r="D190" s="1" t="s">
        <v>627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 t="s">
        <v>437</v>
      </c>
      <c r="B191" s="1" t="s">
        <v>36</v>
      </c>
      <c r="C191" s="1" t="s">
        <v>582</v>
      </c>
      <c r="D191" s="1" t="s">
        <v>78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 t="s">
        <v>437</v>
      </c>
      <c r="B192" s="1" t="s">
        <v>37</v>
      </c>
      <c r="C192" s="1" t="s">
        <v>583</v>
      </c>
      <c r="D192" s="1" t="s">
        <v>78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437</v>
      </c>
      <c r="B193" s="1" t="s">
        <v>38</v>
      </c>
      <c r="C193" s="1" t="s">
        <v>584</v>
      </c>
      <c r="D193" s="1" t="s">
        <v>627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 t="s">
        <v>437</v>
      </c>
      <c r="B194" s="1" t="s">
        <v>39</v>
      </c>
      <c r="C194" s="1" t="s">
        <v>585</v>
      </c>
      <c r="D194" s="1" t="s">
        <v>78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 t="s">
        <v>437</v>
      </c>
      <c r="B195" s="1" t="s">
        <v>567</v>
      </c>
      <c r="C195" s="1" t="s">
        <v>586</v>
      </c>
      <c r="D195" s="1" t="s">
        <v>92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437</v>
      </c>
      <c r="B196" s="1" t="s">
        <v>568</v>
      </c>
      <c r="C196" s="1" t="s">
        <v>587</v>
      </c>
      <c r="D196" s="1" t="s">
        <v>78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 t="s">
        <v>437</v>
      </c>
      <c r="B197" s="1" t="s">
        <v>40</v>
      </c>
      <c r="C197" s="1" t="s">
        <v>588</v>
      </c>
      <c r="D197" s="1" t="s">
        <v>92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437</v>
      </c>
      <c r="B198" s="1" t="s">
        <v>569</v>
      </c>
      <c r="C198" s="1" t="s">
        <v>589</v>
      </c>
      <c r="D198" s="1" t="s">
        <v>628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 t="s">
        <v>437</v>
      </c>
      <c r="B199" s="1" t="s">
        <v>570</v>
      </c>
      <c r="C199" s="1" t="s">
        <v>590</v>
      </c>
      <c r="D199" s="1" t="s">
        <v>95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 t="s">
        <v>437</v>
      </c>
      <c r="B200" s="1" t="s">
        <v>571</v>
      </c>
      <c r="C200" s="1" t="s">
        <v>591</v>
      </c>
      <c r="D200" s="1" t="s">
        <v>78</v>
      </c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 t="s">
        <v>437</v>
      </c>
      <c r="B201" s="1" t="s">
        <v>572</v>
      </c>
      <c r="C201" s="1" t="s">
        <v>592</v>
      </c>
      <c r="D201" s="1" t="s">
        <v>78</v>
      </c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 t="s">
        <v>437</v>
      </c>
      <c r="B202" s="1" t="s">
        <v>573</v>
      </c>
      <c r="C202" s="1" t="s">
        <v>593</v>
      </c>
      <c r="D202" s="1" t="s">
        <v>78</v>
      </c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 t="s">
        <v>438</v>
      </c>
      <c r="B203" s="1" t="s">
        <v>174</v>
      </c>
      <c r="C203" s="1" t="s">
        <v>574</v>
      </c>
      <c r="D203" s="1" t="s">
        <v>78</v>
      </c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 t="s">
        <v>438</v>
      </c>
      <c r="B204" s="1" t="s">
        <v>563</v>
      </c>
      <c r="C204" s="1" t="s">
        <v>575</v>
      </c>
      <c r="D204" s="1" t="s">
        <v>78</v>
      </c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 t="s">
        <v>438</v>
      </c>
      <c r="B205" s="1" t="s">
        <v>564</v>
      </c>
      <c r="C205" s="1" t="s">
        <v>576</v>
      </c>
      <c r="D205" s="1" t="s">
        <v>92</v>
      </c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 t="s">
        <v>438</v>
      </c>
      <c r="B206" s="1" t="s">
        <v>565</v>
      </c>
      <c r="C206" s="1" t="s">
        <v>577</v>
      </c>
      <c r="D206" s="1" t="s">
        <v>78</v>
      </c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 t="s">
        <v>438</v>
      </c>
      <c r="B207" s="1" t="s">
        <v>566</v>
      </c>
      <c r="C207" s="1" t="s">
        <v>578</v>
      </c>
      <c r="D207" s="1" t="s">
        <v>78</v>
      </c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 t="s">
        <v>438</v>
      </c>
      <c r="B208" s="1" t="s">
        <v>33</v>
      </c>
      <c r="C208" s="1" t="s">
        <v>579</v>
      </c>
      <c r="D208" s="1" t="s">
        <v>141</v>
      </c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 t="s">
        <v>438</v>
      </c>
      <c r="B209" s="1" t="s">
        <v>34</v>
      </c>
      <c r="C209" s="1" t="s">
        <v>580</v>
      </c>
      <c r="D209" s="1" t="s">
        <v>629</v>
      </c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 t="s">
        <v>438</v>
      </c>
      <c r="B210" s="1" t="s">
        <v>35</v>
      </c>
      <c r="C210" s="1" t="s">
        <v>581</v>
      </c>
      <c r="D210" s="1" t="s">
        <v>630</v>
      </c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 t="s">
        <v>438</v>
      </c>
      <c r="B211" s="1" t="s">
        <v>36</v>
      </c>
      <c r="C211" s="1" t="s">
        <v>582</v>
      </c>
      <c r="D211" s="1" t="s">
        <v>275</v>
      </c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 t="s">
        <v>438</v>
      </c>
      <c r="B212" s="1" t="s">
        <v>37</v>
      </c>
      <c r="C212" s="1" t="s">
        <v>583</v>
      </c>
      <c r="D212" s="1" t="s">
        <v>275</v>
      </c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 t="s">
        <v>438</v>
      </c>
      <c r="B213" s="1" t="s">
        <v>38</v>
      </c>
      <c r="C213" s="1" t="s">
        <v>584</v>
      </c>
      <c r="D213" s="1" t="s">
        <v>629</v>
      </c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438</v>
      </c>
      <c r="B214" s="1" t="s">
        <v>39</v>
      </c>
      <c r="C214" s="1" t="s">
        <v>585</v>
      </c>
      <c r="D214" s="1" t="s">
        <v>145</v>
      </c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 t="s">
        <v>438</v>
      </c>
      <c r="B215" s="1" t="s">
        <v>567</v>
      </c>
      <c r="C215" s="1" t="s">
        <v>586</v>
      </c>
      <c r="D215" s="1" t="s">
        <v>141</v>
      </c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 t="s">
        <v>438</v>
      </c>
      <c r="B216" s="1" t="s">
        <v>568</v>
      </c>
      <c r="C216" s="1" t="s">
        <v>587</v>
      </c>
      <c r="D216" s="1" t="s">
        <v>78</v>
      </c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 t="s">
        <v>438</v>
      </c>
      <c r="B217" s="1" t="s">
        <v>40</v>
      </c>
      <c r="C217" s="1" t="s">
        <v>588</v>
      </c>
      <c r="D217" s="1" t="s">
        <v>631</v>
      </c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 t="s">
        <v>438</v>
      </c>
      <c r="B218" s="1" t="s">
        <v>569</v>
      </c>
      <c r="C218" s="1" t="s">
        <v>589</v>
      </c>
      <c r="D218" s="1" t="s">
        <v>78</v>
      </c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438</v>
      </c>
      <c r="B219" s="1" t="s">
        <v>570</v>
      </c>
      <c r="C219" s="1" t="s">
        <v>590</v>
      </c>
      <c r="D219" s="1" t="s">
        <v>95</v>
      </c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438</v>
      </c>
      <c r="B220" s="1" t="s">
        <v>571</v>
      </c>
      <c r="C220" s="1" t="s">
        <v>591</v>
      </c>
      <c r="D220" s="1" t="s">
        <v>95</v>
      </c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438</v>
      </c>
      <c r="B221" s="1" t="s">
        <v>572</v>
      </c>
      <c r="C221" s="1" t="s">
        <v>592</v>
      </c>
      <c r="D221" s="1" t="s">
        <v>78</v>
      </c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438</v>
      </c>
      <c r="B222" s="1" t="s">
        <v>573</v>
      </c>
      <c r="C222" s="1" t="s">
        <v>593</v>
      </c>
      <c r="D222" s="1" t="s">
        <v>78</v>
      </c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 t="s">
        <v>439</v>
      </c>
      <c r="B223" s="1" t="s">
        <v>174</v>
      </c>
      <c r="C223" s="1" t="s">
        <v>574</v>
      </c>
      <c r="D223" s="1" t="s">
        <v>275</v>
      </c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 t="s">
        <v>439</v>
      </c>
      <c r="B224" s="1" t="s">
        <v>563</v>
      </c>
      <c r="C224" s="1" t="s">
        <v>575</v>
      </c>
      <c r="D224" s="1" t="s">
        <v>95</v>
      </c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 t="s">
        <v>439</v>
      </c>
      <c r="B225" s="1" t="s">
        <v>564</v>
      </c>
      <c r="C225" s="1" t="s">
        <v>576</v>
      </c>
      <c r="D225" s="1" t="s">
        <v>600</v>
      </c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 t="s">
        <v>439</v>
      </c>
      <c r="B226" s="1" t="s">
        <v>565</v>
      </c>
      <c r="C226" s="1" t="s">
        <v>577</v>
      </c>
      <c r="D226" s="1" t="s">
        <v>275</v>
      </c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 t="s">
        <v>439</v>
      </c>
      <c r="B227" s="1" t="s">
        <v>566</v>
      </c>
      <c r="C227" s="1" t="s">
        <v>578</v>
      </c>
      <c r="D227" s="1" t="s">
        <v>78</v>
      </c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 t="s">
        <v>439</v>
      </c>
      <c r="B228" s="1" t="s">
        <v>33</v>
      </c>
      <c r="C228" s="1" t="s">
        <v>579</v>
      </c>
      <c r="D228" s="1" t="s">
        <v>632</v>
      </c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 t="s">
        <v>439</v>
      </c>
      <c r="B229" s="1" t="s">
        <v>34</v>
      </c>
      <c r="C229" s="1" t="s">
        <v>580</v>
      </c>
      <c r="D229" s="1" t="s">
        <v>633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 t="s">
        <v>439</v>
      </c>
      <c r="B230" s="1" t="s">
        <v>35</v>
      </c>
      <c r="C230" s="1" t="s">
        <v>581</v>
      </c>
      <c r="D230" s="1" t="s">
        <v>634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439</v>
      </c>
      <c r="B231" s="1" t="s">
        <v>36</v>
      </c>
      <c r="C231" s="1" t="s">
        <v>582</v>
      </c>
      <c r="D231" s="1" t="s">
        <v>331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 t="s">
        <v>439</v>
      </c>
      <c r="B232" s="1" t="s">
        <v>37</v>
      </c>
      <c r="C232" s="1" t="s">
        <v>583</v>
      </c>
      <c r="D232" s="1" t="s">
        <v>374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439</v>
      </c>
      <c r="B233" s="1" t="s">
        <v>38</v>
      </c>
      <c r="C233" s="1" t="s">
        <v>584</v>
      </c>
      <c r="D233" s="1" t="s">
        <v>635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 t="s">
        <v>439</v>
      </c>
      <c r="B234" s="1" t="s">
        <v>39</v>
      </c>
      <c r="C234" s="1" t="s">
        <v>585</v>
      </c>
      <c r="D234" s="1" t="s">
        <v>289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 t="s">
        <v>439</v>
      </c>
      <c r="B235" s="1" t="s">
        <v>567</v>
      </c>
      <c r="C235" s="1" t="s">
        <v>586</v>
      </c>
      <c r="D235" s="1" t="s">
        <v>600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 t="s">
        <v>439</v>
      </c>
      <c r="B236" s="1" t="s">
        <v>568</v>
      </c>
      <c r="C236" s="1" t="s">
        <v>587</v>
      </c>
      <c r="D236" s="1" t="s">
        <v>78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 t="s">
        <v>439</v>
      </c>
      <c r="B237" s="1" t="s">
        <v>40</v>
      </c>
      <c r="C237" s="1" t="s">
        <v>588</v>
      </c>
      <c r="D237" s="1" t="s">
        <v>636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439</v>
      </c>
      <c r="B238" s="1" t="s">
        <v>569</v>
      </c>
      <c r="C238" s="1" t="s">
        <v>589</v>
      </c>
      <c r="D238" s="1" t="s">
        <v>95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 t="s">
        <v>439</v>
      </c>
      <c r="B239" s="1" t="s">
        <v>570</v>
      </c>
      <c r="C239" s="1" t="s">
        <v>590</v>
      </c>
      <c r="D239" s="1" t="s">
        <v>232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 t="s">
        <v>439</v>
      </c>
      <c r="B240" s="1" t="s">
        <v>571</v>
      </c>
      <c r="C240" s="1" t="s">
        <v>591</v>
      </c>
      <c r="D240" s="1" t="s">
        <v>232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439</v>
      </c>
      <c r="B241" s="1" t="s">
        <v>572</v>
      </c>
      <c r="C241" s="1" t="s">
        <v>592</v>
      </c>
      <c r="D241" s="1" t="s">
        <v>78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 t="s">
        <v>439</v>
      </c>
      <c r="B242" s="1" t="s">
        <v>573</v>
      </c>
      <c r="C242" s="1" t="s">
        <v>593</v>
      </c>
      <c r="D242" s="1" t="s">
        <v>95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 t="s">
        <v>440</v>
      </c>
      <c r="B243" s="1" t="s">
        <v>174</v>
      </c>
      <c r="C243" s="1" t="s">
        <v>574</v>
      </c>
      <c r="D243" s="1" t="s">
        <v>223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 t="s">
        <v>440</v>
      </c>
      <c r="B244" s="1" t="s">
        <v>563</v>
      </c>
      <c r="C244" s="1" t="s">
        <v>575</v>
      </c>
      <c r="D244" s="1" t="s">
        <v>95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440</v>
      </c>
      <c r="B245" s="1" t="s">
        <v>564</v>
      </c>
      <c r="C245" s="1" t="s">
        <v>576</v>
      </c>
      <c r="D245" s="1" t="s">
        <v>637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 t="s">
        <v>440</v>
      </c>
      <c r="B246" s="1" t="s">
        <v>565</v>
      </c>
      <c r="C246" s="1" t="s">
        <v>577</v>
      </c>
      <c r="D246" s="1" t="s">
        <v>275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 t="s">
        <v>440</v>
      </c>
      <c r="B247" s="1" t="s">
        <v>566</v>
      </c>
      <c r="C247" s="1" t="s">
        <v>578</v>
      </c>
      <c r="D247" s="1" t="s">
        <v>78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 t="s">
        <v>440</v>
      </c>
      <c r="B248" s="1" t="s">
        <v>33</v>
      </c>
      <c r="C248" s="1" t="s">
        <v>579</v>
      </c>
      <c r="D248" s="1" t="s">
        <v>638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 t="s">
        <v>440</v>
      </c>
      <c r="B249" s="1" t="s">
        <v>34</v>
      </c>
      <c r="C249" s="1" t="s">
        <v>580</v>
      </c>
      <c r="D249" s="1" t="s">
        <v>639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 t="s">
        <v>440</v>
      </c>
      <c r="B250" s="1" t="s">
        <v>35</v>
      </c>
      <c r="C250" s="1" t="s">
        <v>581</v>
      </c>
      <c r="D250" s="1" t="s">
        <v>640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 t="s">
        <v>440</v>
      </c>
      <c r="B251" s="1" t="s">
        <v>36</v>
      </c>
      <c r="C251" s="1" t="s">
        <v>582</v>
      </c>
      <c r="D251" s="1" t="s">
        <v>331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 t="s">
        <v>440</v>
      </c>
      <c r="B252" s="1" t="s">
        <v>37</v>
      </c>
      <c r="C252" s="1" t="s">
        <v>583</v>
      </c>
      <c r="D252" s="1" t="s">
        <v>122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440</v>
      </c>
      <c r="B253" s="1" t="s">
        <v>38</v>
      </c>
      <c r="C253" s="1" t="s">
        <v>584</v>
      </c>
      <c r="D253" s="1" t="s">
        <v>641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 t="s">
        <v>440</v>
      </c>
      <c r="B254" s="1" t="s">
        <v>39</v>
      </c>
      <c r="C254" s="1" t="s">
        <v>585</v>
      </c>
      <c r="D254" s="1" t="s">
        <v>287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 t="s">
        <v>440</v>
      </c>
      <c r="B255" s="1" t="s">
        <v>567</v>
      </c>
      <c r="C255" s="1" t="s">
        <v>586</v>
      </c>
      <c r="D255" s="1" t="s">
        <v>141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 t="s">
        <v>440</v>
      </c>
      <c r="B256" s="1" t="s">
        <v>568</v>
      </c>
      <c r="C256" s="1" t="s">
        <v>587</v>
      </c>
      <c r="D256" s="1" t="s">
        <v>95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 t="s">
        <v>440</v>
      </c>
      <c r="B257" s="1" t="s">
        <v>40</v>
      </c>
      <c r="C257" s="1" t="s">
        <v>588</v>
      </c>
      <c r="D257" s="1" t="s">
        <v>642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440</v>
      </c>
      <c r="B258" s="1" t="s">
        <v>569</v>
      </c>
      <c r="C258" s="1" t="s">
        <v>589</v>
      </c>
      <c r="D258" s="1" t="s">
        <v>95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 t="s">
        <v>440</v>
      </c>
      <c r="B259" s="1" t="s">
        <v>570</v>
      </c>
      <c r="C259" s="1" t="s">
        <v>590</v>
      </c>
      <c r="D259" s="1" t="s">
        <v>275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 t="s">
        <v>440</v>
      </c>
      <c r="B260" s="1" t="s">
        <v>571</v>
      </c>
      <c r="C260" s="1" t="s">
        <v>591</v>
      </c>
      <c r="D260" s="1" t="s">
        <v>275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440</v>
      </c>
      <c r="B261" s="1" t="s">
        <v>572</v>
      </c>
      <c r="C261" s="1" t="s">
        <v>592</v>
      </c>
      <c r="D261" s="1" t="s">
        <v>95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 t="s">
        <v>440</v>
      </c>
      <c r="B262" s="1" t="s">
        <v>573</v>
      </c>
      <c r="C262" s="1" t="s">
        <v>593</v>
      </c>
      <c r="D262" s="1" t="s">
        <v>95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441</v>
      </c>
      <c r="B263" s="1" t="s">
        <v>174</v>
      </c>
      <c r="C263" s="1" t="s">
        <v>574</v>
      </c>
      <c r="D263" s="1" t="s">
        <v>275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 t="s">
        <v>441</v>
      </c>
      <c r="B264" s="1" t="s">
        <v>563</v>
      </c>
      <c r="C264" s="1" t="s">
        <v>575</v>
      </c>
      <c r="D264" s="1" t="s">
        <v>95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441</v>
      </c>
      <c r="B265" s="1" t="s">
        <v>564</v>
      </c>
      <c r="C265" s="1" t="s">
        <v>576</v>
      </c>
      <c r="D265" s="1" t="s">
        <v>141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 t="s">
        <v>441</v>
      </c>
      <c r="B266" s="1" t="s">
        <v>565</v>
      </c>
      <c r="C266" s="1" t="s">
        <v>577</v>
      </c>
      <c r="D266" s="1" t="s">
        <v>232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 t="s">
        <v>441</v>
      </c>
      <c r="B267" s="1" t="s">
        <v>566</v>
      </c>
      <c r="C267" s="1" t="s">
        <v>578</v>
      </c>
      <c r="D267" s="1" t="s">
        <v>95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 t="s">
        <v>441</v>
      </c>
      <c r="B268" s="1" t="s">
        <v>33</v>
      </c>
      <c r="C268" s="1" t="s">
        <v>579</v>
      </c>
      <c r="D268" s="1" t="s">
        <v>643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 t="s">
        <v>441</v>
      </c>
      <c r="B269" s="1" t="s">
        <v>34</v>
      </c>
      <c r="C269" s="1" t="s">
        <v>580</v>
      </c>
      <c r="D269" s="1" t="s">
        <v>644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 t="s">
        <v>441</v>
      </c>
      <c r="B270" s="1" t="s">
        <v>35</v>
      </c>
      <c r="C270" s="1" t="s">
        <v>581</v>
      </c>
      <c r="D270" s="1" t="s">
        <v>645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 t="s">
        <v>441</v>
      </c>
      <c r="B271" s="1" t="s">
        <v>36</v>
      </c>
      <c r="C271" s="1" t="s">
        <v>582</v>
      </c>
      <c r="D271" s="1" t="s">
        <v>295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441</v>
      </c>
      <c r="B272" s="1" t="s">
        <v>37</v>
      </c>
      <c r="C272" s="1" t="s">
        <v>583</v>
      </c>
      <c r="D272" s="1" t="s">
        <v>242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441</v>
      </c>
      <c r="B273" s="1" t="s">
        <v>38</v>
      </c>
      <c r="C273" s="1" t="s">
        <v>584</v>
      </c>
      <c r="D273" s="1" t="s">
        <v>646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 t="s">
        <v>441</v>
      </c>
      <c r="B274" s="1" t="s">
        <v>39</v>
      </c>
      <c r="C274" s="1" t="s">
        <v>585</v>
      </c>
      <c r="D274" s="1" t="s">
        <v>242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 t="s">
        <v>441</v>
      </c>
      <c r="B275" s="1" t="s">
        <v>567</v>
      </c>
      <c r="C275" s="1" t="s">
        <v>586</v>
      </c>
      <c r="D275" s="1" t="s">
        <v>92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 t="s">
        <v>441</v>
      </c>
      <c r="B276" s="1" t="s">
        <v>568</v>
      </c>
      <c r="C276" s="1" t="s">
        <v>587</v>
      </c>
      <c r="D276" s="1" t="s">
        <v>95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 t="s">
        <v>441</v>
      </c>
      <c r="B277" s="1" t="s">
        <v>40</v>
      </c>
      <c r="C277" s="1" t="s">
        <v>588</v>
      </c>
      <c r="D277" s="1" t="s">
        <v>647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441</v>
      </c>
      <c r="B278" s="1" t="s">
        <v>569</v>
      </c>
      <c r="C278" s="1" t="s">
        <v>589</v>
      </c>
      <c r="D278" s="1" t="s">
        <v>223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 t="s">
        <v>441</v>
      </c>
      <c r="B279" s="1" t="s">
        <v>570</v>
      </c>
      <c r="C279" s="1" t="s">
        <v>590</v>
      </c>
      <c r="D279" s="1" t="s">
        <v>232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441</v>
      </c>
      <c r="B280" s="1" t="s">
        <v>571</v>
      </c>
      <c r="C280" s="1" t="s">
        <v>591</v>
      </c>
      <c r="D280" s="1" t="s">
        <v>97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441</v>
      </c>
      <c r="B281" s="1" t="s">
        <v>572</v>
      </c>
      <c r="C281" s="1" t="s">
        <v>592</v>
      </c>
      <c r="D281" s="1" t="s">
        <v>95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 t="s">
        <v>441</v>
      </c>
      <c r="B282" s="1" t="s">
        <v>573</v>
      </c>
      <c r="C282" s="1" t="s">
        <v>593</v>
      </c>
      <c r="D282" s="1" t="s">
        <v>78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 t="s">
        <v>442</v>
      </c>
      <c r="B283" s="1" t="s">
        <v>174</v>
      </c>
      <c r="C283" s="1" t="s">
        <v>574</v>
      </c>
      <c r="D283" s="1" t="s">
        <v>223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 t="s">
        <v>442</v>
      </c>
      <c r="B284" s="1" t="s">
        <v>563</v>
      </c>
      <c r="C284" s="1" t="s">
        <v>575</v>
      </c>
      <c r="D284" s="1" t="s">
        <v>95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442</v>
      </c>
      <c r="B285" s="1" t="s">
        <v>564</v>
      </c>
      <c r="C285" s="1" t="s">
        <v>576</v>
      </c>
      <c r="D285" s="1" t="s">
        <v>141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442</v>
      </c>
      <c r="B286" s="1" t="s">
        <v>565</v>
      </c>
      <c r="C286" s="1" t="s">
        <v>577</v>
      </c>
      <c r="D286" s="1" t="s">
        <v>223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442</v>
      </c>
      <c r="B287" s="1" t="s">
        <v>566</v>
      </c>
      <c r="C287" s="1" t="s">
        <v>578</v>
      </c>
      <c r="D287" s="1" t="s">
        <v>78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 t="s">
        <v>442</v>
      </c>
      <c r="B288" s="1" t="s">
        <v>33</v>
      </c>
      <c r="C288" s="1" t="s">
        <v>579</v>
      </c>
      <c r="D288" s="1" t="s">
        <v>648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442</v>
      </c>
      <c r="B289" s="1" t="s">
        <v>34</v>
      </c>
      <c r="C289" s="1" t="s">
        <v>580</v>
      </c>
      <c r="D289" s="1" t="s">
        <v>649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442</v>
      </c>
      <c r="B290" s="1" t="s">
        <v>35</v>
      </c>
      <c r="C290" s="1" t="s">
        <v>581</v>
      </c>
      <c r="D290" s="1" t="s">
        <v>650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442</v>
      </c>
      <c r="B291" s="1" t="s">
        <v>36</v>
      </c>
      <c r="C291" s="1" t="s">
        <v>582</v>
      </c>
      <c r="D291" s="1" t="s">
        <v>134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442</v>
      </c>
      <c r="B292" s="1" t="s">
        <v>37</v>
      </c>
      <c r="C292" s="1" t="s">
        <v>583</v>
      </c>
      <c r="D292" s="1" t="s">
        <v>233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442</v>
      </c>
      <c r="B293" s="1" t="s">
        <v>38</v>
      </c>
      <c r="C293" s="1" t="s">
        <v>584</v>
      </c>
      <c r="D293" s="1" t="s">
        <v>621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442</v>
      </c>
      <c r="B294" s="1" t="s">
        <v>39</v>
      </c>
      <c r="C294" s="1" t="s">
        <v>585</v>
      </c>
      <c r="D294" s="1" t="s">
        <v>374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442</v>
      </c>
      <c r="B295" s="1" t="s">
        <v>567</v>
      </c>
      <c r="C295" s="1" t="s">
        <v>586</v>
      </c>
      <c r="D295" s="1" t="s">
        <v>141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442</v>
      </c>
      <c r="B296" s="1" t="s">
        <v>568</v>
      </c>
      <c r="C296" s="1" t="s">
        <v>587</v>
      </c>
      <c r="D296" s="1" t="s">
        <v>95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442</v>
      </c>
      <c r="B297" s="1" t="s">
        <v>40</v>
      </c>
      <c r="C297" s="1" t="s">
        <v>588</v>
      </c>
      <c r="D297" s="1" t="s">
        <v>651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442</v>
      </c>
      <c r="B298" s="1" t="s">
        <v>569</v>
      </c>
      <c r="C298" s="1" t="s">
        <v>589</v>
      </c>
      <c r="D298" s="1" t="s">
        <v>78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442</v>
      </c>
      <c r="B299" s="1" t="s">
        <v>570</v>
      </c>
      <c r="C299" s="1" t="s">
        <v>590</v>
      </c>
      <c r="D299" s="1" t="s">
        <v>275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442</v>
      </c>
      <c r="B300" s="1" t="s">
        <v>571</v>
      </c>
      <c r="C300" s="1" t="s">
        <v>591</v>
      </c>
      <c r="D300" s="1" t="s">
        <v>275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442</v>
      </c>
      <c r="B301" s="1" t="s">
        <v>572</v>
      </c>
      <c r="C301" s="1" t="s">
        <v>592</v>
      </c>
      <c r="D301" s="1" t="s">
        <v>95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442</v>
      </c>
      <c r="B302" s="1" t="s">
        <v>573</v>
      </c>
      <c r="C302" s="1" t="s">
        <v>593</v>
      </c>
      <c r="D302" s="1" t="s">
        <v>78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 t="s">
        <v>443</v>
      </c>
      <c r="B303" s="1" t="s">
        <v>174</v>
      </c>
      <c r="C303" s="1" t="s">
        <v>574</v>
      </c>
      <c r="D303" s="1" t="s">
        <v>78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 t="s">
        <v>443</v>
      </c>
      <c r="B304" s="1" t="s">
        <v>563</v>
      </c>
      <c r="C304" s="1" t="s">
        <v>575</v>
      </c>
      <c r="D304" s="1" t="s">
        <v>78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443</v>
      </c>
      <c r="B305" s="1" t="s">
        <v>564</v>
      </c>
      <c r="C305" s="1" t="s">
        <v>576</v>
      </c>
      <c r="D305" s="1" t="s">
        <v>92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443</v>
      </c>
      <c r="B306" s="1" t="s">
        <v>565</v>
      </c>
      <c r="C306" s="1" t="s">
        <v>577</v>
      </c>
      <c r="D306" s="1" t="s">
        <v>78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443</v>
      </c>
      <c r="B307" s="1" t="s">
        <v>566</v>
      </c>
      <c r="C307" s="1" t="s">
        <v>578</v>
      </c>
      <c r="D307" s="1" t="s">
        <v>78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443</v>
      </c>
      <c r="B308" s="1" t="s">
        <v>33</v>
      </c>
      <c r="C308" s="1" t="s">
        <v>579</v>
      </c>
      <c r="D308" s="1" t="s">
        <v>141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 t="s">
        <v>443</v>
      </c>
      <c r="B309" s="1" t="s">
        <v>34</v>
      </c>
      <c r="C309" s="1" t="s">
        <v>580</v>
      </c>
      <c r="D309" s="1" t="s">
        <v>629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443</v>
      </c>
      <c r="B310" s="1" t="s">
        <v>35</v>
      </c>
      <c r="C310" s="1" t="s">
        <v>581</v>
      </c>
      <c r="D310" s="1" t="s">
        <v>630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443</v>
      </c>
      <c r="B311" s="1" t="s">
        <v>36</v>
      </c>
      <c r="C311" s="1" t="s">
        <v>582</v>
      </c>
      <c r="D311" s="1" t="s">
        <v>275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443</v>
      </c>
      <c r="B312" s="1" t="s">
        <v>37</v>
      </c>
      <c r="C312" s="1" t="s">
        <v>583</v>
      </c>
      <c r="D312" s="1" t="s">
        <v>275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443</v>
      </c>
      <c r="B313" s="1" t="s">
        <v>38</v>
      </c>
      <c r="C313" s="1" t="s">
        <v>584</v>
      </c>
      <c r="D313" s="1" t="s">
        <v>629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 t="s">
        <v>443</v>
      </c>
      <c r="B314" s="1" t="s">
        <v>39</v>
      </c>
      <c r="C314" s="1" t="s">
        <v>585</v>
      </c>
      <c r="D314" s="1" t="s">
        <v>233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 t="s">
        <v>443</v>
      </c>
      <c r="B315" s="1" t="s">
        <v>567</v>
      </c>
      <c r="C315" s="1" t="s">
        <v>586</v>
      </c>
      <c r="D315" s="1" t="s">
        <v>141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 t="s">
        <v>443</v>
      </c>
      <c r="B316" s="1" t="s">
        <v>568</v>
      </c>
      <c r="C316" s="1" t="s">
        <v>587</v>
      </c>
      <c r="D316" s="1" t="s">
        <v>78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 t="s">
        <v>443</v>
      </c>
      <c r="B317" s="1" t="s">
        <v>40</v>
      </c>
      <c r="C317" s="1" t="s">
        <v>588</v>
      </c>
      <c r="D317" s="1" t="s">
        <v>652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443</v>
      </c>
      <c r="B318" s="1" t="s">
        <v>569</v>
      </c>
      <c r="C318" s="1" t="s">
        <v>589</v>
      </c>
      <c r="D318" s="1" t="s">
        <v>78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 t="s">
        <v>443</v>
      </c>
      <c r="B319" s="1" t="s">
        <v>570</v>
      </c>
      <c r="C319" s="1" t="s">
        <v>590</v>
      </c>
      <c r="D319" s="1" t="s">
        <v>95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 t="s">
        <v>443</v>
      </c>
      <c r="B320" s="1" t="s">
        <v>571</v>
      </c>
      <c r="C320" s="1" t="s">
        <v>591</v>
      </c>
      <c r="D320" s="1" t="s">
        <v>95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 t="s">
        <v>443</v>
      </c>
      <c r="B321" s="1" t="s">
        <v>572</v>
      </c>
      <c r="C321" s="1" t="s">
        <v>592</v>
      </c>
      <c r="D321" s="1" t="s">
        <v>78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 t="s">
        <v>443</v>
      </c>
      <c r="B322" s="1" t="s">
        <v>573</v>
      </c>
      <c r="C322" s="1" t="s">
        <v>593</v>
      </c>
      <c r="D322" s="1" t="s">
        <v>78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 t="s">
        <v>444</v>
      </c>
      <c r="B323" s="1" t="s">
        <v>174</v>
      </c>
      <c r="C323" s="1" t="s">
        <v>574</v>
      </c>
      <c r="D323" s="1" t="s">
        <v>223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 t="s">
        <v>444</v>
      </c>
      <c r="B324" s="1" t="s">
        <v>563</v>
      </c>
      <c r="C324" s="1" t="s">
        <v>575</v>
      </c>
      <c r="D324" s="1" t="s">
        <v>95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444</v>
      </c>
      <c r="B325" s="1" t="s">
        <v>564</v>
      </c>
      <c r="C325" s="1" t="s">
        <v>576</v>
      </c>
      <c r="D325" s="1" t="s">
        <v>141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 t="s">
        <v>444</v>
      </c>
      <c r="B326" s="1" t="s">
        <v>565</v>
      </c>
      <c r="C326" s="1" t="s">
        <v>577</v>
      </c>
      <c r="D326" s="1" t="s">
        <v>275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 t="s">
        <v>444</v>
      </c>
      <c r="B327" s="1" t="s">
        <v>566</v>
      </c>
      <c r="C327" s="1" t="s">
        <v>578</v>
      </c>
      <c r="D327" s="1" t="s">
        <v>78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 t="s">
        <v>444</v>
      </c>
      <c r="B328" s="1" t="s">
        <v>33</v>
      </c>
      <c r="C328" s="1" t="s">
        <v>579</v>
      </c>
      <c r="D328" s="1" t="s">
        <v>607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 t="s">
        <v>444</v>
      </c>
      <c r="B329" s="1" t="s">
        <v>34</v>
      </c>
      <c r="C329" s="1" t="s">
        <v>580</v>
      </c>
      <c r="D329" s="1" t="s">
        <v>653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 t="s">
        <v>444</v>
      </c>
      <c r="B330" s="1" t="s">
        <v>35</v>
      </c>
      <c r="C330" s="1" t="s">
        <v>581</v>
      </c>
      <c r="D330" s="1" t="s">
        <v>654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 t="s">
        <v>444</v>
      </c>
      <c r="B331" s="1" t="s">
        <v>36</v>
      </c>
      <c r="C331" s="1" t="s">
        <v>582</v>
      </c>
      <c r="D331" s="1" t="s">
        <v>352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 t="s">
        <v>444</v>
      </c>
      <c r="B332" s="1" t="s">
        <v>37</v>
      </c>
      <c r="C332" s="1" t="s">
        <v>583</v>
      </c>
      <c r="D332" s="1" t="s">
        <v>417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 t="s">
        <v>444</v>
      </c>
      <c r="B333" s="1" t="s">
        <v>38</v>
      </c>
      <c r="C333" s="1" t="s">
        <v>584</v>
      </c>
      <c r="D333" s="1" t="s">
        <v>655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 t="s">
        <v>444</v>
      </c>
      <c r="B334" s="1" t="s">
        <v>39</v>
      </c>
      <c r="C334" s="1" t="s">
        <v>585</v>
      </c>
      <c r="D334" s="1" t="s">
        <v>244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 t="s">
        <v>444</v>
      </c>
      <c r="B335" s="1" t="s">
        <v>567</v>
      </c>
      <c r="C335" s="1" t="s">
        <v>586</v>
      </c>
      <c r="D335" s="1" t="s">
        <v>141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 t="s">
        <v>444</v>
      </c>
      <c r="B336" s="1" t="s">
        <v>568</v>
      </c>
      <c r="C336" s="1" t="s">
        <v>587</v>
      </c>
      <c r="D336" s="1" t="s">
        <v>95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 t="s">
        <v>444</v>
      </c>
      <c r="B337" s="1" t="s">
        <v>40</v>
      </c>
      <c r="C337" s="1" t="s">
        <v>588</v>
      </c>
      <c r="D337" s="1" t="s">
        <v>656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 t="s">
        <v>444</v>
      </c>
      <c r="B338" s="1" t="s">
        <v>569</v>
      </c>
      <c r="C338" s="1" t="s">
        <v>589</v>
      </c>
      <c r="D338" s="1" t="s">
        <v>78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 t="s">
        <v>444</v>
      </c>
      <c r="B339" s="1" t="s">
        <v>570</v>
      </c>
      <c r="C339" s="1" t="s">
        <v>590</v>
      </c>
      <c r="D339" s="1" t="s">
        <v>275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 t="s">
        <v>444</v>
      </c>
      <c r="B340" s="1" t="s">
        <v>571</v>
      </c>
      <c r="C340" s="1" t="s">
        <v>591</v>
      </c>
      <c r="D340" s="1" t="s">
        <v>232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 t="s">
        <v>444</v>
      </c>
      <c r="B341" s="1" t="s">
        <v>572</v>
      </c>
      <c r="C341" s="1" t="s">
        <v>592</v>
      </c>
      <c r="D341" s="1" t="s">
        <v>95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 t="s">
        <v>444</v>
      </c>
      <c r="B342" s="1" t="s">
        <v>573</v>
      </c>
      <c r="C342" s="1" t="s">
        <v>593</v>
      </c>
      <c r="D342" s="1" t="s">
        <v>95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 t="s">
        <v>445</v>
      </c>
      <c r="B343" s="1" t="s">
        <v>174</v>
      </c>
      <c r="C343" s="1" t="s">
        <v>574</v>
      </c>
      <c r="D343" s="1" t="s">
        <v>223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 t="s">
        <v>445</v>
      </c>
      <c r="B344" s="1" t="s">
        <v>563</v>
      </c>
      <c r="C344" s="1" t="s">
        <v>575</v>
      </c>
      <c r="D344" s="1" t="s">
        <v>95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445</v>
      </c>
      <c r="B345" s="1" t="s">
        <v>564</v>
      </c>
      <c r="C345" s="1" t="s">
        <v>576</v>
      </c>
      <c r="D345" s="1" t="s">
        <v>141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 t="s">
        <v>445</v>
      </c>
      <c r="B346" s="1" t="s">
        <v>565</v>
      </c>
      <c r="C346" s="1" t="s">
        <v>577</v>
      </c>
      <c r="D346" s="1" t="s">
        <v>223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 t="s">
        <v>445</v>
      </c>
      <c r="B347" s="1" t="s">
        <v>566</v>
      </c>
      <c r="C347" s="1" t="s">
        <v>578</v>
      </c>
      <c r="D347" s="1" t="s">
        <v>78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 t="s">
        <v>445</v>
      </c>
      <c r="B348" s="1" t="s">
        <v>33</v>
      </c>
      <c r="C348" s="1" t="s">
        <v>579</v>
      </c>
      <c r="D348" s="1" t="s">
        <v>657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 t="s">
        <v>445</v>
      </c>
      <c r="B349" s="1" t="s">
        <v>34</v>
      </c>
      <c r="C349" s="1" t="s">
        <v>580</v>
      </c>
      <c r="D349" s="1" t="s">
        <v>658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 t="s">
        <v>445</v>
      </c>
      <c r="B350" s="1" t="s">
        <v>35</v>
      </c>
      <c r="C350" s="1" t="s">
        <v>581</v>
      </c>
      <c r="D350" s="1" t="s">
        <v>659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 t="s">
        <v>445</v>
      </c>
      <c r="B351" s="1" t="s">
        <v>36</v>
      </c>
      <c r="C351" s="1" t="s">
        <v>582</v>
      </c>
      <c r="D351" s="1" t="s">
        <v>133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 t="s">
        <v>445</v>
      </c>
      <c r="B352" s="1" t="s">
        <v>37</v>
      </c>
      <c r="C352" s="1" t="s">
        <v>583</v>
      </c>
      <c r="D352" s="1" t="s">
        <v>230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445</v>
      </c>
      <c r="B353" s="1" t="s">
        <v>38</v>
      </c>
      <c r="C353" s="1" t="s">
        <v>584</v>
      </c>
      <c r="D353" s="1" t="s">
        <v>660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 t="s">
        <v>445</v>
      </c>
      <c r="B354" s="1" t="s">
        <v>39</v>
      </c>
      <c r="C354" s="1" t="s">
        <v>585</v>
      </c>
      <c r="D354" s="1" t="s">
        <v>374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 t="s">
        <v>445</v>
      </c>
      <c r="B355" s="1" t="s">
        <v>567</v>
      </c>
      <c r="C355" s="1" t="s">
        <v>586</v>
      </c>
      <c r="D355" s="1" t="s">
        <v>141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 t="s">
        <v>445</v>
      </c>
      <c r="B356" s="1" t="s">
        <v>568</v>
      </c>
      <c r="C356" s="1" t="s">
        <v>587</v>
      </c>
      <c r="D356" s="1" t="s">
        <v>95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445</v>
      </c>
      <c r="B357" s="1" t="s">
        <v>40</v>
      </c>
      <c r="C357" s="1" t="s">
        <v>588</v>
      </c>
      <c r="D357" s="1" t="s">
        <v>661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445</v>
      </c>
      <c r="B358" s="1" t="s">
        <v>569</v>
      </c>
      <c r="C358" s="1" t="s">
        <v>589</v>
      </c>
      <c r="D358" s="1" t="s">
        <v>78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445</v>
      </c>
      <c r="B359" s="1" t="s">
        <v>570</v>
      </c>
      <c r="C359" s="1" t="s">
        <v>590</v>
      </c>
      <c r="D359" s="1" t="s">
        <v>275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 t="s">
        <v>445</v>
      </c>
      <c r="B360" s="1" t="s">
        <v>571</v>
      </c>
      <c r="C360" s="1" t="s">
        <v>591</v>
      </c>
      <c r="D360" s="1" t="s">
        <v>275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445</v>
      </c>
      <c r="B361" s="1" t="s">
        <v>572</v>
      </c>
      <c r="C361" s="1" t="s">
        <v>592</v>
      </c>
      <c r="D361" s="1" t="s">
        <v>95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445</v>
      </c>
      <c r="B362" s="1" t="s">
        <v>573</v>
      </c>
      <c r="C362" s="1" t="s">
        <v>593</v>
      </c>
      <c r="D362" s="1" t="s">
        <v>78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446</v>
      </c>
      <c r="B363" s="1" t="s">
        <v>174</v>
      </c>
      <c r="C363" s="1" t="s">
        <v>574</v>
      </c>
      <c r="D363" s="1" t="s">
        <v>78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446</v>
      </c>
      <c r="B364" s="1" t="s">
        <v>563</v>
      </c>
      <c r="C364" s="1" t="s">
        <v>575</v>
      </c>
      <c r="D364" s="1" t="s">
        <v>78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446</v>
      </c>
      <c r="B365" s="1" t="s">
        <v>564</v>
      </c>
      <c r="C365" s="1" t="s">
        <v>576</v>
      </c>
      <c r="D365" s="1" t="s">
        <v>92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446</v>
      </c>
      <c r="B366" s="1" t="s">
        <v>565</v>
      </c>
      <c r="C366" s="1" t="s">
        <v>577</v>
      </c>
      <c r="D366" s="1" t="s">
        <v>78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446</v>
      </c>
      <c r="B367" s="1" t="s">
        <v>566</v>
      </c>
      <c r="C367" s="1" t="s">
        <v>578</v>
      </c>
      <c r="D367" s="1" t="s">
        <v>78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 t="s">
        <v>446</v>
      </c>
      <c r="B368" s="1" t="s">
        <v>33</v>
      </c>
      <c r="C368" s="1" t="s">
        <v>579</v>
      </c>
      <c r="D368" s="1" t="s">
        <v>141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 t="s">
        <v>446</v>
      </c>
      <c r="B369" s="1" t="s">
        <v>34</v>
      </c>
      <c r="C369" s="1" t="s">
        <v>580</v>
      </c>
      <c r="D369" s="1" t="s">
        <v>629</v>
      </c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 t="s">
        <v>446</v>
      </c>
      <c r="B370" s="1" t="s">
        <v>35</v>
      </c>
      <c r="C370" s="1" t="s">
        <v>581</v>
      </c>
      <c r="D370" s="1" t="s">
        <v>630</v>
      </c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 t="s">
        <v>446</v>
      </c>
      <c r="B371" s="1" t="s">
        <v>36</v>
      </c>
      <c r="C371" s="1" t="s">
        <v>582</v>
      </c>
      <c r="D371" s="1" t="s">
        <v>275</v>
      </c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 t="s">
        <v>446</v>
      </c>
      <c r="B372" s="1" t="s">
        <v>37</v>
      </c>
      <c r="C372" s="1" t="s">
        <v>583</v>
      </c>
      <c r="D372" s="1" t="s">
        <v>275</v>
      </c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 t="s">
        <v>446</v>
      </c>
      <c r="B373" s="1" t="s">
        <v>38</v>
      </c>
      <c r="C373" s="1" t="s">
        <v>584</v>
      </c>
      <c r="D373" s="1" t="s">
        <v>629</v>
      </c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 t="s">
        <v>446</v>
      </c>
      <c r="B374" s="1" t="s">
        <v>39</v>
      </c>
      <c r="C374" s="1" t="s">
        <v>585</v>
      </c>
      <c r="D374" s="1" t="s">
        <v>145</v>
      </c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 t="s">
        <v>446</v>
      </c>
      <c r="B375" s="1" t="s">
        <v>567</v>
      </c>
      <c r="C375" s="1" t="s">
        <v>586</v>
      </c>
      <c r="D375" s="1" t="s">
        <v>141</v>
      </c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 t="s">
        <v>446</v>
      </c>
      <c r="B376" s="1" t="s">
        <v>568</v>
      </c>
      <c r="C376" s="1" t="s">
        <v>587</v>
      </c>
      <c r="D376" s="1" t="s">
        <v>78</v>
      </c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 t="s">
        <v>446</v>
      </c>
      <c r="B377" s="1" t="s">
        <v>40</v>
      </c>
      <c r="C377" s="1" t="s">
        <v>588</v>
      </c>
      <c r="D377" s="1" t="s">
        <v>631</v>
      </c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 t="s">
        <v>446</v>
      </c>
      <c r="B378" s="1" t="s">
        <v>569</v>
      </c>
      <c r="C378" s="1" t="s">
        <v>589</v>
      </c>
      <c r="D378" s="1" t="s">
        <v>78</v>
      </c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 t="s">
        <v>446</v>
      </c>
      <c r="B379" s="1" t="s">
        <v>570</v>
      </c>
      <c r="C379" s="1" t="s">
        <v>590</v>
      </c>
      <c r="D379" s="1" t="s">
        <v>95</v>
      </c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 t="s">
        <v>446</v>
      </c>
      <c r="B380" s="1" t="s">
        <v>571</v>
      </c>
      <c r="C380" s="1" t="s">
        <v>591</v>
      </c>
      <c r="D380" s="1" t="s">
        <v>95</v>
      </c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 t="s">
        <v>446</v>
      </c>
      <c r="B381" s="1" t="s">
        <v>572</v>
      </c>
      <c r="C381" s="1" t="s">
        <v>592</v>
      </c>
      <c r="D381" s="1" t="s">
        <v>78</v>
      </c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 t="s">
        <v>446</v>
      </c>
      <c r="B382" s="1" t="s">
        <v>573</v>
      </c>
      <c r="C382" s="1" t="s">
        <v>593</v>
      </c>
      <c r="D382" s="1" t="s">
        <v>78</v>
      </c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 t="s">
        <v>447</v>
      </c>
      <c r="B383" s="1" t="s">
        <v>174</v>
      </c>
      <c r="C383" s="1" t="s">
        <v>574</v>
      </c>
      <c r="D383" s="1" t="s">
        <v>78</v>
      </c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 t="s">
        <v>447</v>
      </c>
      <c r="B384" s="1" t="s">
        <v>563</v>
      </c>
      <c r="C384" s="1" t="s">
        <v>575</v>
      </c>
      <c r="D384" s="1" t="s">
        <v>78</v>
      </c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 t="s">
        <v>447</v>
      </c>
      <c r="B385" s="1" t="s">
        <v>564</v>
      </c>
      <c r="C385" s="1" t="s">
        <v>576</v>
      </c>
      <c r="D385" s="1" t="s">
        <v>92</v>
      </c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 t="s">
        <v>447</v>
      </c>
      <c r="B386" s="1" t="s">
        <v>565</v>
      </c>
      <c r="C386" s="1" t="s">
        <v>577</v>
      </c>
      <c r="D386" s="1" t="s">
        <v>78</v>
      </c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 t="s">
        <v>447</v>
      </c>
      <c r="B387" s="1" t="s">
        <v>566</v>
      </c>
      <c r="C387" s="1" t="s">
        <v>578</v>
      </c>
      <c r="D387" s="1" t="s">
        <v>78</v>
      </c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 t="s">
        <v>447</v>
      </c>
      <c r="B388" s="1" t="s">
        <v>33</v>
      </c>
      <c r="C388" s="1" t="s">
        <v>579</v>
      </c>
      <c r="D388" s="1" t="s">
        <v>92</v>
      </c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 t="s">
        <v>447</v>
      </c>
      <c r="B389" s="1" t="s">
        <v>34</v>
      </c>
      <c r="C389" s="1" t="s">
        <v>580</v>
      </c>
      <c r="D389" s="1" t="s">
        <v>92</v>
      </c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 t="s">
        <v>447</v>
      </c>
      <c r="B390" s="1" t="s">
        <v>35</v>
      </c>
      <c r="C390" s="1" t="s">
        <v>581</v>
      </c>
      <c r="D390" s="1" t="s">
        <v>92</v>
      </c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 t="s">
        <v>447</v>
      </c>
      <c r="B391" s="1" t="s">
        <v>36</v>
      </c>
      <c r="C391" s="1" t="s">
        <v>582</v>
      </c>
      <c r="D391" s="1" t="s">
        <v>232</v>
      </c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 t="s">
        <v>447</v>
      </c>
      <c r="B392" s="1" t="s">
        <v>37</v>
      </c>
      <c r="C392" s="1" t="s">
        <v>583</v>
      </c>
      <c r="D392" s="1" t="s">
        <v>232</v>
      </c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 t="s">
        <v>447</v>
      </c>
      <c r="B393" s="1" t="s">
        <v>38</v>
      </c>
      <c r="C393" s="1" t="s">
        <v>584</v>
      </c>
      <c r="D393" s="1" t="s">
        <v>607</v>
      </c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 t="s">
        <v>447</v>
      </c>
      <c r="B394" s="1" t="s">
        <v>39</v>
      </c>
      <c r="C394" s="1" t="s">
        <v>585</v>
      </c>
      <c r="D394" s="1" t="s">
        <v>145</v>
      </c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 t="s">
        <v>447</v>
      </c>
      <c r="B395" s="1" t="s">
        <v>567</v>
      </c>
      <c r="C395" s="1" t="s">
        <v>586</v>
      </c>
      <c r="D395" s="1" t="s">
        <v>92</v>
      </c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 t="s">
        <v>447</v>
      </c>
      <c r="B396" s="1" t="s">
        <v>568</v>
      </c>
      <c r="C396" s="1" t="s">
        <v>587</v>
      </c>
      <c r="D396" s="1" t="s">
        <v>78</v>
      </c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 t="s">
        <v>447</v>
      </c>
      <c r="B397" s="1" t="s">
        <v>40</v>
      </c>
      <c r="C397" s="1" t="s">
        <v>588</v>
      </c>
      <c r="D397" s="1" t="s">
        <v>662</v>
      </c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447</v>
      </c>
      <c r="B398" s="1" t="s">
        <v>569</v>
      </c>
      <c r="C398" s="1" t="s">
        <v>589</v>
      </c>
      <c r="D398" s="1" t="s">
        <v>78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 t="s">
        <v>447</v>
      </c>
      <c r="B399" s="1" t="s">
        <v>570</v>
      </c>
      <c r="C399" s="1" t="s">
        <v>590</v>
      </c>
      <c r="D399" s="1" t="s">
        <v>95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 t="s">
        <v>447</v>
      </c>
      <c r="B400" s="1" t="s">
        <v>571</v>
      </c>
      <c r="C400" s="1" t="s">
        <v>591</v>
      </c>
      <c r="D400" s="1" t="s">
        <v>78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447</v>
      </c>
      <c r="B401" s="1" t="s">
        <v>572</v>
      </c>
      <c r="C401" s="1" t="s">
        <v>592</v>
      </c>
      <c r="D401" s="1" t="s">
        <v>78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 t="s">
        <v>447</v>
      </c>
      <c r="B402" s="1" t="s">
        <v>573</v>
      </c>
      <c r="C402" s="1" t="s">
        <v>593</v>
      </c>
      <c r="D402" s="1" t="s">
        <v>78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 t="s">
        <v>448</v>
      </c>
      <c r="B403" s="1" t="s">
        <v>174</v>
      </c>
      <c r="C403" s="1" t="s">
        <v>574</v>
      </c>
      <c r="D403" s="1" t="s">
        <v>95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 t="s">
        <v>448</v>
      </c>
      <c r="B404" s="1" t="s">
        <v>563</v>
      </c>
      <c r="C404" s="1" t="s">
        <v>575</v>
      </c>
      <c r="D404" s="1" t="s">
        <v>78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 t="s">
        <v>448</v>
      </c>
      <c r="B405" s="1" t="s">
        <v>564</v>
      </c>
      <c r="C405" s="1" t="s">
        <v>576</v>
      </c>
      <c r="D405" s="1" t="s">
        <v>141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 t="s">
        <v>448</v>
      </c>
      <c r="B406" s="1" t="s">
        <v>565</v>
      </c>
      <c r="C406" s="1" t="s">
        <v>577</v>
      </c>
      <c r="D406" s="1" t="s">
        <v>95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 t="s">
        <v>448</v>
      </c>
      <c r="B407" s="1" t="s">
        <v>566</v>
      </c>
      <c r="C407" s="1" t="s">
        <v>578</v>
      </c>
      <c r="D407" s="1" t="s">
        <v>95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 t="s">
        <v>448</v>
      </c>
      <c r="B408" s="1" t="s">
        <v>33</v>
      </c>
      <c r="C408" s="1" t="s">
        <v>579</v>
      </c>
      <c r="D408" s="1" t="s">
        <v>663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448</v>
      </c>
      <c r="B409" s="1" t="s">
        <v>34</v>
      </c>
      <c r="C409" s="1" t="s">
        <v>580</v>
      </c>
      <c r="D409" s="1" t="s">
        <v>664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 t="s">
        <v>448</v>
      </c>
      <c r="B410" s="1" t="s">
        <v>35</v>
      </c>
      <c r="C410" s="1" t="s">
        <v>581</v>
      </c>
      <c r="D410" s="1" t="s">
        <v>665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 t="s">
        <v>448</v>
      </c>
      <c r="B411" s="1" t="s">
        <v>36</v>
      </c>
      <c r="C411" s="1" t="s">
        <v>582</v>
      </c>
      <c r="D411" s="1" t="s">
        <v>230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 t="s">
        <v>448</v>
      </c>
      <c r="B412" s="1" t="s">
        <v>37</v>
      </c>
      <c r="C412" s="1" t="s">
        <v>583</v>
      </c>
      <c r="D412" s="1" t="s">
        <v>233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448</v>
      </c>
      <c r="B413" s="1" t="s">
        <v>38</v>
      </c>
      <c r="C413" s="1" t="s">
        <v>584</v>
      </c>
      <c r="D413" s="1" t="s">
        <v>666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448</v>
      </c>
      <c r="B414" s="1" t="s">
        <v>39</v>
      </c>
      <c r="C414" s="1" t="s">
        <v>585</v>
      </c>
      <c r="D414" s="1" t="s">
        <v>230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 t="s">
        <v>448</v>
      </c>
      <c r="B415" s="1" t="s">
        <v>567</v>
      </c>
      <c r="C415" s="1" t="s">
        <v>586</v>
      </c>
      <c r="D415" s="1" t="s">
        <v>92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 t="s">
        <v>448</v>
      </c>
      <c r="B416" s="1" t="s">
        <v>568</v>
      </c>
      <c r="C416" s="1" t="s">
        <v>587</v>
      </c>
      <c r="D416" s="1" t="s">
        <v>95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 t="s">
        <v>448</v>
      </c>
      <c r="B417" s="1" t="s">
        <v>40</v>
      </c>
      <c r="C417" s="1" t="s">
        <v>588</v>
      </c>
      <c r="D417" s="1" t="s">
        <v>667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 t="s">
        <v>448</v>
      </c>
      <c r="B418" s="1" t="s">
        <v>569</v>
      </c>
      <c r="C418" s="1" t="s">
        <v>589</v>
      </c>
      <c r="D418" s="1" t="s">
        <v>78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 t="s">
        <v>448</v>
      </c>
      <c r="B419" s="1" t="s">
        <v>570</v>
      </c>
      <c r="C419" s="1" t="s">
        <v>590</v>
      </c>
      <c r="D419" s="1" t="s">
        <v>223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 t="s">
        <v>448</v>
      </c>
      <c r="B420" s="1" t="s">
        <v>571</v>
      </c>
      <c r="C420" s="1" t="s">
        <v>591</v>
      </c>
      <c r="D420" s="1" t="s">
        <v>275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 t="s">
        <v>448</v>
      </c>
      <c r="B421" s="1" t="s">
        <v>572</v>
      </c>
      <c r="C421" s="1" t="s">
        <v>592</v>
      </c>
      <c r="D421" s="1" t="s">
        <v>95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 t="s">
        <v>448</v>
      </c>
      <c r="B422" s="1" t="s">
        <v>573</v>
      </c>
      <c r="C422" s="1" t="s">
        <v>593</v>
      </c>
      <c r="D422" s="1" t="s">
        <v>95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 t="s">
        <v>449</v>
      </c>
      <c r="B423" s="1" t="s">
        <v>174</v>
      </c>
      <c r="C423" s="1" t="s">
        <v>574</v>
      </c>
      <c r="D423" s="1" t="s">
        <v>78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 t="s">
        <v>449</v>
      </c>
      <c r="B424" s="1" t="s">
        <v>563</v>
      </c>
      <c r="C424" s="1" t="s">
        <v>575</v>
      </c>
      <c r="D424" s="1" t="s">
        <v>78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 t="s">
        <v>449</v>
      </c>
      <c r="B425" s="1" t="s">
        <v>564</v>
      </c>
      <c r="C425" s="1" t="s">
        <v>576</v>
      </c>
      <c r="D425" s="1" t="s">
        <v>92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 t="s">
        <v>449</v>
      </c>
      <c r="B426" s="1" t="s">
        <v>565</v>
      </c>
      <c r="C426" s="1" t="s">
        <v>577</v>
      </c>
      <c r="D426" s="1" t="s">
        <v>78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 t="s">
        <v>449</v>
      </c>
      <c r="B427" s="1" t="s">
        <v>566</v>
      </c>
      <c r="C427" s="1" t="s">
        <v>578</v>
      </c>
      <c r="D427" s="1" t="s">
        <v>78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 t="s">
        <v>449</v>
      </c>
      <c r="B428" s="1" t="s">
        <v>33</v>
      </c>
      <c r="C428" s="1" t="s">
        <v>579</v>
      </c>
      <c r="D428" s="1" t="s">
        <v>668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449</v>
      </c>
      <c r="B429" s="1" t="s">
        <v>34</v>
      </c>
      <c r="C429" s="1" t="s">
        <v>580</v>
      </c>
      <c r="D429" s="1" t="s">
        <v>669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449</v>
      </c>
      <c r="B430" s="1" t="s">
        <v>35</v>
      </c>
      <c r="C430" s="1" t="s">
        <v>581</v>
      </c>
      <c r="D430" s="1" t="s">
        <v>670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 t="s">
        <v>449</v>
      </c>
      <c r="B431" s="1" t="s">
        <v>36</v>
      </c>
      <c r="C431" s="1" t="s">
        <v>582</v>
      </c>
      <c r="D431" s="1" t="s">
        <v>245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 t="s">
        <v>449</v>
      </c>
      <c r="B432" s="1" t="s">
        <v>37</v>
      </c>
      <c r="C432" s="1" t="s">
        <v>583</v>
      </c>
      <c r="D432" s="1" t="s">
        <v>98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 t="s">
        <v>449</v>
      </c>
      <c r="B433" s="1" t="s">
        <v>38</v>
      </c>
      <c r="C433" s="1" t="s">
        <v>584</v>
      </c>
      <c r="D433" s="1" t="s">
        <v>601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449</v>
      </c>
      <c r="B434" s="1" t="s">
        <v>39</v>
      </c>
      <c r="C434" s="1" t="s">
        <v>585</v>
      </c>
      <c r="D434" s="1" t="s">
        <v>230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449</v>
      </c>
      <c r="B435" s="1" t="s">
        <v>567</v>
      </c>
      <c r="C435" s="1" t="s">
        <v>586</v>
      </c>
      <c r="D435" s="1" t="s">
        <v>92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449</v>
      </c>
      <c r="B436" s="1" t="s">
        <v>568</v>
      </c>
      <c r="C436" s="1" t="s">
        <v>587</v>
      </c>
      <c r="D436" s="1" t="s">
        <v>78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449</v>
      </c>
      <c r="B437" s="1" t="s">
        <v>40</v>
      </c>
      <c r="C437" s="1" t="s">
        <v>588</v>
      </c>
      <c r="D437" s="1" t="s">
        <v>671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449</v>
      </c>
      <c r="B438" s="1" t="s">
        <v>569</v>
      </c>
      <c r="C438" s="1" t="s">
        <v>589</v>
      </c>
      <c r="D438" s="1" t="s">
        <v>78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 t="s">
        <v>449</v>
      </c>
      <c r="B439" s="1" t="s">
        <v>570</v>
      </c>
      <c r="C439" s="1" t="s">
        <v>590</v>
      </c>
      <c r="D439" s="1" t="s">
        <v>95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 t="s">
        <v>449</v>
      </c>
      <c r="B440" s="1" t="s">
        <v>571</v>
      </c>
      <c r="C440" s="1" t="s">
        <v>591</v>
      </c>
      <c r="D440" s="1" t="s">
        <v>95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 t="s">
        <v>449</v>
      </c>
      <c r="B441" s="1" t="s">
        <v>572</v>
      </c>
      <c r="C441" s="1" t="s">
        <v>592</v>
      </c>
      <c r="D441" s="1" t="s">
        <v>78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 t="s">
        <v>449</v>
      </c>
      <c r="B442" s="1" t="s">
        <v>573</v>
      </c>
      <c r="C442" s="1" t="s">
        <v>593</v>
      </c>
      <c r="D442" s="1" t="s">
        <v>95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 t="s">
        <v>450</v>
      </c>
      <c r="B443" s="1" t="s">
        <v>174</v>
      </c>
      <c r="C443" s="1" t="s">
        <v>574</v>
      </c>
      <c r="D443" s="1" t="s">
        <v>78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 t="s">
        <v>450</v>
      </c>
      <c r="B444" s="1" t="s">
        <v>563</v>
      </c>
      <c r="C444" s="1" t="s">
        <v>575</v>
      </c>
      <c r="D444" s="1" t="s">
        <v>78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 t="s">
        <v>450</v>
      </c>
      <c r="B445" s="1" t="s">
        <v>564</v>
      </c>
      <c r="C445" s="1" t="s">
        <v>576</v>
      </c>
      <c r="D445" s="1" t="s">
        <v>600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 t="s">
        <v>450</v>
      </c>
      <c r="B446" s="1" t="s">
        <v>565</v>
      </c>
      <c r="C446" s="1" t="s">
        <v>577</v>
      </c>
      <c r="D446" s="1" t="s">
        <v>223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 t="s">
        <v>450</v>
      </c>
      <c r="B447" s="1" t="s">
        <v>566</v>
      </c>
      <c r="C447" s="1" t="s">
        <v>578</v>
      </c>
      <c r="D447" s="1" t="s">
        <v>95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 t="s">
        <v>450</v>
      </c>
      <c r="B448" s="1" t="s">
        <v>33</v>
      </c>
      <c r="C448" s="1" t="s">
        <v>579</v>
      </c>
      <c r="D448" s="1" t="s">
        <v>672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450</v>
      </c>
      <c r="B449" s="1" t="s">
        <v>34</v>
      </c>
      <c r="C449" s="1" t="s">
        <v>580</v>
      </c>
      <c r="D449" s="1" t="s">
        <v>673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 t="s">
        <v>450</v>
      </c>
      <c r="B450" s="1" t="s">
        <v>35</v>
      </c>
      <c r="C450" s="1" t="s">
        <v>581</v>
      </c>
      <c r="D450" s="1" t="s">
        <v>674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 t="s">
        <v>450</v>
      </c>
      <c r="B451" s="1" t="s">
        <v>36</v>
      </c>
      <c r="C451" s="1" t="s">
        <v>582</v>
      </c>
      <c r="D451" s="1" t="s">
        <v>133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 t="s">
        <v>450</v>
      </c>
      <c r="B452" s="1" t="s">
        <v>37</v>
      </c>
      <c r="C452" s="1" t="s">
        <v>583</v>
      </c>
      <c r="D452" s="1" t="s">
        <v>230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450</v>
      </c>
      <c r="B453" s="1" t="s">
        <v>38</v>
      </c>
      <c r="C453" s="1" t="s">
        <v>584</v>
      </c>
      <c r="D453" s="1" t="s">
        <v>660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450</v>
      </c>
      <c r="B454" s="1" t="s">
        <v>39</v>
      </c>
      <c r="C454" s="1" t="s">
        <v>585</v>
      </c>
      <c r="D454" s="1" t="s">
        <v>228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 t="s">
        <v>450</v>
      </c>
      <c r="B455" s="1" t="s">
        <v>567</v>
      </c>
      <c r="C455" s="1" t="s">
        <v>586</v>
      </c>
      <c r="D455" s="1" t="s">
        <v>92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 t="s">
        <v>450</v>
      </c>
      <c r="B456" s="1" t="s">
        <v>568</v>
      </c>
      <c r="C456" s="1" t="s">
        <v>587</v>
      </c>
      <c r="D456" s="1" t="s">
        <v>78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 t="s">
        <v>450</v>
      </c>
      <c r="B457" s="1" t="s">
        <v>40</v>
      </c>
      <c r="C457" s="1" t="s">
        <v>588</v>
      </c>
      <c r="D457" s="1" t="s">
        <v>675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450</v>
      </c>
      <c r="B458" s="1" t="s">
        <v>569</v>
      </c>
      <c r="C458" s="1" t="s">
        <v>589</v>
      </c>
      <c r="D458" s="1" t="s">
        <v>78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 t="s">
        <v>450</v>
      </c>
      <c r="B459" s="1" t="s">
        <v>570</v>
      </c>
      <c r="C459" s="1" t="s">
        <v>590</v>
      </c>
      <c r="D459" s="1" t="s">
        <v>95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 t="s">
        <v>450</v>
      </c>
      <c r="B460" s="1" t="s">
        <v>571</v>
      </c>
      <c r="C460" s="1" t="s">
        <v>591</v>
      </c>
      <c r="D460" s="1" t="s">
        <v>95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450</v>
      </c>
      <c r="B461" s="1" t="s">
        <v>572</v>
      </c>
      <c r="C461" s="1" t="s">
        <v>592</v>
      </c>
      <c r="D461" s="1" t="s">
        <v>78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 t="s">
        <v>450</v>
      </c>
      <c r="B462" s="1" t="s">
        <v>573</v>
      </c>
      <c r="C462" s="1" t="s">
        <v>593</v>
      </c>
      <c r="D462" s="1" t="s">
        <v>78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451</v>
      </c>
      <c r="B463" s="1" t="s">
        <v>174</v>
      </c>
      <c r="C463" s="1" t="s">
        <v>574</v>
      </c>
      <c r="D463" s="1" t="s">
        <v>223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 t="s">
        <v>451</v>
      </c>
      <c r="B464" s="1" t="s">
        <v>563</v>
      </c>
      <c r="C464" s="1" t="s">
        <v>575</v>
      </c>
      <c r="D464" s="1" t="s">
        <v>95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 t="s">
        <v>451</v>
      </c>
      <c r="B465" s="1" t="s">
        <v>564</v>
      </c>
      <c r="C465" s="1" t="s">
        <v>576</v>
      </c>
      <c r="D465" s="1" t="s">
        <v>141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 t="s">
        <v>451</v>
      </c>
      <c r="B466" s="1" t="s">
        <v>565</v>
      </c>
      <c r="C466" s="1" t="s">
        <v>577</v>
      </c>
      <c r="D466" s="1" t="s">
        <v>95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 t="s">
        <v>451</v>
      </c>
      <c r="B467" s="1" t="s">
        <v>566</v>
      </c>
      <c r="C467" s="1" t="s">
        <v>578</v>
      </c>
      <c r="D467" s="1" t="s">
        <v>78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 t="s">
        <v>451</v>
      </c>
      <c r="B468" s="1" t="s">
        <v>33</v>
      </c>
      <c r="C468" s="1" t="s">
        <v>579</v>
      </c>
      <c r="D468" s="1" t="s">
        <v>676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 t="s">
        <v>451</v>
      </c>
      <c r="B469" s="1" t="s">
        <v>34</v>
      </c>
      <c r="C469" s="1" t="s">
        <v>580</v>
      </c>
      <c r="D469" s="1" t="s">
        <v>677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 t="s">
        <v>451</v>
      </c>
      <c r="B470" s="1" t="s">
        <v>35</v>
      </c>
      <c r="C470" s="1" t="s">
        <v>581</v>
      </c>
      <c r="D470" s="1" t="s">
        <v>678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 t="s">
        <v>451</v>
      </c>
      <c r="B471" s="1" t="s">
        <v>36</v>
      </c>
      <c r="C471" s="1" t="s">
        <v>582</v>
      </c>
      <c r="D471" s="1" t="s">
        <v>417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 t="s">
        <v>451</v>
      </c>
      <c r="B472" s="1" t="s">
        <v>37</v>
      </c>
      <c r="C472" s="1" t="s">
        <v>583</v>
      </c>
      <c r="D472" s="1" t="s">
        <v>230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451</v>
      </c>
      <c r="B473" s="1" t="s">
        <v>38</v>
      </c>
      <c r="C473" s="1" t="s">
        <v>584</v>
      </c>
      <c r="D473" s="1" t="s">
        <v>679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451</v>
      </c>
      <c r="B474" s="1" t="s">
        <v>39</v>
      </c>
      <c r="C474" s="1" t="s">
        <v>585</v>
      </c>
      <c r="D474" s="1" t="s">
        <v>122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 t="s">
        <v>451</v>
      </c>
      <c r="B475" s="1" t="s">
        <v>567</v>
      </c>
      <c r="C475" s="1" t="s">
        <v>586</v>
      </c>
      <c r="D475" s="1" t="s">
        <v>141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 t="s">
        <v>451</v>
      </c>
      <c r="B476" s="1" t="s">
        <v>568</v>
      </c>
      <c r="C476" s="1" t="s">
        <v>587</v>
      </c>
      <c r="D476" s="1" t="s">
        <v>95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 t="s">
        <v>451</v>
      </c>
      <c r="B477" s="1" t="s">
        <v>40</v>
      </c>
      <c r="C477" s="1" t="s">
        <v>588</v>
      </c>
      <c r="D477" s="1" t="s">
        <v>680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451</v>
      </c>
      <c r="B478" s="1" t="s">
        <v>569</v>
      </c>
      <c r="C478" s="1" t="s">
        <v>589</v>
      </c>
      <c r="D478" s="1" t="s">
        <v>78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 t="s">
        <v>451</v>
      </c>
      <c r="B479" s="1" t="s">
        <v>570</v>
      </c>
      <c r="C479" s="1" t="s">
        <v>590</v>
      </c>
      <c r="D479" s="1" t="s">
        <v>275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 t="s">
        <v>451</v>
      </c>
      <c r="B480" s="1" t="s">
        <v>571</v>
      </c>
      <c r="C480" s="1" t="s">
        <v>591</v>
      </c>
      <c r="D480" s="1" t="s">
        <v>275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451</v>
      </c>
      <c r="B481" s="1" t="s">
        <v>572</v>
      </c>
      <c r="C481" s="1" t="s">
        <v>592</v>
      </c>
      <c r="D481" s="1" t="s">
        <v>95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 t="s">
        <v>451</v>
      </c>
      <c r="B482" s="1" t="s">
        <v>573</v>
      </c>
      <c r="C482" s="1" t="s">
        <v>593</v>
      </c>
      <c r="D482" s="1" t="s">
        <v>95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452</v>
      </c>
      <c r="B483" s="1" t="s">
        <v>174</v>
      </c>
      <c r="C483" s="1" t="s">
        <v>574</v>
      </c>
      <c r="D483" s="1" t="s">
        <v>97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 t="s">
        <v>452</v>
      </c>
      <c r="B484" s="1" t="s">
        <v>563</v>
      </c>
      <c r="C484" s="1" t="s">
        <v>575</v>
      </c>
      <c r="D484" s="1" t="s">
        <v>78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 t="s">
        <v>452</v>
      </c>
      <c r="B485" s="1" t="s">
        <v>564</v>
      </c>
      <c r="C485" s="1" t="s">
        <v>576</v>
      </c>
      <c r="D485" s="1" t="s">
        <v>600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 t="s">
        <v>452</v>
      </c>
      <c r="B486" s="1" t="s">
        <v>565</v>
      </c>
      <c r="C486" s="1" t="s">
        <v>577</v>
      </c>
      <c r="D486" s="1" t="s">
        <v>262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 t="s">
        <v>452</v>
      </c>
      <c r="B487" s="1" t="s">
        <v>566</v>
      </c>
      <c r="C487" s="1" t="s">
        <v>578</v>
      </c>
      <c r="D487" s="1" t="s">
        <v>95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 t="s">
        <v>452</v>
      </c>
      <c r="B488" s="1" t="s">
        <v>33</v>
      </c>
      <c r="C488" s="1" t="s">
        <v>579</v>
      </c>
      <c r="D488" s="1" t="s">
        <v>601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 t="s">
        <v>452</v>
      </c>
      <c r="B489" s="1" t="s">
        <v>34</v>
      </c>
      <c r="C489" s="1" t="s">
        <v>580</v>
      </c>
      <c r="D489" s="1" t="s">
        <v>602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 t="s">
        <v>452</v>
      </c>
      <c r="B490" s="1" t="s">
        <v>35</v>
      </c>
      <c r="C490" s="1" t="s">
        <v>581</v>
      </c>
      <c r="D490" s="1" t="s">
        <v>603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 t="s">
        <v>452</v>
      </c>
      <c r="B491" s="1" t="s">
        <v>36</v>
      </c>
      <c r="C491" s="1" t="s">
        <v>582</v>
      </c>
      <c r="D491" s="1" t="s">
        <v>604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 t="s">
        <v>452</v>
      </c>
      <c r="B492" s="1" t="s">
        <v>37</v>
      </c>
      <c r="C492" s="1" t="s">
        <v>583</v>
      </c>
      <c r="D492" s="1" t="s">
        <v>390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452</v>
      </c>
      <c r="B493" s="1" t="s">
        <v>38</v>
      </c>
      <c r="C493" s="1" t="s">
        <v>584</v>
      </c>
      <c r="D493" s="1" t="s">
        <v>605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452</v>
      </c>
      <c r="B494" s="1" t="s">
        <v>39</v>
      </c>
      <c r="C494" s="1" t="s">
        <v>585</v>
      </c>
      <c r="D494" s="1" t="s">
        <v>242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 t="s">
        <v>452</v>
      </c>
      <c r="B495" s="1" t="s">
        <v>567</v>
      </c>
      <c r="C495" s="1" t="s">
        <v>586</v>
      </c>
      <c r="D495" s="1" t="s">
        <v>92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 t="s">
        <v>452</v>
      </c>
      <c r="B496" s="1" t="s">
        <v>568</v>
      </c>
      <c r="C496" s="1" t="s">
        <v>587</v>
      </c>
      <c r="D496" s="1" t="s">
        <v>95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 t="s">
        <v>452</v>
      </c>
      <c r="B497" s="1" t="s">
        <v>40</v>
      </c>
      <c r="C497" s="1" t="s">
        <v>588</v>
      </c>
      <c r="D497" s="1" t="s">
        <v>606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452</v>
      </c>
      <c r="B498" s="1" t="s">
        <v>569</v>
      </c>
      <c r="C498" s="1" t="s">
        <v>589</v>
      </c>
      <c r="D498" s="1" t="s">
        <v>95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 t="s">
        <v>452</v>
      </c>
      <c r="B499" s="1" t="s">
        <v>570</v>
      </c>
      <c r="C499" s="1" t="s">
        <v>590</v>
      </c>
      <c r="D499" s="1" t="s">
        <v>245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 t="s">
        <v>452</v>
      </c>
      <c r="B500" s="1" t="s">
        <v>571</v>
      </c>
      <c r="C500" s="1" t="s">
        <v>591</v>
      </c>
      <c r="D500" s="1" t="s">
        <v>233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452</v>
      </c>
      <c r="B501" s="1" t="s">
        <v>572</v>
      </c>
      <c r="C501" s="1" t="s">
        <v>592</v>
      </c>
      <c r="D501" s="1" t="s">
        <v>232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452</v>
      </c>
      <c r="B502" s="1" t="s">
        <v>573</v>
      </c>
      <c r="C502" s="1" t="s">
        <v>593</v>
      </c>
      <c r="D502" s="1" t="s">
        <v>223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453</v>
      </c>
      <c r="B503" s="1" t="s">
        <v>174</v>
      </c>
      <c r="C503" s="1" t="s">
        <v>574</v>
      </c>
      <c r="D503" s="1" t="s">
        <v>95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 t="s">
        <v>453</v>
      </c>
      <c r="B504" s="1" t="s">
        <v>563</v>
      </c>
      <c r="C504" s="1" t="s">
        <v>575</v>
      </c>
      <c r="D504" s="1" t="s">
        <v>78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 t="s">
        <v>453</v>
      </c>
      <c r="B505" s="1" t="s">
        <v>564</v>
      </c>
      <c r="C505" s="1" t="s">
        <v>576</v>
      </c>
      <c r="D505" s="1" t="s">
        <v>333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453</v>
      </c>
      <c r="B506" s="1" t="s">
        <v>565</v>
      </c>
      <c r="C506" s="1" t="s">
        <v>577</v>
      </c>
      <c r="D506" s="1" t="s">
        <v>95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453</v>
      </c>
      <c r="B507" s="1" t="s">
        <v>566</v>
      </c>
      <c r="C507" s="1" t="s">
        <v>578</v>
      </c>
      <c r="D507" s="1" t="s">
        <v>95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453</v>
      </c>
      <c r="B508" s="1" t="s">
        <v>33</v>
      </c>
      <c r="C508" s="1" t="s">
        <v>579</v>
      </c>
      <c r="D508" s="1" t="s">
        <v>681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453</v>
      </c>
      <c r="B509" s="1" t="s">
        <v>34</v>
      </c>
      <c r="C509" s="1" t="s">
        <v>580</v>
      </c>
      <c r="D509" s="1" t="s">
        <v>682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453</v>
      </c>
      <c r="B510" s="1" t="s">
        <v>35</v>
      </c>
      <c r="C510" s="1" t="s">
        <v>581</v>
      </c>
      <c r="D510" s="1" t="s">
        <v>683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453</v>
      </c>
      <c r="B511" s="1" t="s">
        <v>36</v>
      </c>
      <c r="C511" s="1" t="s">
        <v>582</v>
      </c>
      <c r="D511" s="1" t="s">
        <v>390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 t="s">
        <v>453</v>
      </c>
      <c r="B512" s="1" t="s">
        <v>37</v>
      </c>
      <c r="C512" s="1" t="s">
        <v>583</v>
      </c>
      <c r="D512" s="1" t="s">
        <v>352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453</v>
      </c>
      <c r="B513" s="1" t="s">
        <v>38</v>
      </c>
      <c r="C513" s="1" t="s">
        <v>584</v>
      </c>
      <c r="D513" s="1" t="s">
        <v>613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453</v>
      </c>
      <c r="B514" s="1" t="s">
        <v>39</v>
      </c>
      <c r="C514" s="1" t="s">
        <v>585</v>
      </c>
      <c r="D514" s="1" t="s">
        <v>289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 t="s">
        <v>453</v>
      </c>
      <c r="B515" s="1" t="s">
        <v>567</v>
      </c>
      <c r="C515" s="1" t="s">
        <v>586</v>
      </c>
      <c r="D515" s="1" t="s">
        <v>92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 t="s">
        <v>453</v>
      </c>
      <c r="B516" s="1" t="s">
        <v>568</v>
      </c>
      <c r="C516" s="1" t="s">
        <v>587</v>
      </c>
      <c r="D516" s="1" t="s">
        <v>78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 t="s">
        <v>453</v>
      </c>
      <c r="B517" s="1" t="s">
        <v>40</v>
      </c>
      <c r="C517" s="1" t="s">
        <v>588</v>
      </c>
      <c r="D517" s="1" t="s">
        <v>684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453</v>
      </c>
      <c r="B518" s="1" t="s">
        <v>569</v>
      </c>
      <c r="C518" s="1" t="s">
        <v>589</v>
      </c>
      <c r="D518" s="1" t="s">
        <v>95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 t="s">
        <v>453</v>
      </c>
      <c r="B519" s="1" t="s">
        <v>570</v>
      </c>
      <c r="C519" s="1" t="s">
        <v>590</v>
      </c>
      <c r="D519" s="1" t="s">
        <v>97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 t="s">
        <v>453</v>
      </c>
      <c r="B520" s="1" t="s">
        <v>571</v>
      </c>
      <c r="C520" s="1" t="s">
        <v>591</v>
      </c>
      <c r="D520" s="1" t="s">
        <v>262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453</v>
      </c>
      <c r="B521" s="1" t="s">
        <v>572</v>
      </c>
      <c r="C521" s="1" t="s">
        <v>592</v>
      </c>
      <c r="D521" s="1" t="s">
        <v>78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 t="s">
        <v>453</v>
      </c>
      <c r="B522" s="1" t="s">
        <v>573</v>
      </c>
      <c r="C522" s="1" t="s">
        <v>593</v>
      </c>
      <c r="D522" s="1" t="s">
        <v>223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454</v>
      </c>
      <c r="B523" s="1" t="s">
        <v>174</v>
      </c>
      <c r="C523" s="1" t="s">
        <v>574</v>
      </c>
      <c r="D523" s="1" t="s">
        <v>95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 t="s">
        <v>454</v>
      </c>
      <c r="B524" s="1" t="s">
        <v>563</v>
      </c>
      <c r="C524" s="1" t="s">
        <v>575</v>
      </c>
      <c r="D524" s="1" t="s">
        <v>78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 t="s">
        <v>454</v>
      </c>
      <c r="B525" s="1" t="s">
        <v>564</v>
      </c>
      <c r="C525" s="1" t="s">
        <v>576</v>
      </c>
      <c r="D525" s="1" t="s">
        <v>412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 t="s">
        <v>454</v>
      </c>
      <c r="B526" s="1" t="s">
        <v>565</v>
      </c>
      <c r="C526" s="1" t="s">
        <v>577</v>
      </c>
      <c r="D526" s="1" t="s">
        <v>232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 t="s">
        <v>454</v>
      </c>
      <c r="B527" s="1" t="s">
        <v>566</v>
      </c>
      <c r="C527" s="1" t="s">
        <v>578</v>
      </c>
      <c r="D527" s="1" t="s">
        <v>78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 t="s">
        <v>454</v>
      </c>
      <c r="B528" s="1" t="s">
        <v>33</v>
      </c>
      <c r="C528" s="1" t="s">
        <v>579</v>
      </c>
      <c r="D528" s="1" t="s">
        <v>685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 t="s">
        <v>454</v>
      </c>
      <c r="B529" s="1" t="s">
        <v>34</v>
      </c>
      <c r="C529" s="1" t="s">
        <v>580</v>
      </c>
      <c r="D529" s="1" t="s">
        <v>686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 t="s">
        <v>454</v>
      </c>
      <c r="B530" s="1" t="s">
        <v>35</v>
      </c>
      <c r="C530" s="1" t="s">
        <v>581</v>
      </c>
      <c r="D530" s="1" t="s">
        <v>687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 t="s">
        <v>454</v>
      </c>
      <c r="B531" s="1" t="s">
        <v>36</v>
      </c>
      <c r="C531" s="1" t="s">
        <v>582</v>
      </c>
      <c r="D531" s="1" t="s">
        <v>320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 t="s">
        <v>454</v>
      </c>
      <c r="B532" s="1" t="s">
        <v>37</v>
      </c>
      <c r="C532" s="1" t="s">
        <v>583</v>
      </c>
      <c r="D532" s="1" t="s">
        <v>374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454</v>
      </c>
      <c r="B533" s="1" t="s">
        <v>38</v>
      </c>
      <c r="C533" s="1" t="s">
        <v>584</v>
      </c>
      <c r="D533" s="1" t="s">
        <v>688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454</v>
      </c>
      <c r="B534" s="1" t="s">
        <v>39</v>
      </c>
      <c r="C534" s="1" t="s">
        <v>585</v>
      </c>
      <c r="D534" s="1" t="s">
        <v>134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 t="s">
        <v>454</v>
      </c>
      <c r="B535" s="1" t="s">
        <v>567</v>
      </c>
      <c r="C535" s="1" t="s">
        <v>586</v>
      </c>
      <c r="D535" s="1" t="s">
        <v>92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 t="s">
        <v>454</v>
      </c>
      <c r="B536" s="1" t="s">
        <v>568</v>
      </c>
      <c r="C536" s="1" t="s">
        <v>587</v>
      </c>
      <c r="D536" s="1" t="s">
        <v>95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 t="s">
        <v>454</v>
      </c>
      <c r="B537" s="1" t="s">
        <v>40</v>
      </c>
      <c r="C537" s="1" t="s">
        <v>588</v>
      </c>
      <c r="D537" s="1" t="s">
        <v>689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454</v>
      </c>
      <c r="B538" s="1" t="s">
        <v>569</v>
      </c>
      <c r="C538" s="1" t="s">
        <v>589</v>
      </c>
      <c r="D538" s="1" t="s">
        <v>95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 t="s">
        <v>454</v>
      </c>
      <c r="B539" s="1" t="s">
        <v>570</v>
      </c>
      <c r="C539" s="1" t="s">
        <v>590</v>
      </c>
      <c r="D539" s="1" t="s">
        <v>223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 t="s">
        <v>454</v>
      </c>
      <c r="B540" s="1" t="s">
        <v>571</v>
      </c>
      <c r="C540" s="1" t="s">
        <v>591</v>
      </c>
      <c r="D540" s="1" t="s">
        <v>223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454</v>
      </c>
      <c r="B541" s="1" t="s">
        <v>572</v>
      </c>
      <c r="C541" s="1" t="s">
        <v>592</v>
      </c>
      <c r="D541" s="1" t="s">
        <v>95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 t="s">
        <v>454</v>
      </c>
      <c r="B542" s="1" t="s">
        <v>573</v>
      </c>
      <c r="C542" s="1" t="s">
        <v>593</v>
      </c>
      <c r="D542" s="1" t="s">
        <v>95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455</v>
      </c>
      <c r="B543" s="1" t="s">
        <v>174</v>
      </c>
      <c r="C543" s="1" t="s">
        <v>574</v>
      </c>
      <c r="D543" s="1" t="s">
        <v>95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 t="s">
        <v>455</v>
      </c>
      <c r="B544" s="1" t="s">
        <v>563</v>
      </c>
      <c r="C544" s="1" t="s">
        <v>575</v>
      </c>
      <c r="D544" s="1" t="s">
        <v>78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 t="s">
        <v>455</v>
      </c>
      <c r="B545" s="1" t="s">
        <v>564</v>
      </c>
      <c r="C545" s="1" t="s">
        <v>576</v>
      </c>
      <c r="D545" s="1" t="s">
        <v>412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 t="s">
        <v>455</v>
      </c>
      <c r="B546" s="1" t="s">
        <v>565</v>
      </c>
      <c r="C546" s="1" t="s">
        <v>577</v>
      </c>
      <c r="D546" s="1" t="s">
        <v>232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 t="s">
        <v>455</v>
      </c>
      <c r="B547" s="1" t="s">
        <v>566</v>
      </c>
      <c r="C547" s="1" t="s">
        <v>578</v>
      </c>
      <c r="D547" s="1" t="s">
        <v>78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 t="s">
        <v>455</v>
      </c>
      <c r="B548" s="1" t="s">
        <v>33</v>
      </c>
      <c r="C548" s="1" t="s">
        <v>579</v>
      </c>
      <c r="D548" s="1" t="s">
        <v>690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 t="s">
        <v>455</v>
      </c>
      <c r="B549" s="1" t="s">
        <v>34</v>
      </c>
      <c r="C549" s="1" t="s">
        <v>580</v>
      </c>
      <c r="D549" s="1" t="s">
        <v>691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 t="s">
        <v>455</v>
      </c>
      <c r="B550" s="1" t="s">
        <v>35</v>
      </c>
      <c r="C550" s="1" t="s">
        <v>581</v>
      </c>
      <c r="D550" s="1" t="s">
        <v>692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 t="s">
        <v>455</v>
      </c>
      <c r="B551" s="1" t="s">
        <v>36</v>
      </c>
      <c r="C551" s="1" t="s">
        <v>582</v>
      </c>
      <c r="D551" s="1" t="s">
        <v>693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 t="s">
        <v>455</v>
      </c>
      <c r="B552" s="1" t="s">
        <v>37</v>
      </c>
      <c r="C552" s="1" t="s">
        <v>583</v>
      </c>
      <c r="D552" s="1" t="s">
        <v>352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455</v>
      </c>
      <c r="B553" s="1" t="s">
        <v>38</v>
      </c>
      <c r="C553" s="1" t="s">
        <v>584</v>
      </c>
      <c r="D553" s="1" t="s">
        <v>694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455</v>
      </c>
      <c r="B554" s="1" t="s">
        <v>39</v>
      </c>
      <c r="C554" s="1" t="s">
        <v>585</v>
      </c>
      <c r="D554" s="1" t="s">
        <v>134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 t="s">
        <v>455</v>
      </c>
      <c r="B555" s="1" t="s">
        <v>567</v>
      </c>
      <c r="C555" s="1" t="s">
        <v>586</v>
      </c>
      <c r="D555" s="1" t="s">
        <v>92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 t="s">
        <v>455</v>
      </c>
      <c r="B556" s="1" t="s">
        <v>568</v>
      </c>
      <c r="C556" s="1" t="s">
        <v>587</v>
      </c>
      <c r="D556" s="1" t="s">
        <v>95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 t="s">
        <v>455</v>
      </c>
      <c r="B557" s="1" t="s">
        <v>40</v>
      </c>
      <c r="C557" s="1" t="s">
        <v>588</v>
      </c>
      <c r="D557" s="1" t="s">
        <v>695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455</v>
      </c>
      <c r="B558" s="1" t="s">
        <v>569</v>
      </c>
      <c r="C558" s="1" t="s">
        <v>589</v>
      </c>
      <c r="D558" s="1" t="s">
        <v>95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 t="s">
        <v>455</v>
      </c>
      <c r="B559" s="1" t="s">
        <v>570</v>
      </c>
      <c r="C559" s="1" t="s">
        <v>590</v>
      </c>
      <c r="D559" s="1" t="s">
        <v>223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 t="s">
        <v>455</v>
      </c>
      <c r="B560" s="1" t="s">
        <v>571</v>
      </c>
      <c r="C560" s="1" t="s">
        <v>591</v>
      </c>
      <c r="D560" s="1" t="s">
        <v>223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455</v>
      </c>
      <c r="B561" s="1" t="s">
        <v>572</v>
      </c>
      <c r="C561" s="1" t="s">
        <v>592</v>
      </c>
      <c r="D561" s="1" t="s">
        <v>95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 t="s">
        <v>455</v>
      </c>
      <c r="B562" s="1" t="s">
        <v>573</v>
      </c>
      <c r="C562" s="1" t="s">
        <v>593</v>
      </c>
      <c r="D562" s="1" t="s">
        <v>95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456</v>
      </c>
      <c r="B563" s="1" t="s">
        <v>174</v>
      </c>
      <c r="C563" s="1" t="s">
        <v>574</v>
      </c>
      <c r="D563" s="1" t="s">
        <v>223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 t="s">
        <v>456</v>
      </c>
      <c r="B564" s="1" t="s">
        <v>563</v>
      </c>
      <c r="C564" s="1" t="s">
        <v>575</v>
      </c>
      <c r="D564" s="1" t="s">
        <v>78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 t="s">
        <v>456</v>
      </c>
      <c r="B565" s="1" t="s">
        <v>564</v>
      </c>
      <c r="C565" s="1" t="s">
        <v>576</v>
      </c>
      <c r="D565" s="1" t="s">
        <v>412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 t="s">
        <v>456</v>
      </c>
      <c r="B566" s="1" t="s">
        <v>565</v>
      </c>
      <c r="C566" s="1" t="s">
        <v>577</v>
      </c>
      <c r="D566" s="1" t="s">
        <v>232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 t="s">
        <v>456</v>
      </c>
      <c r="B567" s="1" t="s">
        <v>566</v>
      </c>
      <c r="C567" s="1" t="s">
        <v>578</v>
      </c>
      <c r="D567" s="1" t="s">
        <v>78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 t="s">
        <v>456</v>
      </c>
      <c r="B568" s="1" t="s">
        <v>33</v>
      </c>
      <c r="C568" s="1" t="s">
        <v>579</v>
      </c>
      <c r="D568" s="1" t="s">
        <v>696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 t="s">
        <v>456</v>
      </c>
      <c r="B569" s="1" t="s">
        <v>34</v>
      </c>
      <c r="C569" s="1" t="s">
        <v>580</v>
      </c>
      <c r="D569" s="1" t="s">
        <v>697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 t="s">
        <v>456</v>
      </c>
      <c r="B570" s="1" t="s">
        <v>35</v>
      </c>
      <c r="C570" s="1" t="s">
        <v>581</v>
      </c>
      <c r="D570" s="1" t="s">
        <v>692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 t="s">
        <v>456</v>
      </c>
      <c r="B571" s="1" t="s">
        <v>36</v>
      </c>
      <c r="C571" s="1" t="s">
        <v>582</v>
      </c>
      <c r="D571" s="1" t="s">
        <v>267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 t="s">
        <v>456</v>
      </c>
      <c r="B572" s="1" t="s">
        <v>37</v>
      </c>
      <c r="C572" s="1" t="s">
        <v>583</v>
      </c>
      <c r="D572" s="1" t="s">
        <v>122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456</v>
      </c>
      <c r="B573" s="1" t="s">
        <v>38</v>
      </c>
      <c r="C573" s="1" t="s">
        <v>584</v>
      </c>
      <c r="D573" s="1" t="s">
        <v>698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456</v>
      </c>
      <c r="B574" s="1" t="s">
        <v>39</v>
      </c>
      <c r="C574" s="1" t="s">
        <v>585</v>
      </c>
      <c r="D574" s="1" t="s">
        <v>133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456</v>
      </c>
      <c r="B575" s="1" t="s">
        <v>567</v>
      </c>
      <c r="C575" s="1" t="s">
        <v>586</v>
      </c>
      <c r="D575" s="1" t="s">
        <v>92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 t="s">
        <v>456</v>
      </c>
      <c r="B576" s="1" t="s">
        <v>568</v>
      </c>
      <c r="C576" s="1" t="s">
        <v>587</v>
      </c>
      <c r="D576" s="1" t="s">
        <v>95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 t="s">
        <v>456</v>
      </c>
      <c r="B577" s="1" t="s">
        <v>40</v>
      </c>
      <c r="C577" s="1" t="s">
        <v>588</v>
      </c>
      <c r="D577" s="1" t="s">
        <v>699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456</v>
      </c>
      <c r="B578" s="1" t="s">
        <v>569</v>
      </c>
      <c r="C578" s="1" t="s">
        <v>589</v>
      </c>
      <c r="D578" s="1" t="s">
        <v>95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456</v>
      </c>
      <c r="B579" s="1" t="s">
        <v>570</v>
      </c>
      <c r="C579" s="1" t="s">
        <v>590</v>
      </c>
      <c r="D579" s="1" t="s">
        <v>275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456</v>
      </c>
      <c r="B580" s="1" t="s">
        <v>571</v>
      </c>
      <c r="C580" s="1" t="s">
        <v>591</v>
      </c>
      <c r="D580" s="1" t="s">
        <v>275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456</v>
      </c>
      <c r="B581" s="1" t="s">
        <v>572</v>
      </c>
      <c r="C581" s="1" t="s">
        <v>592</v>
      </c>
      <c r="D581" s="1" t="s">
        <v>223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456</v>
      </c>
      <c r="B582" s="1" t="s">
        <v>573</v>
      </c>
      <c r="C582" s="1" t="s">
        <v>593</v>
      </c>
      <c r="D582" s="1" t="s">
        <v>95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457</v>
      </c>
      <c r="B583" s="1" t="s">
        <v>174</v>
      </c>
      <c r="C583" s="1" t="s">
        <v>574</v>
      </c>
      <c r="D583" s="1" t="s">
        <v>95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 t="s">
        <v>457</v>
      </c>
      <c r="B584" s="1" t="s">
        <v>563</v>
      </c>
      <c r="C584" s="1" t="s">
        <v>575</v>
      </c>
      <c r="D584" s="1" t="s">
        <v>78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 t="s">
        <v>457</v>
      </c>
      <c r="B585" s="1" t="s">
        <v>564</v>
      </c>
      <c r="C585" s="1" t="s">
        <v>576</v>
      </c>
      <c r="D585" s="1" t="s">
        <v>412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 t="s">
        <v>457</v>
      </c>
      <c r="B586" s="1" t="s">
        <v>565</v>
      </c>
      <c r="C586" s="1" t="s">
        <v>577</v>
      </c>
      <c r="D586" s="1" t="s">
        <v>232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 t="s">
        <v>457</v>
      </c>
      <c r="B587" s="1" t="s">
        <v>566</v>
      </c>
      <c r="C587" s="1" t="s">
        <v>578</v>
      </c>
      <c r="D587" s="1" t="s">
        <v>78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 t="s">
        <v>457</v>
      </c>
      <c r="B588" s="1" t="s">
        <v>33</v>
      </c>
      <c r="C588" s="1" t="s">
        <v>579</v>
      </c>
      <c r="D588" s="1" t="s">
        <v>700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 t="s">
        <v>457</v>
      </c>
      <c r="B589" s="1" t="s">
        <v>34</v>
      </c>
      <c r="C589" s="1" t="s">
        <v>580</v>
      </c>
      <c r="D589" s="1" t="s">
        <v>701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 t="s">
        <v>457</v>
      </c>
      <c r="B590" s="1" t="s">
        <v>35</v>
      </c>
      <c r="C590" s="1" t="s">
        <v>581</v>
      </c>
      <c r="D590" s="1" t="s">
        <v>702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 t="s">
        <v>457</v>
      </c>
      <c r="B591" s="1" t="s">
        <v>36</v>
      </c>
      <c r="C591" s="1" t="s">
        <v>582</v>
      </c>
      <c r="D591" s="1" t="s">
        <v>320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 t="s">
        <v>457</v>
      </c>
      <c r="B592" s="1" t="s">
        <v>37</v>
      </c>
      <c r="C592" s="1" t="s">
        <v>583</v>
      </c>
      <c r="D592" s="1" t="s">
        <v>352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457</v>
      </c>
      <c r="B593" s="1" t="s">
        <v>38</v>
      </c>
      <c r="C593" s="1" t="s">
        <v>584</v>
      </c>
      <c r="D593" s="1" t="s">
        <v>703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457</v>
      </c>
      <c r="B594" s="1" t="s">
        <v>39</v>
      </c>
      <c r="C594" s="1" t="s">
        <v>585</v>
      </c>
      <c r="D594" s="1" t="s">
        <v>134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 t="s">
        <v>457</v>
      </c>
      <c r="B595" s="1" t="s">
        <v>567</v>
      </c>
      <c r="C595" s="1" t="s">
        <v>586</v>
      </c>
      <c r="D595" s="1" t="s">
        <v>92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 t="s">
        <v>457</v>
      </c>
      <c r="B596" s="1" t="s">
        <v>568</v>
      </c>
      <c r="C596" s="1" t="s">
        <v>587</v>
      </c>
      <c r="D596" s="1" t="s">
        <v>95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 t="s">
        <v>457</v>
      </c>
      <c r="B597" s="1" t="s">
        <v>40</v>
      </c>
      <c r="C597" s="1" t="s">
        <v>588</v>
      </c>
      <c r="D597" s="1" t="s">
        <v>704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457</v>
      </c>
      <c r="B598" s="1" t="s">
        <v>569</v>
      </c>
      <c r="C598" s="1" t="s">
        <v>589</v>
      </c>
      <c r="D598" s="1" t="s">
        <v>95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 t="s">
        <v>457</v>
      </c>
      <c r="B599" s="1" t="s">
        <v>570</v>
      </c>
      <c r="C599" s="1" t="s">
        <v>590</v>
      </c>
      <c r="D599" s="1" t="s">
        <v>223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 t="s">
        <v>457</v>
      </c>
      <c r="B600" s="1" t="s">
        <v>571</v>
      </c>
      <c r="C600" s="1" t="s">
        <v>591</v>
      </c>
      <c r="D600" s="1" t="s">
        <v>223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457</v>
      </c>
      <c r="B601" s="1" t="s">
        <v>572</v>
      </c>
      <c r="C601" s="1" t="s">
        <v>592</v>
      </c>
      <c r="D601" s="1" t="s">
        <v>95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 t="s">
        <v>457</v>
      </c>
      <c r="B602" s="1" t="s">
        <v>573</v>
      </c>
      <c r="C602" s="1" t="s">
        <v>593</v>
      </c>
      <c r="D602" s="1" t="s">
        <v>95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458</v>
      </c>
      <c r="B603" s="1" t="s">
        <v>174</v>
      </c>
      <c r="C603" s="1" t="s">
        <v>574</v>
      </c>
      <c r="D603" s="1" t="s">
        <v>78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 t="s">
        <v>458</v>
      </c>
      <c r="B604" s="1" t="s">
        <v>563</v>
      </c>
      <c r="C604" s="1" t="s">
        <v>575</v>
      </c>
      <c r="D604" s="1" t="s">
        <v>78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 t="s">
        <v>458</v>
      </c>
      <c r="B605" s="1" t="s">
        <v>564</v>
      </c>
      <c r="C605" s="1" t="s">
        <v>576</v>
      </c>
      <c r="D605" s="1" t="s">
        <v>92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 t="s">
        <v>458</v>
      </c>
      <c r="B606" s="1" t="s">
        <v>565</v>
      </c>
      <c r="C606" s="1" t="s">
        <v>577</v>
      </c>
      <c r="D606" s="1" t="s">
        <v>78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 t="s">
        <v>458</v>
      </c>
      <c r="B607" s="1" t="s">
        <v>566</v>
      </c>
      <c r="C607" s="1" t="s">
        <v>578</v>
      </c>
      <c r="D607" s="1" t="s">
        <v>78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 t="s">
        <v>458</v>
      </c>
      <c r="B608" s="1" t="s">
        <v>33</v>
      </c>
      <c r="C608" s="1" t="s">
        <v>579</v>
      </c>
      <c r="D608" s="1" t="s">
        <v>705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 t="s">
        <v>458</v>
      </c>
      <c r="B609" s="1" t="s">
        <v>34</v>
      </c>
      <c r="C609" s="1" t="s">
        <v>580</v>
      </c>
      <c r="D609" s="1" t="s">
        <v>706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 t="s">
        <v>458</v>
      </c>
      <c r="B610" s="1" t="s">
        <v>35</v>
      </c>
      <c r="C610" s="1" t="s">
        <v>581</v>
      </c>
      <c r="D610" s="1" t="s">
        <v>707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 t="s">
        <v>458</v>
      </c>
      <c r="B611" s="1" t="s">
        <v>36</v>
      </c>
      <c r="C611" s="1" t="s">
        <v>582</v>
      </c>
      <c r="D611" s="1" t="s">
        <v>96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 t="s">
        <v>458</v>
      </c>
      <c r="B612" s="1" t="s">
        <v>37</v>
      </c>
      <c r="C612" s="1" t="s">
        <v>583</v>
      </c>
      <c r="D612" s="1" t="s">
        <v>417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458</v>
      </c>
      <c r="B613" s="1" t="s">
        <v>38</v>
      </c>
      <c r="C613" s="1" t="s">
        <v>584</v>
      </c>
      <c r="D613" s="1" t="s">
        <v>708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458</v>
      </c>
      <c r="B614" s="1" t="s">
        <v>39</v>
      </c>
      <c r="C614" s="1" t="s">
        <v>585</v>
      </c>
      <c r="D614" s="1" t="s">
        <v>133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 t="s">
        <v>458</v>
      </c>
      <c r="B615" s="1" t="s">
        <v>567</v>
      </c>
      <c r="C615" s="1" t="s">
        <v>586</v>
      </c>
      <c r="D615" s="1" t="s">
        <v>141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 t="s">
        <v>458</v>
      </c>
      <c r="B616" s="1" t="s">
        <v>568</v>
      </c>
      <c r="C616" s="1" t="s">
        <v>587</v>
      </c>
      <c r="D616" s="1" t="s">
        <v>78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 t="s">
        <v>458</v>
      </c>
      <c r="B617" s="1" t="s">
        <v>40</v>
      </c>
      <c r="C617" s="1" t="s">
        <v>588</v>
      </c>
      <c r="D617" s="1" t="s">
        <v>709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458</v>
      </c>
      <c r="B618" s="1" t="s">
        <v>569</v>
      </c>
      <c r="C618" s="1" t="s">
        <v>589</v>
      </c>
      <c r="D618" s="1" t="s">
        <v>78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 t="s">
        <v>458</v>
      </c>
      <c r="B619" s="1" t="s">
        <v>570</v>
      </c>
      <c r="C619" s="1" t="s">
        <v>590</v>
      </c>
      <c r="D619" s="1" t="s">
        <v>95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 t="s">
        <v>458</v>
      </c>
      <c r="B620" s="1" t="s">
        <v>571</v>
      </c>
      <c r="C620" s="1" t="s">
        <v>591</v>
      </c>
      <c r="D620" s="1" t="s">
        <v>233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458</v>
      </c>
      <c r="B621" s="1" t="s">
        <v>572</v>
      </c>
      <c r="C621" s="1" t="s">
        <v>592</v>
      </c>
      <c r="D621" s="1" t="s">
        <v>78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 t="s">
        <v>458</v>
      </c>
      <c r="B622" s="1" t="s">
        <v>573</v>
      </c>
      <c r="C622" s="1" t="s">
        <v>593</v>
      </c>
      <c r="D622" s="1" t="s">
        <v>95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459</v>
      </c>
      <c r="B623" s="1" t="s">
        <v>174</v>
      </c>
      <c r="C623" s="1" t="s">
        <v>574</v>
      </c>
      <c r="D623" s="1" t="s">
        <v>223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 t="s">
        <v>459</v>
      </c>
      <c r="B624" s="1" t="s">
        <v>563</v>
      </c>
      <c r="C624" s="1" t="s">
        <v>575</v>
      </c>
      <c r="D624" s="1" t="s">
        <v>95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 t="s">
        <v>459</v>
      </c>
      <c r="B625" s="1" t="s">
        <v>564</v>
      </c>
      <c r="C625" s="1" t="s">
        <v>576</v>
      </c>
      <c r="D625" s="1" t="s">
        <v>710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 t="s">
        <v>459</v>
      </c>
      <c r="B626" s="1" t="s">
        <v>565</v>
      </c>
      <c r="C626" s="1" t="s">
        <v>577</v>
      </c>
      <c r="D626" s="1" t="s">
        <v>232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 t="s">
        <v>459</v>
      </c>
      <c r="B627" s="1" t="s">
        <v>566</v>
      </c>
      <c r="C627" s="1" t="s">
        <v>578</v>
      </c>
      <c r="D627" s="1" t="s">
        <v>78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 t="s">
        <v>459</v>
      </c>
      <c r="B628" s="1" t="s">
        <v>33</v>
      </c>
      <c r="C628" s="1" t="s">
        <v>579</v>
      </c>
      <c r="D628" s="1" t="s">
        <v>711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 t="s">
        <v>459</v>
      </c>
      <c r="B629" s="1" t="s">
        <v>34</v>
      </c>
      <c r="C629" s="1" t="s">
        <v>580</v>
      </c>
      <c r="D629" s="1" t="s">
        <v>712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 t="s">
        <v>459</v>
      </c>
      <c r="B630" s="1" t="s">
        <v>35</v>
      </c>
      <c r="C630" s="1" t="s">
        <v>581</v>
      </c>
      <c r="D630" s="1" t="s">
        <v>713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 t="s">
        <v>459</v>
      </c>
      <c r="B631" s="1" t="s">
        <v>36</v>
      </c>
      <c r="C631" s="1" t="s">
        <v>582</v>
      </c>
      <c r="D631" s="1" t="s">
        <v>334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 t="s">
        <v>459</v>
      </c>
      <c r="B632" s="1" t="s">
        <v>37</v>
      </c>
      <c r="C632" s="1" t="s">
        <v>583</v>
      </c>
      <c r="D632" s="1" t="s">
        <v>346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459</v>
      </c>
      <c r="B633" s="1" t="s">
        <v>38</v>
      </c>
      <c r="C633" s="1" t="s">
        <v>584</v>
      </c>
      <c r="D633" s="1" t="s">
        <v>714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459</v>
      </c>
      <c r="B634" s="1" t="s">
        <v>39</v>
      </c>
      <c r="C634" s="1" t="s">
        <v>585</v>
      </c>
      <c r="D634" s="1" t="s">
        <v>258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 t="s">
        <v>459</v>
      </c>
      <c r="B635" s="1" t="s">
        <v>567</v>
      </c>
      <c r="C635" s="1" t="s">
        <v>586</v>
      </c>
      <c r="D635" s="1" t="s">
        <v>141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 t="s">
        <v>459</v>
      </c>
      <c r="B636" s="1" t="s">
        <v>568</v>
      </c>
      <c r="C636" s="1" t="s">
        <v>587</v>
      </c>
      <c r="D636" s="1" t="s">
        <v>95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 t="s">
        <v>459</v>
      </c>
      <c r="B637" s="1" t="s">
        <v>40</v>
      </c>
      <c r="C637" s="1" t="s">
        <v>588</v>
      </c>
      <c r="D637" s="1" t="s">
        <v>715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459</v>
      </c>
      <c r="B638" s="1" t="s">
        <v>569</v>
      </c>
      <c r="C638" s="1" t="s">
        <v>589</v>
      </c>
      <c r="D638" s="1" t="s">
        <v>95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 t="s">
        <v>459</v>
      </c>
      <c r="B639" s="1" t="s">
        <v>570</v>
      </c>
      <c r="C639" s="1" t="s">
        <v>590</v>
      </c>
      <c r="D639" s="1" t="s">
        <v>275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 t="s">
        <v>459</v>
      </c>
      <c r="B640" s="1" t="s">
        <v>571</v>
      </c>
      <c r="C640" s="1" t="s">
        <v>591</v>
      </c>
      <c r="D640" s="1" t="s">
        <v>98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459</v>
      </c>
      <c r="B641" s="1" t="s">
        <v>572</v>
      </c>
      <c r="C641" s="1" t="s">
        <v>592</v>
      </c>
      <c r="D641" s="1" t="s">
        <v>95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 t="s">
        <v>459</v>
      </c>
      <c r="B642" s="1" t="s">
        <v>573</v>
      </c>
      <c r="C642" s="1" t="s">
        <v>593</v>
      </c>
      <c r="D642" s="1" t="s">
        <v>95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460</v>
      </c>
      <c r="B643" s="1" t="s">
        <v>174</v>
      </c>
      <c r="C643" s="1" t="s">
        <v>574</v>
      </c>
      <c r="D643" s="1" t="s">
        <v>262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 t="s">
        <v>460</v>
      </c>
      <c r="B644" s="1" t="s">
        <v>563</v>
      </c>
      <c r="C644" s="1" t="s">
        <v>575</v>
      </c>
      <c r="D644" s="1" t="s">
        <v>223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460</v>
      </c>
      <c r="B645" s="1" t="s">
        <v>564</v>
      </c>
      <c r="C645" s="1" t="s">
        <v>576</v>
      </c>
      <c r="D645" s="1" t="s">
        <v>594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460</v>
      </c>
      <c r="B646" s="1" t="s">
        <v>565</v>
      </c>
      <c r="C646" s="1" t="s">
        <v>577</v>
      </c>
      <c r="D646" s="1" t="s">
        <v>232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460</v>
      </c>
      <c r="B647" s="1" t="s">
        <v>566</v>
      </c>
      <c r="C647" s="1" t="s">
        <v>578</v>
      </c>
      <c r="D647" s="1" t="s">
        <v>78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 t="s">
        <v>460</v>
      </c>
      <c r="B648" s="1" t="s">
        <v>33</v>
      </c>
      <c r="C648" s="1" t="s">
        <v>579</v>
      </c>
      <c r="D648" s="1" t="s">
        <v>716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 t="s">
        <v>460</v>
      </c>
      <c r="B649" s="1" t="s">
        <v>34</v>
      </c>
      <c r="C649" s="1" t="s">
        <v>580</v>
      </c>
      <c r="D649" s="1" t="s">
        <v>717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460</v>
      </c>
      <c r="B650" s="1" t="s">
        <v>35</v>
      </c>
      <c r="C650" s="1" t="s">
        <v>581</v>
      </c>
      <c r="D650" s="1" t="s">
        <v>718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460</v>
      </c>
      <c r="B651" s="1" t="s">
        <v>36</v>
      </c>
      <c r="C651" s="1" t="s">
        <v>582</v>
      </c>
      <c r="D651" s="1" t="s">
        <v>380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460</v>
      </c>
      <c r="B652" s="1" t="s">
        <v>37</v>
      </c>
      <c r="C652" s="1" t="s">
        <v>583</v>
      </c>
      <c r="D652" s="1" t="s">
        <v>96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460</v>
      </c>
      <c r="B653" s="1" t="s">
        <v>38</v>
      </c>
      <c r="C653" s="1" t="s">
        <v>584</v>
      </c>
      <c r="D653" s="1" t="s">
        <v>719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460</v>
      </c>
      <c r="B654" s="1" t="s">
        <v>39</v>
      </c>
      <c r="C654" s="1" t="s">
        <v>585</v>
      </c>
      <c r="D654" s="1" t="s">
        <v>306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460</v>
      </c>
      <c r="B655" s="1" t="s">
        <v>567</v>
      </c>
      <c r="C655" s="1" t="s">
        <v>586</v>
      </c>
      <c r="D655" s="1" t="s">
        <v>141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 t="s">
        <v>460</v>
      </c>
      <c r="B656" s="1" t="s">
        <v>568</v>
      </c>
      <c r="C656" s="1" t="s">
        <v>587</v>
      </c>
      <c r="D656" s="1" t="s">
        <v>78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 t="s">
        <v>460</v>
      </c>
      <c r="B657" s="1" t="s">
        <v>40</v>
      </c>
      <c r="C657" s="1" t="s">
        <v>588</v>
      </c>
      <c r="D657" s="1" t="s">
        <v>720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460</v>
      </c>
      <c r="B658" s="1" t="s">
        <v>569</v>
      </c>
      <c r="C658" s="1" t="s">
        <v>589</v>
      </c>
      <c r="D658" s="1" t="s">
        <v>223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 t="s">
        <v>460</v>
      </c>
      <c r="B659" s="1" t="s">
        <v>570</v>
      </c>
      <c r="C659" s="1" t="s">
        <v>590</v>
      </c>
      <c r="D659" s="1" t="s">
        <v>262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 t="s">
        <v>460</v>
      </c>
      <c r="B660" s="1" t="s">
        <v>571</v>
      </c>
      <c r="C660" s="1" t="s">
        <v>591</v>
      </c>
      <c r="D660" s="1" t="s">
        <v>98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 t="s">
        <v>460</v>
      </c>
      <c r="B661" s="1" t="s">
        <v>572</v>
      </c>
      <c r="C661" s="1" t="s">
        <v>592</v>
      </c>
      <c r="D661" s="1" t="s">
        <v>78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 t="s">
        <v>460</v>
      </c>
      <c r="B662" s="1" t="s">
        <v>573</v>
      </c>
      <c r="C662" s="1" t="s">
        <v>593</v>
      </c>
      <c r="D662" s="1" t="s">
        <v>223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 t="s">
        <v>461</v>
      </c>
      <c r="B663" s="1" t="s">
        <v>174</v>
      </c>
      <c r="C663" s="1" t="s">
        <v>574</v>
      </c>
      <c r="D663" s="1" t="s">
        <v>78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 t="s">
        <v>461</v>
      </c>
      <c r="B664" s="1" t="s">
        <v>563</v>
      </c>
      <c r="C664" s="1" t="s">
        <v>575</v>
      </c>
      <c r="D664" s="1" t="s">
        <v>78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 t="s">
        <v>461</v>
      </c>
      <c r="B665" s="1" t="s">
        <v>564</v>
      </c>
      <c r="C665" s="1" t="s">
        <v>576</v>
      </c>
      <c r="D665" s="1" t="s">
        <v>92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 t="s">
        <v>461</v>
      </c>
      <c r="B666" s="1" t="s">
        <v>565</v>
      </c>
      <c r="C666" s="1" t="s">
        <v>577</v>
      </c>
      <c r="D666" s="1" t="s">
        <v>78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 t="s">
        <v>461</v>
      </c>
      <c r="B667" s="1" t="s">
        <v>566</v>
      </c>
      <c r="C667" s="1" t="s">
        <v>578</v>
      </c>
      <c r="D667" s="1" t="s">
        <v>78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 t="s">
        <v>461</v>
      </c>
      <c r="B668" s="1" t="s">
        <v>33</v>
      </c>
      <c r="C668" s="1" t="s">
        <v>579</v>
      </c>
      <c r="D668" s="1" t="s">
        <v>141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 t="s">
        <v>461</v>
      </c>
      <c r="B669" s="1" t="s">
        <v>34</v>
      </c>
      <c r="C669" s="1" t="s">
        <v>580</v>
      </c>
      <c r="D669" s="1" t="s">
        <v>629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 t="s">
        <v>461</v>
      </c>
      <c r="B670" s="1" t="s">
        <v>35</v>
      </c>
      <c r="C670" s="1" t="s">
        <v>581</v>
      </c>
      <c r="D670" s="1" t="s">
        <v>630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 t="s">
        <v>461</v>
      </c>
      <c r="B671" s="1" t="s">
        <v>36</v>
      </c>
      <c r="C671" s="1" t="s">
        <v>582</v>
      </c>
      <c r="D671" s="1" t="s">
        <v>275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 t="s">
        <v>461</v>
      </c>
      <c r="B672" s="1" t="s">
        <v>37</v>
      </c>
      <c r="C672" s="1" t="s">
        <v>583</v>
      </c>
      <c r="D672" s="1" t="s">
        <v>275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 t="s">
        <v>461</v>
      </c>
      <c r="B673" s="1" t="s">
        <v>38</v>
      </c>
      <c r="C673" s="1" t="s">
        <v>584</v>
      </c>
      <c r="D673" s="1" t="s">
        <v>629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 t="s">
        <v>461</v>
      </c>
      <c r="B674" s="1" t="s">
        <v>39</v>
      </c>
      <c r="C674" s="1" t="s">
        <v>585</v>
      </c>
      <c r="D674" s="1" t="s">
        <v>97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 t="s">
        <v>461</v>
      </c>
      <c r="B675" s="1" t="s">
        <v>567</v>
      </c>
      <c r="C675" s="1" t="s">
        <v>586</v>
      </c>
      <c r="D675" s="1" t="s">
        <v>141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 t="s">
        <v>461</v>
      </c>
      <c r="B676" s="1" t="s">
        <v>568</v>
      </c>
      <c r="C676" s="1" t="s">
        <v>587</v>
      </c>
      <c r="D676" s="1" t="s">
        <v>78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 t="s">
        <v>461</v>
      </c>
      <c r="B677" s="1" t="s">
        <v>40</v>
      </c>
      <c r="C677" s="1" t="s">
        <v>588</v>
      </c>
      <c r="D677" s="1" t="s">
        <v>721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461</v>
      </c>
      <c r="B678" s="1" t="s">
        <v>569</v>
      </c>
      <c r="C678" s="1" t="s">
        <v>589</v>
      </c>
      <c r="D678" s="1" t="s">
        <v>78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 t="s">
        <v>461</v>
      </c>
      <c r="B679" s="1" t="s">
        <v>570</v>
      </c>
      <c r="C679" s="1" t="s">
        <v>590</v>
      </c>
      <c r="D679" s="1" t="s">
        <v>95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 t="s">
        <v>461</v>
      </c>
      <c r="B680" s="1" t="s">
        <v>571</v>
      </c>
      <c r="C680" s="1" t="s">
        <v>591</v>
      </c>
      <c r="D680" s="1" t="s">
        <v>95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461</v>
      </c>
      <c r="B681" s="1" t="s">
        <v>572</v>
      </c>
      <c r="C681" s="1" t="s">
        <v>592</v>
      </c>
      <c r="D681" s="1" t="s">
        <v>78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 t="s">
        <v>461</v>
      </c>
      <c r="B682" s="1" t="s">
        <v>573</v>
      </c>
      <c r="C682" s="1" t="s">
        <v>593</v>
      </c>
      <c r="D682" s="1" t="s">
        <v>78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462</v>
      </c>
      <c r="B683" s="1" t="s">
        <v>174</v>
      </c>
      <c r="C683" s="1" t="s">
        <v>574</v>
      </c>
      <c r="D683" s="1" t="s">
        <v>78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 t="s">
        <v>462</v>
      </c>
      <c r="B684" s="1" t="s">
        <v>563</v>
      </c>
      <c r="C684" s="1" t="s">
        <v>575</v>
      </c>
      <c r="D684" s="1" t="s">
        <v>78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 t="s">
        <v>462</v>
      </c>
      <c r="B685" s="1" t="s">
        <v>564</v>
      </c>
      <c r="C685" s="1" t="s">
        <v>576</v>
      </c>
      <c r="D685" s="1" t="s">
        <v>92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 t="s">
        <v>462</v>
      </c>
      <c r="B686" s="1" t="s">
        <v>565</v>
      </c>
      <c r="C686" s="1" t="s">
        <v>577</v>
      </c>
      <c r="D686" s="1" t="s">
        <v>78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 t="s">
        <v>462</v>
      </c>
      <c r="B687" s="1" t="s">
        <v>566</v>
      </c>
      <c r="C687" s="1" t="s">
        <v>578</v>
      </c>
      <c r="D687" s="1" t="s">
        <v>78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 t="s">
        <v>462</v>
      </c>
      <c r="B688" s="1" t="s">
        <v>33</v>
      </c>
      <c r="C688" s="1" t="s">
        <v>579</v>
      </c>
      <c r="D688" s="1" t="s">
        <v>141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 t="s">
        <v>462</v>
      </c>
      <c r="B689" s="1" t="s">
        <v>34</v>
      </c>
      <c r="C689" s="1" t="s">
        <v>580</v>
      </c>
      <c r="D689" s="1" t="s">
        <v>629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 t="s">
        <v>462</v>
      </c>
      <c r="B690" s="1" t="s">
        <v>35</v>
      </c>
      <c r="C690" s="1" t="s">
        <v>581</v>
      </c>
      <c r="D690" s="1" t="s">
        <v>630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 t="s">
        <v>462</v>
      </c>
      <c r="B691" s="1" t="s">
        <v>36</v>
      </c>
      <c r="C691" s="1" t="s">
        <v>582</v>
      </c>
      <c r="D691" s="1" t="s">
        <v>275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 t="s">
        <v>462</v>
      </c>
      <c r="B692" s="1" t="s">
        <v>37</v>
      </c>
      <c r="C692" s="1" t="s">
        <v>583</v>
      </c>
      <c r="D692" s="1" t="s">
        <v>275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462</v>
      </c>
      <c r="B693" s="1" t="s">
        <v>38</v>
      </c>
      <c r="C693" s="1" t="s">
        <v>584</v>
      </c>
      <c r="D693" s="1" t="s">
        <v>629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462</v>
      </c>
      <c r="B694" s="1" t="s">
        <v>39</v>
      </c>
      <c r="C694" s="1" t="s">
        <v>585</v>
      </c>
      <c r="D694" s="1" t="s">
        <v>97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 t="s">
        <v>462</v>
      </c>
      <c r="B695" s="1" t="s">
        <v>567</v>
      </c>
      <c r="C695" s="1" t="s">
        <v>586</v>
      </c>
      <c r="D695" s="1" t="s">
        <v>141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 t="s">
        <v>462</v>
      </c>
      <c r="B696" s="1" t="s">
        <v>568</v>
      </c>
      <c r="C696" s="1" t="s">
        <v>587</v>
      </c>
      <c r="D696" s="1" t="s">
        <v>78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 t="s">
        <v>462</v>
      </c>
      <c r="B697" s="1" t="s">
        <v>40</v>
      </c>
      <c r="C697" s="1" t="s">
        <v>588</v>
      </c>
      <c r="D697" s="1" t="s">
        <v>721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462</v>
      </c>
      <c r="B698" s="1" t="s">
        <v>569</v>
      </c>
      <c r="C698" s="1" t="s">
        <v>589</v>
      </c>
      <c r="D698" s="1" t="s">
        <v>78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 t="s">
        <v>462</v>
      </c>
      <c r="B699" s="1" t="s">
        <v>570</v>
      </c>
      <c r="C699" s="1" t="s">
        <v>590</v>
      </c>
      <c r="D699" s="1" t="s">
        <v>95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 t="s">
        <v>462</v>
      </c>
      <c r="B700" s="1" t="s">
        <v>571</v>
      </c>
      <c r="C700" s="1" t="s">
        <v>591</v>
      </c>
      <c r="D700" s="1" t="s">
        <v>95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 t="s">
        <v>462</v>
      </c>
      <c r="B701" s="1" t="s">
        <v>572</v>
      </c>
      <c r="C701" s="1" t="s">
        <v>592</v>
      </c>
      <c r="D701" s="1" t="s">
        <v>78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 t="s">
        <v>462</v>
      </c>
      <c r="B702" s="1" t="s">
        <v>573</v>
      </c>
      <c r="C702" s="1" t="s">
        <v>593</v>
      </c>
      <c r="D702" s="1" t="s">
        <v>78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 t="s">
        <v>463</v>
      </c>
      <c r="B703" s="1" t="s">
        <v>174</v>
      </c>
      <c r="C703" s="1" t="s">
        <v>574</v>
      </c>
      <c r="D703" s="1" t="s">
        <v>78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 t="s">
        <v>463</v>
      </c>
      <c r="B704" s="1" t="s">
        <v>563</v>
      </c>
      <c r="C704" s="1" t="s">
        <v>575</v>
      </c>
      <c r="D704" s="1" t="s">
        <v>78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 t="s">
        <v>463</v>
      </c>
      <c r="B705" s="1" t="s">
        <v>564</v>
      </c>
      <c r="C705" s="1" t="s">
        <v>576</v>
      </c>
      <c r="D705" s="1" t="s">
        <v>92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 t="s">
        <v>463</v>
      </c>
      <c r="B706" s="1" t="s">
        <v>565</v>
      </c>
      <c r="C706" s="1" t="s">
        <v>577</v>
      </c>
      <c r="D706" s="1" t="s">
        <v>78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 t="s">
        <v>463</v>
      </c>
      <c r="B707" s="1" t="s">
        <v>566</v>
      </c>
      <c r="C707" s="1" t="s">
        <v>578</v>
      </c>
      <c r="D707" s="1" t="s">
        <v>78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 t="s">
        <v>463</v>
      </c>
      <c r="B708" s="1" t="s">
        <v>33</v>
      </c>
      <c r="C708" s="1" t="s">
        <v>579</v>
      </c>
      <c r="D708" s="1" t="s">
        <v>722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 t="s">
        <v>463</v>
      </c>
      <c r="B709" s="1" t="s">
        <v>34</v>
      </c>
      <c r="C709" s="1" t="s">
        <v>580</v>
      </c>
      <c r="D709" s="1" t="s">
        <v>723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 t="s">
        <v>463</v>
      </c>
      <c r="B710" s="1" t="s">
        <v>35</v>
      </c>
      <c r="C710" s="1" t="s">
        <v>581</v>
      </c>
      <c r="D710" s="1" t="s">
        <v>724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 t="s">
        <v>463</v>
      </c>
      <c r="B711" s="1" t="s">
        <v>36</v>
      </c>
      <c r="C711" s="1" t="s">
        <v>582</v>
      </c>
      <c r="D711" s="1" t="s">
        <v>97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 t="s">
        <v>463</v>
      </c>
      <c r="B712" s="1" t="s">
        <v>37</v>
      </c>
      <c r="C712" s="1" t="s">
        <v>583</v>
      </c>
      <c r="D712" s="1" t="s">
        <v>97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 t="s">
        <v>463</v>
      </c>
      <c r="B713" s="1" t="s">
        <v>38</v>
      </c>
      <c r="C713" s="1" t="s">
        <v>584</v>
      </c>
      <c r="D713" s="1" t="s">
        <v>625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 t="s">
        <v>463</v>
      </c>
      <c r="B714" s="1" t="s">
        <v>39</v>
      </c>
      <c r="C714" s="1" t="s">
        <v>585</v>
      </c>
      <c r="D714" s="1" t="s">
        <v>97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 t="s">
        <v>463</v>
      </c>
      <c r="B715" s="1" t="s">
        <v>567</v>
      </c>
      <c r="C715" s="1" t="s">
        <v>586</v>
      </c>
      <c r="D715" s="1" t="s">
        <v>141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 t="s">
        <v>463</v>
      </c>
      <c r="B716" s="1" t="s">
        <v>568</v>
      </c>
      <c r="C716" s="1" t="s">
        <v>587</v>
      </c>
      <c r="D716" s="1" t="s">
        <v>78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 t="s">
        <v>463</v>
      </c>
      <c r="B717" s="1" t="s">
        <v>40</v>
      </c>
      <c r="C717" s="1" t="s">
        <v>588</v>
      </c>
      <c r="D717" s="1" t="s">
        <v>725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463</v>
      </c>
      <c r="B718" s="1" t="s">
        <v>569</v>
      </c>
      <c r="C718" s="1" t="s">
        <v>589</v>
      </c>
      <c r="D718" s="1" t="s">
        <v>78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 t="s">
        <v>463</v>
      </c>
      <c r="B719" s="1" t="s">
        <v>570</v>
      </c>
      <c r="C719" s="1" t="s">
        <v>590</v>
      </c>
      <c r="D719" s="1" t="s">
        <v>95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 t="s">
        <v>463</v>
      </c>
      <c r="B720" s="1" t="s">
        <v>571</v>
      </c>
      <c r="C720" s="1" t="s">
        <v>591</v>
      </c>
      <c r="D720" s="1" t="s">
        <v>95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 t="s">
        <v>463</v>
      </c>
      <c r="B721" s="1" t="s">
        <v>572</v>
      </c>
      <c r="C721" s="1" t="s">
        <v>592</v>
      </c>
      <c r="D721" s="1" t="s">
        <v>78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 t="s">
        <v>463</v>
      </c>
      <c r="B722" s="1" t="s">
        <v>573</v>
      </c>
      <c r="C722" s="1" t="s">
        <v>593</v>
      </c>
      <c r="D722" s="1" t="s">
        <v>78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464</v>
      </c>
      <c r="B723" s="1" t="s">
        <v>174</v>
      </c>
      <c r="C723" s="1" t="s">
        <v>574</v>
      </c>
      <c r="D723" s="1" t="s">
        <v>78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464</v>
      </c>
      <c r="B724" s="1" t="s">
        <v>563</v>
      </c>
      <c r="C724" s="1" t="s">
        <v>575</v>
      </c>
      <c r="D724" s="1" t="s">
        <v>78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464</v>
      </c>
      <c r="B725" s="1" t="s">
        <v>564</v>
      </c>
      <c r="C725" s="1" t="s">
        <v>576</v>
      </c>
      <c r="D725" s="1" t="s">
        <v>92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464</v>
      </c>
      <c r="B726" s="1" t="s">
        <v>565</v>
      </c>
      <c r="C726" s="1" t="s">
        <v>577</v>
      </c>
      <c r="D726" s="1" t="s">
        <v>78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464</v>
      </c>
      <c r="B727" s="1" t="s">
        <v>566</v>
      </c>
      <c r="C727" s="1" t="s">
        <v>578</v>
      </c>
      <c r="D727" s="1" t="s">
        <v>78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 t="s">
        <v>464</v>
      </c>
      <c r="B728" s="1" t="s">
        <v>33</v>
      </c>
      <c r="C728" s="1" t="s">
        <v>579</v>
      </c>
      <c r="D728" s="1" t="s">
        <v>722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 t="s">
        <v>464</v>
      </c>
      <c r="B729" s="1" t="s">
        <v>34</v>
      </c>
      <c r="C729" s="1" t="s">
        <v>580</v>
      </c>
      <c r="D729" s="1" t="s">
        <v>723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464</v>
      </c>
      <c r="B730" s="1" t="s">
        <v>35</v>
      </c>
      <c r="C730" s="1" t="s">
        <v>581</v>
      </c>
      <c r="D730" s="1" t="s">
        <v>724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 t="s">
        <v>464</v>
      </c>
      <c r="B731" s="1" t="s">
        <v>36</v>
      </c>
      <c r="C731" s="1" t="s">
        <v>582</v>
      </c>
      <c r="D731" s="1" t="s">
        <v>97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 t="s">
        <v>464</v>
      </c>
      <c r="B732" s="1" t="s">
        <v>37</v>
      </c>
      <c r="C732" s="1" t="s">
        <v>583</v>
      </c>
      <c r="D732" s="1" t="s">
        <v>97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464</v>
      </c>
      <c r="B733" s="1" t="s">
        <v>38</v>
      </c>
      <c r="C733" s="1" t="s">
        <v>584</v>
      </c>
      <c r="D733" s="1" t="s">
        <v>625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 t="s">
        <v>464</v>
      </c>
      <c r="B734" s="1" t="s">
        <v>39</v>
      </c>
      <c r="C734" s="1" t="s">
        <v>585</v>
      </c>
      <c r="D734" s="1" t="s">
        <v>97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 t="s">
        <v>464</v>
      </c>
      <c r="B735" s="1" t="s">
        <v>567</v>
      </c>
      <c r="C735" s="1" t="s">
        <v>586</v>
      </c>
      <c r="D735" s="1" t="s">
        <v>141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 t="s">
        <v>464</v>
      </c>
      <c r="B736" s="1" t="s">
        <v>568</v>
      </c>
      <c r="C736" s="1" t="s">
        <v>587</v>
      </c>
      <c r="D736" s="1" t="s">
        <v>78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 t="s">
        <v>464</v>
      </c>
      <c r="B737" s="1" t="s">
        <v>40</v>
      </c>
      <c r="C737" s="1" t="s">
        <v>588</v>
      </c>
      <c r="D737" s="1" t="s">
        <v>725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464</v>
      </c>
      <c r="B738" s="1" t="s">
        <v>569</v>
      </c>
      <c r="C738" s="1" t="s">
        <v>589</v>
      </c>
      <c r="D738" s="1" t="s">
        <v>78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 t="s">
        <v>464</v>
      </c>
      <c r="B739" s="1" t="s">
        <v>570</v>
      </c>
      <c r="C739" s="1" t="s">
        <v>590</v>
      </c>
      <c r="D739" s="1" t="s">
        <v>95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 t="s">
        <v>464</v>
      </c>
      <c r="B740" s="1" t="s">
        <v>571</v>
      </c>
      <c r="C740" s="1" t="s">
        <v>591</v>
      </c>
      <c r="D740" s="1" t="s">
        <v>95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464</v>
      </c>
      <c r="B741" s="1" t="s">
        <v>572</v>
      </c>
      <c r="C741" s="1" t="s">
        <v>592</v>
      </c>
      <c r="D741" s="1" t="s">
        <v>78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 t="s">
        <v>464</v>
      </c>
      <c r="B742" s="1" t="s">
        <v>573</v>
      </c>
      <c r="C742" s="1" t="s">
        <v>593</v>
      </c>
      <c r="D742" s="1" t="s">
        <v>78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465</v>
      </c>
      <c r="B743" s="1" t="s">
        <v>174</v>
      </c>
      <c r="C743" s="1" t="s">
        <v>574</v>
      </c>
      <c r="D743" s="1" t="s">
        <v>78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 t="s">
        <v>465</v>
      </c>
      <c r="B744" s="1" t="s">
        <v>563</v>
      </c>
      <c r="C744" s="1" t="s">
        <v>575</v>
      </c>
      <c r="D744" s="1" t="s">
        <v>78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 t="s">
        <v>465</v>
      </c>
      <c r="B745" s="1" t="s">
        <v>564</v>
      </c>
      <c r="C745" s="1" t="s">
        <v>576</v>
      </c>
      <c r="D745" s="1" t="s">
        <v>92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 t="s">
        <v>465</v>
      </c>
      <c r="B746" s="1" t="s">
        <v>565</v>
      </c>
      <c r="C746" s="1" t="s">
        <v>577</v>
      </c>
      <c r="D746" s="1" t="s">
        <v>78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 t="s">
        <v>465</v>
      </c>
      <c r="B747" s="1" t="s">
        <v>566</v>
      </c>
      <c r="C747" s="1" t="s">
        <v>578</v>
      </c>
      <c r="D747" s="1" t="s">
        <v>78</v>
      </c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 t="s">
        <v>465</v>
      </c>
      <c r="B748" s="1" t="s">
        <v>33</v>
      </c>
      <c r="C748" s="1" t="s">
        <v>579</v>
      </c>
      <c r="D748" s="1" t="s">
        <v>141</v>
      </c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 t="s">
        <v>465</v>
      </c>
      <c r="B749" s="1" t="s">
        <v>34</v>
      </c>
      <c r="C749" s="1" t="s">
        <v>580</v>
      </c>
      <c r="D749" s="1" t="s">
        <v>629</v>
      </c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 t="s">
        <v>465</v>
      </c>
      <c r="B750" s="1" t="s">
        <v>35</v>
      </c>
      <c r="C750" s="1" t="s">
        <v>581</v>
      </c>
      <c r="D750" s="1" t="s">
        <v>630</v>
      </c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 t="s">
        <v>465</v>
      </c>
      <c r="B751" s="1" t="s">
        <v>36</v>
      </c>
      <c r="C751" s="1" t="s">
        <v>582</v>
      </c>
      <c r="D751" s="1" t="s">
        <v>275</v>
      </c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 t="s">
        <v>465</v>
      </c>
      <c r="B752" s="1" t="s">
        <v>37</v>
      </c>
      <c r="C752" s="1" t="s">
        <v>583</v>
      </c>
      <c r="D752" s="1" t="s">
        <v>275</v>
      </c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 t="s">
        <v>465</v>
      </c>
      <c r="B753" s="1" t="s">
        <v>38</v>
      </c>
      <c r="C753" s="1" t="s">
        <v>584</v>
      </c>
      <c r="D753" s="1" t="s">
        <v>629</v>
      </c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 t="s">
        <v>465</v>
      </c>
      <c r="B754" s="1" t="s">
        <v>39</v>
      </c>
      <c r="C754" s="1" t="s">
        <v>585</v>
      </c>
      <c r="D754" s="1" t="s">
        <v>97</v>
      </c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 t="s">
        <v>465</v>
      </c>
      <c r="B755" s="1" t="s">
        <v>567</v>
      </c>
      <c r="C755" s="1" t="s">
        <v>586</v>
      </c>
      <c r="D755" s="1" t="s">
        <v>141</v>
      </c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 t="s">
        <v>465</v>
      </c>
      <c r="B756" s="1" t="s">
        <v>568</v>
      </c>
      <c r="C756" s="1" t="s">
        <v>587</v>
      </c>
      <c r="D756" s="1" t="s">
        <v>78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 t="s">
        <v>465</v>
      </c>
      <c r="B757" s="1" t="s">
        <v>40</v>
      </c>
      <c r="C757" s="1" t="s">
        <v>588</v>
      </c>
      <c r="D757" s="1" t="s">
        <v>721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 t="s">
        <v>465</v>
      </c>
      <c r="B758" s="1" t="s">
        <v>569</v>
      </c>
      <c r="C758" s="1" t="s">
        <v>589</v>
      </c>
      <c r="D758" s="1" t="s">
        <v>78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 t="s">
        <v>465</v>
      </c>
      <c r="B759" s="1" t="s">
        <v>570</v>
      </c>
      <c r="C759" s="1" t="s">
        <v>590</v>
      </c>
      <c r="D759" s="1" t="s">
        <v>95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 t="s">
        <v>465</v>
      </c>
      <c r="B760" s="1" t="s">
        <v>571</v>
      </c>
      <c r="C760" s="1" t="s">
        <v>591</v>
      </c>
      <c r="D760" s="1" t="s">
        <v>95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 t="s">
        <v>465</v>
      </c>
      <c r="B761" s="1" t="s">
        <v>572</v>
      </c>
      <c r="C761" s="1" t="s">
        <v>592</v>
      </c>
      <c r="D761" s="1" t="s">
        <v>78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 t="s">
        <v>465</v>
      </c>
      <c r="B762" s="1" t="s">
        <v>573</v>
      </c>
      <c r="C762" s="1" t="s">
        <v>593</v>
      </c>
      <c r="D762" s="1" t="s">
        <v>78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 t="s">
        <v>466</v>
      </c>
      <c r="B763" s="1" t="s">
        <v>174</v>
      </c>
      <c r="C763" s="1" t="s">
        <v>574</v>
      </c>
      <c r="D763" s="1" t="s">
        <v>78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 t="s">
        <v>466</v>
      </c>
      <c r="B764" s="1" t="s">
        <v>563</v>
      </c>
      <c r="C764" s="1" t="s">
        <v>575</v>
      </c>
      <c r="D764" s="1" t="s">
        <v>78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 t="s">
        <v>466</v>
      </c>
      <c r="B765" s="1" t="s">
        <v>564</v>
      </c>
      <c r="C765" s="1" t="s">
        <v>576</v>
      </c>
      <c r="D765" s="1" t="s">
        <v>92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 t="s">
        <v>466</v>
      </c>
      <c r="B766" s="1" t="s">
        <v>565</v>
      </c>
      <c r="C766" s="1" t="s">
        <v>577</v>
      </c>
      <c r="D766" s="1" t="s">
        <v>78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 t="s">
        <v>466</v>
      </c>
      <c r="B767" s="1" t="s">
        <v>566</v>
      </c>
      <c r="C767" s="1" t="s">
        <v>578</v>
      </c>
      <c r="D767" s="1" t="s">
        <v>78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 t="s">
        <v>466</v>
      </c>
      <c r="B768" s="1" t="s">
        <v>33</v>
      </c>
      <c r="C768" s="1" t="s">
        <v>579</v>
      </c>
      <c r="D768" s="1" t="s">
        <v>141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 t="s">
        <v>466</v>
      </c>
      <c r="B769" s="1" t="s">
        <v>34</v>
      </c>
      <c r="C769" s="1" t="s">
        <v>580</v>
      </c>
      <c r="D769" s="1" t="s">
        <v>629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 t="s">
        <v>466</v>
      </c>
      <c r="B770" s="1" t="s">
        <v>35</v>
      </c>
      <c r="C770" s="1" t="s">
        <v>581</v>
      </c>
      <c r="D770" s="1" t="s">
        <v>630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 t="s">
        <v>466</v>
      </c>
      <c r="B771" s="1" t="s">
        <v>36</v>
      </c>
      <c r="C771" s="1" t="s">
        <v>582</v>
      </c>
      <c r="D771" s="1" t="s">
        <v>275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 t="s">
        <v>466</v>
      </c>
      <c r="B772" s="1" t="s">
        <v>37</v>
      </c>
      <c r="C772" s="1" t="s">
        <v>583</v>
      </c>
      <c r="D772" s="1" t="s">
        <v>275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 t="s">
        <v>466</v>
      </c>
      <c r="B773" s="1" t="s">
        <v>38</v>
      </c>
      <c r="C773" s="1" t="s">
        <v>584</v>
      </c>
      <c r="D773" s="1" t="s">
        <v>629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 t="s">
        <v>466</v>
      </c>
      <c r="B774" s="1" t="s">
        <v>39</v>
      </c>
      <c r="C774" s="1" t="s">
        <v>585</v>
      </c>
      <c r="D774" s="1" t="s">
        <v>97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 t="s">
        <v>466</v>
      </c>
      <c r="B775" s="1" t="s">
        <v>567</v>
      </c>
      <c r="C775" s="1" t="s">
        <v>586</v>
      </c>
      <c r="D775" s="1" t="s">
        <v>141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466</v>
      </c>
      <c r="B776" s="1" t="s">
        <v>568</v>
      </c>
      <c r="C776" s="1" t="s">
        <v>587</v>
      </c>
      <c r="D776" s="1" t="s">
        <v>78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 t="s">
        <v>466</v>
      </c>
      <c r="B777" s="1" t="s">
        <v>40</v>
      </c>
      <c r="C777" s="1" t="s">
        <v>588</v>
      </c>
      <c r="D777" s="1" t="s">
        <v>721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466</v>
      </c>
      <c r="B778" s="1" t="s">
        <v>569</v>
      </c>
      <c r="C778" s="1" t="s">
        <v>589</v>
      </c>
      <c r="D778" s="1" t="s">
        <v>78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 t="s">
        <v>466</v>
      </c>
      <c r="B779" s="1" t="s">
        <v>570</v>
      </c>
      <c r="C779" s="1" t="s">
        <v>590</v>
      </c>
      <c r="D779" s="1" t="s">
        <v>95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 t="s">
        <v>466</v>
      </c>
      <c r="B780" s="1" t="s">
        <v>571</v>
      </c>
      <c r="C780" s="1" t="s">
        <v>591</v>
      </c>
      <c r="D780" s="1" t="s">
        <v>95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466</v>
      </c>
      <c r="B781" s="1" t="s">
        <v>572</v>
      </c>
      <c r="C781" s="1" t="s">
        <v>592</v>
      </c>
      <c r="D781" s="1" t="s">
        <v>78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 t="s">
        <v>466</v>
      </c>
      <c r="B782" s="1" t="s">
        <v>573</v>
      </c>
      <c r="C782" s="1" t="s">
        <v>593</v>
      </c>
      <c r="D782" s="1" t="s">
        <v>78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 t="s">
        <v>467</v>
      </c>
      <c r="B783" s="1" t="s">
        <v>174</v>
      </c>
      <c r="C783" s="1" t="s">
        <v>574</v>
      </c>
      <c r="D783" s="1" t="s">
        <v>78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 t="s">
        <v>467</v>
      </c>
      <c r="B784" s="1" t="s">
        <v>563</v>
      </c>
      <c r="C784" s="1" t="s">
        <v>575</v>
      </c>
      <c r="D784" s="1" t="s">
        <v>78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 t="s">
        <v>467</v>
      </c>
      <c r="B785" s="1" t="s">
        <v>564</v>
      </c>
      <c r="C785" s="1" t="s">
        <v>576</v>
      </c>
      <c r="D785" s="1" t="s">
        <v>141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 t="s">
        <v>467</v>
      </c>
      <c r="B786" s="1" t="s">
        <v>565</v>
      </c>
      <c r="C786" s="1" t="s">
        <v>577</v>
      </c>
      <c r="D786" s="1" t="s">
        <v>223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 t="s">
        <v>467</v>
      </c>
      <c r="B787" s="1" t="s">
        <v>566</v>
      </c>
      <c r="C787" s="1" t="s">
        <v>578</v>
      </c>
      <c r="D787" s="1" t="s">
        <v>78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 t="s">
        <v>467</v>
      </c>
      <c r="B788" s="1" t="s">
        <v>33</v>
      </c>
      <c r="C788" s="1" t="s">
        <v>579</v>
      </c>
      <c r="D788" s="1" t="s">
        <v>385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467</v>
      </c>
      <c r="B789" s="1" t="s">
        <v>34</v>
      </c>
      <c r="C789" s="1" t="s">
        <v>580</v>
      </c>
      <c r="D789" s="1" t="s">
        <v>726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467</v>
      </c>
      <c r="B790" s="1" t="s">
        <v>35</v>
      </c>
      <c r="C790" s="1" t="s">
        <v>581</v>
      </c>
      <c r="D790" s="1" t="s">
        <v>727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467</v>
      </c>
      <c r="B791" s="1" t="s">
        <v>36</v>
      </c>
      <c r="C791" s="1" t="s">
        <v>582</v>
      </c>
      <c r="D791" s="1" t="s">
        <v>145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467</v>
      </c>
      <c r="B792" s="1" t="s">
        <v>37</v>
      </c>
      <c r="C792" s="1" t="s">
        <v>583</v>
      </c>
      <c r="D792" s="1" t="s">
        <v>145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467</v>
      </c>
      <c r="B793" s="1" t="s">
        <v>38</v>
      </c>
      <c r="C793" s="1" t="s">
        <v>584</v>
      </c>
      <c r="D793" s="1" t="s">
        <v>728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467</v>
      </c>
      <c r="B794" s="1" t="s">
        <v>39</v>
      </c>
      <c r="C794" s="1" t="s">
        <v>585</v>
      </c>
      <c r="D794" s="1" t="s">
        <v>262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467</v>
      </c>
      <c r="B795" s="1" t="s">
        <v>567</v>
      </c>
      <c r="C795" s="1" t="s">
        <v>586</v>
      </c>
      <c r="D795" s="1" t="s">
        <v>141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467</v>
      </c>
      <c r="B796" s="1" t="s">
        <v>568</v>
      </c>
      <c r="C796" s="1" t="s">
        <v>587</v>
      </c>
      <c r="D796" s="1" t="s">
        <v>78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467</v>
      </c>
      <c r="B797" s="1" t="s">
        <v>40</v>
      </c>
      <c r="C797" s="1" t="s">
        <v>588</v>
      </c>
      <c r="D797" s="1" t="s">
        <v>729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467</v>
      </c>
      <c r="B798" s="1" t="s">
        <v>569</v>
      </c>
      <c r="C798" s="1" t="s">
        <v>589</v>
      </c>
      <c r="D798" s="1" t="s">
        <v>78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 t="s">
        <v>467</v>
      </c>
      <c r="B799" s="1" t="s">
        <v>570</v>
      </c>
      <c r="C799" s="1" t="s">
        <v>590</v>
      </c>
      <c r="D799" s="1" t="s">
        <v>95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 t="s">
        <v>467</v>
      </c>
      <c r="B800" s="1" t="s">
        <v>571</v>
      </c>
      <c r="C800" s="1" t="s">
        <v>591</v>
      </c>
      <c r="D800" s="1" t="s">
        <v>223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 t="s">
        <v>467</v>
      </c>
      <c r="B801" s="1" t="s">
        <v>572</v>
      </c>
      <c r="C801" s="1" t="s">
        <v>592</v>
      </c>
      <c r="D801" s="1" t="s">
        <v>78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 t="s">
        <v>467</v>
      </c>
      <c r="B802" s="1" t="s">
        <v>573</v>
      </c>
      <c r="C802" s="1" t="s">
        <v>593</v>
      </c>
      <c r="D802" s="1" t="s">
        <v>78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 t="s">
        <v>468</v>
      </c>
      <c r="B803" s="1" t="s">
        <v>174</v>
      </c>
      <c r="C803" s="1" t="s">
        <v>574</v>
      </c>
      <c r="D803" s="1" t="s">
        <v>78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 t="s">
        <v>468</v>
      </c>
      <c r="B804" s="1" t="s">
        <v>563</v>
      </c>
      <c r="C804" s="1" t="s">
        <v>575</v>
      </c>
      <c r="D804" s="1" t="s">
        <v>78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 t="s">
        <v>468</v>
      </c>
      <c r="B805" s="1" t="s">
        <v>564</v>
      </c>
      <c r="C805" s="1" t="s">
        <v>576</v>
      </c>
      <c r="D805" s="1" t="s">
        <v>92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 t="s">
        <v>468</v>
      </c>
      <c r="B806" s="1" t="s">
        <v>565</v>
      </c>
      <c r="C806" s="1" t="s">
        <v>577</v>
      </c>
      <c r="D806" s="1" t="s">
        <v>78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 t="s">
        <v>468</v>
      </c>
      <c r="B807" s="1" t="s">
        <v>566</v>
      </c>
      <c r="C807" s="1" t="s">
        <v>578</v>
      </c>
      <c r="D807" s="1" t="s">
        <v>78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 t="s">
        <v>468</v>
      </c>
      <c r="B808" s="1" t="s">
        <v>33</v>
      </c>
      <c r="C808" s="1" t="s">
        <v>579</v>
      </c>
      <c r="D808" s="1" t="s">
        <v>722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 t="s">
        <v>468</v>
      </c>
      <c r="B809" s="1" t="s">
        <v>34</v>
      </c>
      <c r="C809" s="1" t="s">
        <v>580</v>
      </c>
      <c r="D809" s="1" t="s">
        <v>723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 t="s">
        <v>468</v>
      </c>
      <c r="B810" s="1" t="s">
        <v>35</v>
      </c>
      <c r="C810" s="1" t="s">
        <v>581</v>
      </c>
      <c r="D810" s="1" t="s">
        <v>724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 t="s">
        <v>468</v>
      </c>
      <c r="B811" s="1" t="s">
        <v>36</v>
      </c>
      <c r="C811" s="1" t="s">
        <v>582</v>
      </c>
      <c r="D811" s="1" t="s">
        <v>97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 t="s">
        <v>468</v>
      </c>
      <c r="B812" s="1" t="s">
        <v>37</v>
      </c>
      <c r="C812" s="1" t="s">
        <v>583</v>
      </c>
      <c r="D812" s="1" t="s">
        <v>97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 t="s">
        <v>468</v>
      </c>
      <c r="B813" s="1" t="s">
        <v>38</v>
      </c>
      <c r="C813" s="1" t="s">
        <v>584</v>
      </c>
      <c r="D813" s="1" t="s">
        <v>625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 t="s">
        <v>468</v>
      </c>
      <c r="B814" s="1" t="s">
        <v>39</v>
      </c>
      <c r="C814" s="1" t="s">
        <v>585</v>
      </c>
      <c r="D814" s="1" t="s">
        <v>97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 t="s">
        <v>468</v>
      </c>
      <c r="B815" s="1" t="s">
        <v>567</v>
      </c>
      <c r="C815" s="1" t="s">
        <v>586</v>
      </c>
      <c r="D815" s="1" t="s">
        <v>141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 t="s">
        <v>468</v>
      </c>
      <c r="B816" s="1" t="s">
        <v>568</v>
      </c>
      <c r="C816" s="1" t="s">
        <v>587</v>
      </c>
      <c r="D816" s="1" t="s">
        <v>78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 t="s">
        <v>468</v>
      </c>
      <c r="B817" s="1" t="s">
        <v>40</v>
      </c>
      <c r="C817" s="1" t="s">
        <v>588</v>
      </c>
      <c r="D817" s="1" t="s">
        <v>725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 t="s">
        <v>468</v>
      </c>
      <c r="B818" s="1" t="s">
        <v>569</v>
      </c>
      <c r="C818" s="1" t="s">
        <v>589</v>
      </c>
      <c r="D818" s="1" t="s">
        <v>78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 t="s">
        <v>468</v>
      </c>
      <c r="B819" s="1" t="s">
        <v>570</v>
      </c>
      <c r="C819" s="1" t="s">
        <v>590</v>
      </c>
      <c r="D819" s="1" t="s">
        <v>95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 t="s">
        <v>468</v>
      </c>
      <c r="B820" s="1" t="s">
        <v>571</v>
      </c>
      <c r="C820" s="1" t="s">
        <v>591</v>
      </c>
      <c r="D820" s="1" t="s">
        <v>95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 t="s">
        <v>468</v>
      </c>
      <c r="B821" s="1" t="s">
        <v>572</v>
      </c>
      <c r="C821" s="1" t="s">
        <v>592</v>
      </c>
      <c r="D821" s="1" t="s">
        <v>78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 t="s">
        <v>468</v>
      </c>
      <c r="B822" s="1" t="s">
        <v>573</v>
      </c>
      <c r="C822" s="1" t="s">
        <v>593</v>
      </c>
      <c r="D822" s="1" t="s">
        <v>78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 t="s">
        <v>445</v>
      </c>
      <c r="B823" s="1" t="s">
        <v>174</v>
      </c>
      <c r="C823" s="1" t="s">
        <v>574</v>
      </c>
      <c r="D823" s="1" t="s">
        <v>78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 t="s">
        <v>445</v>
      </c>
      <c r="B824" s="1" t="s">
        <v>563</v>
      </c>
      <c r="C824" s="1" t="s">
        <v>575</v>
      </c>
      <c r="D824" s="1" t="s">
        <v>78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 t="s">
        <v>445</v>
      </c>
      <c r="B825" s="1" t="s">
        <v>564</v>
      </c>
      <c r="C825" s="1" t="s">
        <v>576</v>
      </c>
      <c r="D825" s="1" t="s">
        <v>92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 t="s">
        <v>445</v>
      </c>
      <c r="B826" s="1" t="s">
        <v>565</v>
      </c>
      <c r="C826" s="1" t="s">
        <v>577</v>
      </c>
      <c r="D826" s="1" t="s">
        <v>78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445</v>
      </c>
      <c r="B827" s="1" t="s">
        <v>33</v>
      </c>
      <c r="C827" s="1" t="s">
        <v>579</v>
      </c>
      <c r="D827" s="1" t="s">
        <v>722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 t="s">
        <v>445</v>
      </c>
      <c r="B828" s="1" t="s">
        <v>34</v>
      </c>
      <c r="C828" s="1" t="s">
        <v>580</v>
      </c>
      <c r="D828" s="1" t="s">
        <v>723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 t="s">
        <v>445</v>
      </c>
      <c r="B829" s="1" t="s">
        <v>35</v>
      </c>
      <c r="C829" s="1" t="s">
        <v>581</v>
      </c>
      <c r="D829" s="1" t="s">
        <v>724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 t="s">
        <v>445</v>
      </c>
      <c r="B830" s="1" t="s">
        <v>36</v>
      </c>
      <c r="C830" s="1" t="s">
        <v>582</v>
      </c>
      <c r="D830" s="1" t="s">
        <v>97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 t="s">
        <v>445</v>
      </c>
      <c r="B831" s="1" t="s">
        <v>37</v>
      </c>
      <c r="C831" s="1" t="s">
        <v>583</v>
      </c>
      <c r="D831" s="1" t="s">
        <v>97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 t="s">
        <v>445</v>
      </c>
      <c r="B832" s="1" t="s">
        <v>38</v>
      </c>
      <c r="C832" s="1" t="s">
        <v>584</v>
      </c>
      <c r="D832" s="1" t="s">
        <v>625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 t="s">
        <v>445</v>
      </c>
      <c r="B833" s="1" t="s">
        <v>39</v>
      </c>
      <c r="C833" s="1" t="s">
        <v>585</v>
      </c>
      <c r="D833" s="1" t="s">
        <v>97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 t="s">
        <v>445</v>
      </c>
      <c r="B834" s="1" t="s">
        <v>568</v>
      </c>
      <c r="C834" s="1" t="s">
        <v>587</v>
      </c>
      <c r="D834" s="1" t="s">
        <v>78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 t="s">
        <v>445</v>
      </c>
      <c r="B835" s="1" t="s">
        <v>40</v>
      </c>
      <c r="C835" s="1" t="s">
        <v>588</v>
      </c>
      <c r="D835" s="1" t="s">
        <v>725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 t="s">
        <v>445</v>
      </c>
      <c r="B836" s="1" t="s">
        <v>570</v>
      </c>
      <c r="C836" s="1" t="s">
        <v>590</v>
      </c>
      <c r="D836" s="1" t="s">
        <v>95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 t="s">
        <v>445</v>
      </c>
      <c r="B837" s="1" t="s">
        <v>571</v>
      </c>
      <c r="C837" s="1" t="s">
        <v>591</v>
      </c>
      <c r="D837" s="1" t="s">
        <v>95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 t="s">
        <v>445</v>
      </c>
      <c r="B838" s="1" t="s">
        <v>572</v>
      </c>
      <c r="C838" s="1" t="s">
        <v>592</v>
      </c>
      <c r="D838" s="1" t="s">
        <v>78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 t="s">
        <v>469</v>
      </c>
      <c r="B839" s="1" t="s">
        <v>174</v>
      </c>
      <c r="C839" s="1" t="s">
        <v>574</v>
      </c>
      <c r="D839" s="1" t="s">
        <v>223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 t="s">
        <v>469</v>
      </c>
      <c r="B840" s="1" t="s">
        <v>563</v>
      </c>
      <c r="C840" s="1" t="s">
        <v>575</v>
      </c>
      <c r="D840" s="1" t="s">
        <v>78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469</v>
      </c>
      <c r="B841" s="1" t="s">
        <v>564</v>
      </c>
      <c r="C841" s="1" t="s">
        <v>576</v>
      </c>
      <c r="D841" s="1" t="s">
        <v>637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 t="s">
        <v>469</v>
      </c>
      <c r="B842" s="1" t="s">
        <v>565</v>
      </c>
      <c r="C842" s="1" t="s">
        <v>577</v>
      </c>
      <c r="D842" s="1" t="s">
        <v>245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 t="s">
        <v>469</v>
      </c>
      <c r="B843" s="1" t="s">
        <v>566</v>
      </c>
      <c r="C843" s="1" t="s">
        <v>578</v>
      </c>
      <c r="D843" s="1" t="s">
        <v>223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 t="s">
        <v>469</v>
      </c>
      <c r="B844" s="1" t="s">
        <v>33</v>
      </c>
      <c r="C844" s="1" t="s">
        <v>579</v>
      </c>
      <c r="D844" s="1" t="s">
        <v>730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 t="s">
        <v>469</v>
      </c>
      <c r="B845" s="1" t="s">
        <v>34</v>
      </c>
      <c r="C845" s="1" t="s">
        <v>580</v>
      </c>
      <c r="D845" s="1" t="s">
        <v>731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 t="s">
        <v>469</v>
      </c>
      <c r="B846" s="1" t="s">
        <v>35</v>
      </c>
      <c r="C846" s="1" t="s">
        <v>581</v>
      </c>
      <c r="D846" s="1" t="s">
        <v>732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 t="s">
        <v>469</v>
      </c>
      <c r="B847" s="1" t="s">
        <v>36</v>
      </c>
      <c r="C847" s="1" t="s">
        <v>582</v>
      </c>
      <c r="D847" s="1" t="s">
        <v>272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 t="s">
        <v>469</v>
      </c>
      <c r="B848" s="1" t="s">
        <v>37</v>
      </c>
      <c r="C848" s="1" t="s">
        <v>583</v>
      </c>
      <c r="D848" s="1" t="s">
        <v>733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 t="s">
        <v>469</v>
      </c>
      <c r="B849" s="1" t="s">
        <v>38</v>
      </c>
      <c r="C849" s="1" t="s">
        <v>584</v>
      </c>
      <c r="D849" s="1" t="s">
        <v>734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 t="s">
        <v>469</v>
      </c>
      <c r="B850" s="1" t="s">
        <v>39</v>
      </c>
      <c r="C850" s="1" t="s">
        <v>585</v>
      </c>
      <c r="D850" s="1" t="s">
        <v>295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 t="s">
        <v>469</v>
      </c>
      <c r="B851" s="1" t="s">
        <v>567</v>
      </c>
      <c r="C851" s="1" t="s">
        <v>586</v>
      </c>
      <c r="D851" s="1" t="s">
        <v>92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 t="s">
        <v>469</v>
      </c>
      <c r="B852" s="1" t="s">
        <v>568</v>
      </c>
      <c r="C852" s="1" t="s">
        <v>587</v>
      </c>
      <c r="D852" s="1" t="s">
        <v>95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 t="s">
        <v>469</v>
      </c>
      <c r="B853" s="1" t="s">
        <v>40</v>
      </c>
      <c r="C853" s="1" t="s">
        <v>588</v>
      </c>
      <c r="D853" s="1" t="s">
        <v>735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 t="s">
        <v>469</v>
      </c>
      <c r="B854" s="1" t="s">
        <v>569</v>
      </c>
      <c r="C854" s="1" t="s">
        <v>589</v>
      </c>
      <c r="D854" s="1" t="s">
        <v>95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 t="s">
        <v>469</v>
      </c>
      <c r="B855" s="1" t="s">
        <v>570</v>
      </c>
      <c r="C855" s="1" t="s">
        <v>590</v>
      </c>
      <c r="D855" s="1" t="s">
        <v>275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 t="s">
        <v>469</v>
      </c>
      <c r="B856" s="1" t="s">
        <v>571</v>
      </c>
      <c r="C856" s="1" t="s">
        <v>591</v>
      </c>
      <c r="D856" s="1" t="s">
        <v>245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 t="s">
        <v>469</v>
      </c>
      <c r="B857" s="1" t="s">
        <v>572</v>
      </c>
      <c r="C857" s="1" t="s">
        <v>592</v>
      </c>
      <c r="D857" s="1" t="s">
        <v>95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469</v>
      </c>
      <c r="B858" s="1" t="s">
        <v>573</v>
      </c>
      <c r="C858" s="1" t="s">
        <v>593</v>
      </c>
      <c r="D858" s="1" t="s">
        <v>95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 t="s">
        <v>470</v>
      </c>
      <c r="B859" s="1" t="s">
        <v>174</v>
      </c>
      <c r="C859" s="1" t="s">
        <v>574</v>
      </c>
      <c r="D859" s="1" t="s">
        <v>78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 t="s">
        <v>470</v>
      </c>
      <c r="B860" s="1" t="s">
        <v>563</v>
      </c>
      <c r="C860" s="1" t="s">
        <v>575</v>
      </c>
      <c r="D860" s="1" t="s">
        <v>78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470</v>
      </c>
      <c r="B861" s="1" t="s">
        <v>564</v>
      </c>
      <c r="C861" s="1" t="s">
        <v>576</v>
      </c>
      <c r="D861" s="1" t="s">
        <v>600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470</v>
      </c>
      <c r="B862" s="1" t="s">
        <v>565</v>
      </c>
      <c r="C862" s="1" t="s">
        <v>577</v>
      </c>
      <c r="D862" s="1" t="s">
        <v>223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470</v>
      </c>
      <c r="B863" s="1" t="s">
        <v>566</v>
      </c>
      <c r="C863" s="1" t="s">
        <v>578</v>
      </c>
      <c r="D863" s="1" t="s">
        <v>95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 t="s">
        <v>470</v>
      </c>
      <c r="B864" s="1" t="s">
        <v>33</v>
      </c>
      <c r="C864" s="1" t="s">
        <v>579</v>
      </c>
      <c r="D864" s="1" t="s">
        <v>618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 t="s">
        <v>470</v>
      </c>
      <c r="B865" s="1" t="s">
        <v>34</v>
      </c>
      <c r="C865" s="1" t="s">
        <v>580</v>
      </c>
      <c r="D865" s="1" t="s">
        <v>736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470</v>
      </c>
      <c r="B866" s="1" t="s">
        <v>35</v>
      </c>
      <c r="C866" s="1" t="s">
        <v>581</v>
      </c>
      <c r="D866" s="1" t="s">
        <v>737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470</v>
      </c>
      <c r="B867" s="1" t="s">
        <v>36</v>
      </c>
      <c r="C867" s="1" t="s">
        <v>582</v>
      </c>
      <c r="D867" s="1" t="s">
        <v>133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470</v>
      </c>
      <c r="B868" s="1" t="s">
        <v>37</v>
      </c>
      <c r="C868" s="1" t="s">
        <v>583</v>
      </c>
      <c r="D868" s="1" t="s">
        <v>145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470</v>
      </c>
      <c r="B869" s="1" t="s">
        <v>38</v>
      </c>
      <c r="C869" s="1" t="s">
        <v>584</v>
      </c>
      <c r="D869" s="1" t="s">
        <v>738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470</v>
      </c>
      <c r="B870" s="1" t="s">
        <v>39</v>
      </c>
      <c r="C870" s="1" t="s">
        <v>585</v>
      </c>
      <c r="D870" s="1" t="s">
        <v>262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470</v>
      </c>
      <c r="B871" s="1" t="s">
        <v>567</v>
      </c>
      <c r="C871" s="1" t="s">
        <v>586</v>
      </c>
      <c r="D871" s="1" t="s">
        <v>92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470</v>
      </c>
      <c r="B872" s="1" t="s">
        <v>568</v>
      </c>
      <c r="C872" s="1" t="s">
        <v>587</v>
      </c>
      <c r="D872" s="1" t="s">
        <v>78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470</v>
      </c>
      <c r="B873" s="1" t="s">
        <v>40</v>
      </c>
      <c r="C873" s="1" t="s">
        <v>588</v>
      </c>
      <c r="D873" s="1" t="s">
        <v>739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 t="s">
        <v>470</v>
      </c>
      <c r="B874" s="1" t="s">
        <v>569</v>
      </c>
      <c r="C874" s="1" t="s">
        <v>589</v>
      </c>
      <c r="D874" s="1" t="s">
        <v>78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 t="s">
        <v>470</v>
      </c>
      <c r="B875" s="1" t="s">
        <v>570</v>
      </c>
      <c r="C875" s="1" t="s">
        <v>590</v>
      </c>
      <c r="D875" s="1" t="s">
        <v>95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 t="s">
        <v>470</v>
      </c>
      <c r="B876" s="1" t="s">
        <v>571</v>
      </c>
      <c r="C876" s="1" t="s">
        <v>591</v>
      </c>
      <c r="D876" s="1" t="s">
        <v>95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 t="s">
        <v>470</v>
      </c>
      <c r="B877" s="1" t="s">
        <v>572</v>
      </c>
      <c r="C877" s="1" t="s">
        <v>592</v>
      </c>
      <c r="D877" s="1" t="s">
        <v>78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 t="s">
        <v>470</v>
      </c>
      <c r="B878" s="1" t="s">
        <v>573</v>
      </c>
      <c r="C878" s="1" t="s">
        <v>593</v>
      </c>
      <c r="D878" s="1" t="s">
        <v>78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 t="s">
        <v>471</v>
      </c>
      <c r="B879" s="1" t="s">
        <v>174</v>
      </c>
      <c r="C879" s="1" t="s">
        <v>574</v>
      </c>
      <c r="D879" s="1" t="s">
        <v>78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 t="s">
        <v>471</v>
      </c>
      <c r="B880" s="1" t="s">
        <v>563</v>
      </c>
      <c r="C880" s="1" t="s">
        <v>575</v>
      </c>
      <c r="D880" s="1" t="s">
        <v>78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471</v>
      </c>
      <c r="B881" s="1" t="s">
        <v>564</v>
      </c>
      <c r="C881" s="1" t="s">
        <v>576</v>
      </c>
      <c r="D881" s="1" t="s">
        <v>92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 t="s">
        <v>471</v>
      </c>
      <c r="B882" s="1" t="s">
        <v>565</v>
      </c>
      <c r="C882" s="1" t="s">
        <v>577</v>
      </c>
      <c r="D882" s="1" t="s">
        <v>78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 t="s">
        <v>471</v>
      </c>
      <c r="B883" s="1" t="s">
        <v>566</v>
      </c>
      <c r="C883" s="1" t="s">
        <v>578</v>
      </c>
      <c r="D883" s="1" t="s">
        <v>78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 t="s">
        <v>471</v>
      </c>
      <c r="B884" s="1" t="s">
        <v>33</v>
      </c>
      <c r="C884" s="1" t="s">
        <v>579</v>
      </c>
      <c r="D884" s="1" t="s">
        <v>385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 t="s">
        <v>471</v>
      </c>
      <c r="B885" s="1" t="s">
        <v>34</v>
      </c>
      <c r="C885" s="1" t="s">
        <v>580</v>
      </c>
      <c r="D885" s="1" t="s">
        <v>740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 t="s">
        <v>471</v>
      </c>
      <c r="B886" s="1" t="s">
        <v>35</v>
      </c>
      <c r="C886" s="1" t="s">
        <v>581</v>
      </c>
      <c r="D886" s="1" t="s">
        <v>741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 t="s">
        <v>471</v>
      </c>
      <c r="B887" s="1" t="s">
        <v>36</v>
      </c>
      <c r="C887" s="1" t="s">
        <v>582</v>
      </c>
      <c r="D887" s="1" t="s">
        <v>230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 t="s">
        <v>471</v>
      </c>
      <c r="B888" s="1" t="s">
        <v>37</v>
      </c>
      <c r="C888" s="1" t="s">
        <v>583</v>
      </c>
      <c r="D888" s="1" t="s">
        <v>245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 t="s">
        <v>471</v>
      </c>
      <c r="B889" s="1" t="s">
        <v>38</v>
      </c>
      <c r="C889" s="1" t="s">
        <v>584</v>
      </c>
      <c r="D889" s="1" t="s">
        <v>742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 t="s">
        <v>471</v>
      </c>
      <c r="B890" s="1" t="s">
        <v>39</v>
      </c>
      <c r="C890" s="1" t="s">
        <v>585</v>
      </c>
      <c r="D890" s="1" t="s">
        <v>232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 t="s">
        <v>471</v>
      </c>
      <c r="B891" s="1" t="s">
        <v>567</v>
      </c>
      <c r="C891" s="1" t="s">
        <v>586</v>
      </c>
      <c r="D891" s="1" t="s">
        <v>141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 t="s">
        <v>471</v>
      </c>
      <c r="B892" s="1" t="s">
        <v>568</v>
      </c>
      <c r="C892" s="1" t="s">
        <v>587</v>
      </c>
      <c r="D892" s="1" t="s">
        <v>78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 t="s">
        <v>471</v>
      </c>
      <c r="B893" s="1" t="s">
        <v>40</v>
      </c>
      <c r="C893" s="1" t="s">
        <v>588</v>
      </c>
      <c r="D893" s="1" t="s">
        <v>743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 t="s">
        <v>471</v>
      </c>
      <c r="B894" s="1" t="s">
        <v>569</v>
      </c>
      <c r="C894" s="1" t="s">
        <v>589</v>
      </c>
      <c r="D894" s="1" t="s">
        <v>78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 t="s">
        <v>471</v>
      </c>
      <c r="B895" s="1" t="s">
        <v>570</v>
      </c>
      <c r="C895" s="1" t="s">
        <v>590</v>
      </c>
      <c r="D895" s="1" t="s">
        <v>95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 t="s">
        <v>471</v>
      </c>
      <c r="B896" s="1" t="s">
        <v>571</v>
      </c>
      <c r="C896" s="1" t="s">
        <v>591</v>
      </c>
      <c r="D896" s="1" t="s">
        <v>232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 t="s">
        <v>471</v>
      </c>
      <c r="B897" s="1" t="s">
        <v>572</v>
      </c>
      <c r="C897" s="1" t="s">
        <v>592</v>
      </c>
      <c r="D897" s="1" t="s">
        <v>78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 t="s">
        <v>471</v>
      </c>
      <c r="B898" s="1" t="s">
        <v>573</v>
      </c>
      <c r="C898" s="1" t="s">
        <v>593</v>
      </c>
      <c r="D898" s="1" t="s">
        <v>223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 t="s">
        <v>472</v>
      </c>
      <c r="B899" s="1" t="s">
        <v>174</v>
      </c>
      <c r="C899" s="1" t="s">
        <v>574</v>
      </c>
      <c r="D899" s="1" t="s">
        <v>232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 t="s">
        <v>472</v>
      </c>
      <c r="B900" s="1" t="s">
        <v>563</v>
      </c>
      <c r="C900" s="1" t="s">
        <v>575</v>
      </c>
      <c r="D900" s="1" t="s">
        <v>95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472</v>
      </c>
      <c r="B901" s="1" t="s">
        <v>564</v>
      </c>
      <c r="C901" s="1" t="s">
        <v>576</v>
      </c>
      <c r="D901" s="1" t="s">
        <v>333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 t="s">
        <v>472</v>
      </c>
      <c r="B902" s="1" t="s">
        <v>565</v>
      </c>
      <c r="C902" s="1" t="s">
        <v>577</v>
      </c>
      <c r="D902" s="1" t="s">
        <v>223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 t="s">
        <v>472</v>
      </c>
      <c r="B903" s="1" t="s">
        <v>566</v>
      </c>
      <c r="C903" s="1" t="s">
        <v>578</v>
      </c>
      <c r="D903" s="1" t="s">
        <v>95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 t="s">
        <v>472</v>
      </c>
      <c r="B904" s="1" t="s">
        <v>33</v>
      </c>
      <c r="C904" s="1" t="s">
        <v>579</v>
      </c>
      <c r="D904" s="1" t="s">
        <v>744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 t="s">
        <v>472</v>
      </c>
      <c r="B905" s="1" t="s">
        <v>34</v>
      </c>
      <c r="C905" s="1" t="s">
        <v>580</v>
      </c>
      <c r="D905" s="1" t="s">
        <v>745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 t="s">
        <v>472</v>
      </c>
      <c r="B906" s="1" t="s">
        <v>35</v>
      </c>
      <c r="C906" s="1" t="s">
        <v>581</v>
      </c>
      <c r="D906" s="1" t="s">
        <v>746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 t="s">
        <v>472</v>
      </c>
      <c r="B907" s="1" t="s">
        <v>36</v>
      </c>
      <c r="C907" s="1" t="s">
        <v>582</v>
      </c>
      <c r="D907" s="1" t="s">
        <v>747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 t="s">
        <v>472</v>
      </c>
      <c r="B908" s="1" t="s">
        <v>37</v>
      </c>
      <c r="C908" s="1" t="s">
        <v>583</v>
      </c>
      <c r="D908" s="1" t="s">
        <v>693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 t="s">
        <v>472</v>
      </c>
      <c r="B909" s="1" t="s">
        <v>38</v>
      </c>
      <c r="C909" s="1" t="s">
        <v>584</v>
      </c>
      <c r="D909" s="1" t="s">
        <v>748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 t="s">
        <v>472</v>
      </c>
      <c r="B910" s="1" t="s">
        <v>39</v>
      </c>
      <c r="C910" s="1" t="s">
        <v>585</v>
      </c>
      <c r="D910" s="1" t="s">
        <v>733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 t="s">
        <v>472</v>
      </c>
      <c r="B911" s="1" t="s">
        <v>567</v>
      </c>
      <c r="C911" s="1" t="s">
        <v>586</v>
      </c>
      <c r="D911" s="1" t="s">
        <v>749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 t="s">
        <v>472</v>
      </c>
      <c r="B912" s="1" t="s">
        <v>568</v>
      </c>
      <c r="C912" s="1" t="s">
        <v>587</v>
      </c>
      <c r="D912" s="1" t="s">
        <v>223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472</v>
      </c>
      <c r="B913" s="1" t="s">
        <v>40</v>
      </c>
      <c r="C913" s="1" t="s">
        <v>588</v>
      </c>
      <c r="D913" s="1" t="s">
        <v>750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 t="s">
        <v>472</v>
      </c>
      <c r="B914" s="1" t="s">
        <v>569</v>
      </c>
      <c r="C914" s="1" t="s">
        <v>589</v>
      </c>
      <c r="D914" s="1" t="s">
        <v>95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 t="s">
        <v>472</v>
      </c>
      <c r="B915" s="1" t="s">
        <v>570</v>
      </c>
      <c r="C915" s="1" t="s">
        <v>590</v>
      </c>
      <c r="D915" s="1" t="s">
        <v>97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472</v>
      </c>
      <c r="B916" s="1" t="s">
        <v>571</v>
      </c>
      <c r="C916" s="1" t="s">
        <v>591</v>
      </c>
      <c r="D916" s="1" t="s">
        <v>228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 t="s">
        <v>472</v>
      </c>
      <c r="B917" s="1" t="s">
        <v>572</v>
      </c>
      <c r="C917" s="1" t="s">
        <v>592</v>
      </c>
      <c r="D917" s="1" t="s">
        <v>223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472</v>
      </c>
      <c r="B918" s="1" t="s">
        <v>573</v>
      </c>
      <c r="C918" s="1" t="s">
        <v>593</v>
      </c>
      <c r="D918" s="1" t="s">
        <v>232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 t="s">
        <v>473</v>
      </c>
      <c r="B919" s="1" t="s">
        <v>174</v>
      </c>
      <c r="C919" s="1" t="s">
        <v>574</v>
      </c>
      <c r="D919" s="1" t="s">
        <v>97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 t="s">
        <v>473</v>
      </c>
      <c r="B920" s="1" t="s">
        <v>563</v>
      </c>
      <c r="C920" s="1" t="s">
        <v>575</v>
      </c>
      <c r="D920" s="1" t="s">
        <v>78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473</v>
      </c>
      <c r="B921" s="1" t="s">
        <v>564</v>
      </c>
      <c r="C921" s="1" t="s">
        <v>576</v>
      </c>
      <c r="D921" s="1" t="s">
        <v>600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 t="s">
        <v>473</v>
      </c>
      <c r="B922" s="1" t="s">
        <v>565</v>
      </c>
      <c r="C922" s="1" t="s">
        <v>577</v>
      </c>
      <c r="D922" s="1" t="s">
        <v>232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 t="s">
        <v>473</v>
      </c>
      <c r="B923" s="1" t="s">
        <v>566</v>
      </c>
      <c r="C923" s="1" t="s">
        <v>578</v>
      </c>
      <c r="D923" s="1" t="s">
        <v>95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 t="s">
        <v>473</v>
      </c>
      <c r="B924" s="1" t="s">
        <v>33</v>
      </c>
      <c r="C924" s="1" t="s">
        <v>579</v>
      </c>
      <c r="D924" s="1" t="s">
        <v>751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 t="s">
        <v>473</v>
      </c>
      <c r="B925" s="1" t="s">
        <v>34</v>
      </c>
      <c r="C925" s="1" t="s">
        <v>580</v>
      </c>
      <c r="D925" s="1" t="s">
        <v>752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 t="s">
        <v>473</v>
      </c>
      <c r="B926" s="1" t="s">
        <v>35</v>
      </c>
      <c r="C926" s="1" t="s">
        <v>581</v>
      </c>
      <c r="D926" s="1" t="s">
        <v>753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 t="s">
        <v>473</v>
      </c>
      <c r="B927" s="1" t="s">
        <v>36</v>
      </c>
      <c r="C927" s="1" t="s">
        <v>582</v>
      </c>
      <c r="D927" s="1" t="s">
        <v>754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 t="s">
        <v>473</v>
      </c>
      <c r="B928" s="1" t="s">
        <v>37</v>
      </c>
      <c r="C928" s="1" t="s">
        <v>583</v>
      </c>
      <c r="D928" s="1" t="s">
        <v>240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 t="s">
        <v>473</v>
      </c>
      <c r="B929" s="1" t="s">
        <v>38</v>
      </c>
      <c r="C929" s="1" t="s">
        <v>584</v>
      </c>
      <c r="D929" s="1" t="s">
        <v>755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 t="s">
        <v>473</v>
      </c>
      <c r="B930" s="1" t="s">
        <v>39</v>
      </c>
      <c r="C930" s="1" t="s">
        <v>585</v>
      </c>
      <c r="D930" s="1" t="s">
        <v>331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 t="s">
        <v>473</v>
      </c>
      <c r="B931" s="1" t="s">
        <v>567</v>
      </c>
      <c r="C931" s="1" t="s">
        <v>586</v>
      </c>
      <c r="D931" s="1" t="s">
        <v>600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 t="s">
        <v>473</v>
      </c>
      <c r="B932" s="1" t="s">
        <v>568</v>
      </c>
      <c r="C932" s="1" t="s">
        <v>587</v>
      </c>
      <c r="D932" s="1" t="s">
        <v>223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473</v>
      </c>
      <c r="B933" s="1" t="s">
        <v>40</v>
      </c>
      <c r="C933" s="1" t="s">
        <v>588</v>
      </c>
      <c r="D933" s="1" t="s">
        <v>756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473</v>
      </c>
      <c r="B934" s="1" t="s">
        <v>569</v>
      </c>
      <c r="C934" s="1" t="s">
        <v>589</v>
      </c>
      <c r="D934" s="1" t="s">
        <v>95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 t="s">
        <v>473</v>
      </c>
      <c r="B935" s="1" t="s">
        <v>570</v>
      </c>
      <c r="C935" s="1" t="s">
        <v>590</v>
      </c>
      <c r="D935" s="1" t="s">
        <v>262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 t="s">
        <v>473</v>
      </c>
      <c r="B936" s="1" t="s">
        <v>571</v>
      </c>
      <c r="C936" s="1" t="s">
        <v>591</v>
      </c>
      <c r="D936" s="1" t="s">
        <v>233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 t="s">
        <v>473</v>
      </c>
      <c r="B937" s="1" t="s">
        <v>572</v>
      </c>
      <c r="C937" s="1" t="s">
        <v>592</v>
      </c>
      <c r="D937" s="1" t="s">
        <v>97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473</v>
      </c>
      <c r="B938" s="1" t="s">
        <v>573</v>
      </c>
      <c r="C938" s="1" t="s">
        <v>593</v>
      </c>
      <c r="D938" s="1" t="s">
        <v>95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474</v>
      </c>
      <c r="B939" s="1" t="s">
        <v>174</v>
      </c>
      <c r="C939" s="1" t="s">
        <v>574</v>
      </c>
      <c r="D939" s="1" t="s">
        <v>262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474</v>
      </c>
      <c r="B940" s="1" t="s">
        <v>563</v>
      </c>
      <c r="C940" s="1" t="s">
        <v>575</v>
      </c>
      <c r="D940" s="1" t="s">
        <v>223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474</v>
      </c>
      <c r="B941" s="1" t="s">
        <v>564</v>
      </c>
      <c r="C941" s="1" t="s">
        <v>576</v>
      </c>
      <c r="D941" s="1" t="s">
        <v>600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474</v>
      </c>
      <c r="B942" s="1" t="s">
        <v>565</v>
      </c>
      <c r="C942" s="1" t="s">
        <v>577</v>
      </c>
      <c r="D942" s="1" t="s">
        <v>232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 t="s">
        <v>474</v>
      </c>
      <c r="B943" s="1" t="s">
        <v>566</v>
      </c>
      <c r="C943" s="1" t="s">
        <v>578</v>
      </c>
      <c r="D943" s="1" t="s">
        <v>78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 t="s">
        <v>474</v>
      </c>
      <c r="B944" s="1" t="s">
        <v>33</v>
      </c>
      <c r="C944" s="1" t="s">
        <v>579</v>
      </c>
      <c r="D944" s="1" t="s">
        <v>757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 t="s">
        <v>474</v>
      </c>
      <c r="B945" s="1" t="s">
        <v>34</v>
      </c>
      <c r="C945" s="1" t="s">
        <v>580</v>
      </c>
      <c r="D945" s="1" t="s">
        <v>758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 t="s">
        <v>474</v>
      </c>
      <c r="B946" s="1" t="s">
        <v>35</v>
      </c>
      <c r="C946" s="1" t="s">
        <v>581</v>
      </c>
      <c r="D946" s="1" t="s">
        <v>421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 t="s">
        <v>474</v>
      </c>
      <c r="B947" s="1" t="s">
        <v>36</v>
      </c>
      <c r="C947" s="1" t="s">
        <v>582</v>
      </c>
      <c r="D947" s="1" t="s">
        <v>759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 t="s">
        <v>474</v>
      </c>
      <c r="B948" s="1" t="s">
        <v>37</v>
      </c>
      <c r="C948" s="1" t="s">
        <v>583</v>
      </c>
      <c r="D948" s="1" t="s">
        <v>307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 t="s">
        <v>474</v>
      </c>
      <c r="B949" s="1" t="s">
        <v>38</v>
      </c>
      <c r="C949" s="1" t="s">
        <v>584</v>
      </c>
      <c r="D949" s="1" t="s">
        <v>760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 t="s">
        <v>474</v>
      </c>
      <c r="B950" s="1" t="s">
        <v>39</v>
      </c>
      <c r="C950" s="1" t="s">
        <v>585</v>
      </c>
      <c r="D950" s="1" t="s">
        <v>133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 t="s">
        <v>474</v>
      </c>
      <c r="B951" s="1" t="s">
        <v>567</v>
      </c>
      <c r="C951" s="1" t="s">
        <v>586</v>
      </c>
      <c r="D951" s="1" t="s">
        <v>141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 t="s">
        <v>474</v>
      </c>
      <c r="B952" s="1" t="s">
        <v>568</v>
      </c>
      <c r="C952" s="1" t="s">
        <v>587</v>
      </c>
      <c r="D952" s="1" t="s">
        <v>223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 t="s">
        <v>474</v>
      </c>
      <c r="B953" s="1" t="s">
        <v>40</v>
      </c>
      <c r="C953" s="1" t="s">
        <v>588</v>
      </c>
      <c r="D953" s="1" t="s">
        <v>761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 t="s">
        <v>474</v>
      </c>
      <c r="B954" s="1" t="s">
        <v>569</v>
      </c>
      <c r="C954" s="1" t="s">
        <v>589</v>
      </c>
      <c r="D954" s="1" t="s">
        <v>223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 t="s">
        <v>474</v>
      </c>
      <c r="B955" s="1" t="s">
        <v>570</v>
      </c>
      <c r="C955" s="1" t="s">
        <v>590</v>
      </c>
      <c r="D955" s="1" t="s">
        <v>145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474</v>
      </c>
      <c r="B956" s="1" t="s">
        <v>571</v>
      </c>
      <c r="C956" s="1" t="s">
        <v>591</v>
      </c>
      <c r="D956" s="1" t="s">
        <v>230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 t="s">
        <v>474</v>
      </c>
      <c r="B957" s="1" t="s">
        <v>572</v>
      </c>
      <c r="C957" s="1" t="s">
        <v>592</v>
      </c>
      <c r="D957" s="1" t="s">
        <v>223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474</v>
      </c>
      <c r="B958" s="1" t="s">
        <v>573</v>
      </c>
      <c r="C958" s="1" t="s">
        <v>593</v>
      </c>
      <c r="D958" s="1" t="s">
        <v>223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 t="s">
        <v>475</v>
      </c>
      <c r="B959" s="1" t="s">
        <v>174</v>
      </c>
      <c r="C959" s="1" t="s">
        <v>574</v>
      </c>
      <c r="D959" s="1" t="s">
        <v>78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 t="s">
        <v>475</v>
      </c>
      <c r="B960" s="1" t="s">
        <v>563</v>
      </c>
      <c r="C960" s="1" t="s">
        <v>575</v>
      </c>
      <c r="D960" s="1" t="s">
        <v>78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475</v>
      </c>
      <c r="B961" s="1" t="s">
        <v>564</v>
      </c>
      <c r="C961" s="1" t="s">
        <v>576</v>
      </c>
      <c r="D961" s="1" t="s">
        <v>92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 t="s">
        <v>475</v>
      </c>
      <c r="B962" s="1" t="s">
        <v>565</v>
      </c>
      <c r="C962" s="1" t="s">
        <v>577</v>
      </c>
      <c r="D962" s="1" t="s">
        <v>78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 t="s">
        <v>475</v>
      </c>
      <c r="B963" s="1" t="s">
        <v>566</v>
      </c>
      <c r="C963" s="1" t="s">
        <v>578</v>
      </c>
      <c r="D963" s="1" t="s">
        <v>78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 t="s">
        <v>475</v>
      </c>
      <c r="B964" s="1" t="s">
        <v>33</v>
      </c>
      <c r="C964" s="1" t="s">
        <v>579</v>
      </c>
      <c r="D964" s="1" t="s">
        <v>385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 t="s">
        <v>475</v>
      </c>
      <c r="B965" s="1" t="s">
        <v>34</v>
      </c>
      <c r="C965" s="1" t="s">
        <v>580</v>
      </c>
      <c r="D965" s="1" t="s">
        <v>740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 t="s">
        <v>475</v>
      </c>
      <c r="B966" s="1" t="s">
        <v>35</v>
      </c>
      <c r="C966" s="1" t="s">
        <v>581</v>
      </c>
      <c r="D966" s="1" t="s">
        <v>741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 t="s">
        <v>475</v>
      </c>
      <c r="B967" s="1" t="s">
        <v>36</v>
      </c>
      <c r="C967" s="1" t="s">
        <v>582</v>
      </c>
      <c r="D967" s="1" t="s">
        <v>230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 t="s">
        <v>475</v>
      </c>
      <c r="B968" s="1" t="s">
        <v>37</v>
      </c>
      <c r="C968" s="1" t="s">
        <v>583</v>
      </c>
      <c r="D968" s="1" t="s">
        <v>245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 t="s">
        <v>475</v>
      </c>
      <c r="B969" s="1" t="s">
        <v>38</v>
      </c>
      <c r="C969" s="1" t="s">
        <v>584</v>
      </c>
      <c r="D969" s="1" t="s">
        <v>742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475</v>
      </c>
      <c r="B970" s="1" t="s">
        <v>39</v>
      </c>
      <c r="C970" s="1" t="s">
        <v>585</v>
      </c>
      <c r="D970" s="1" t="s">
        <v>232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 t="s">
        <v>475</v>
      </c>
      <c r="B971" s="1" t="s">
        <v>567</v>
      </c>
      <c r="C971" s="1" t="s">
        <v>586</v>
      </c>
      <c r="D971" s="1" t="s">
        <v>141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 t="s">
        <v>475</v>
      </c>
      <c r="B972" s="1" t="s">
        <v>568</v>
      </c>
      <c r="C972" s="1" t="s">
        <v>587</v>
      </c>
      <c r="D972" s="1" t="s">
        <v>78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475</v>
      </c>
      <c r="B973" s="1" t="s">
        <v>40</v>
      </c>
      <c r="C973" s="1" t="s">
        <v>588</v>
      </c>
      <c r="D973" s="1" t="s">
        <v>743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 t="s">
        <v>475</v>
      </c>
      <c r="B974" s="1" t="s">
        <v>569</v>
      </c>
      <c r="C974" s="1" t="s">
        <v>589</v>
      </c>
      <c r="D974" s="1" t="s">
        <v>78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 t="s">
        <v>475</v>
      </c>
      <c r="B975" s="1" t="s">
        <v>570</v>
      </c>
      <c r="C975" s="1" t="s">
        <v>590</v>
      </c>
      <c r="D975" s="1" t="s">
        <v>95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 t="s">
        <v>475</v>
      </c>
      <c r="B976" s="1" t="s">
        <v>571</v>
      </c>
      <c r="C976" s="1" t="s">
        <v>591</v>
      </c>
      <c r="D976" s="1" t="s">
        <v>232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 t="s">
        <v>475</v>
      </c>
      <c r="B977" s="1" t="s">
        <v>572</v>
      </c>
      <c r="C977" s="1" t="s">
        <v>592</v>
      </c>
      <c r="D977" s="1" t="s">
        <v>78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475</v>
      </c>
      <c r="B978" s="1" t="s">
        <v>573</v>
      </c>
      <c r="C978" s="1" t="s">
        <v>593</v>
      </c>
      <c r="D978" s="1" t="s">
        <v>223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 t="s">
        <v>476</v>
      </c>
      <c r="B979" s="1" t="s">
        <v>174</v>
      </c>
      <c r="C979" s="1" t="s">
        <v>574</v>
      </c>
      <c r="D979" s="1" t="s">
        <v>232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 t="s">
        <v>476</v>
      </c>
      <c r="B980" s="1" t="s">
        <v>563</v>
      </c>
      <c r="C980" s="1" t="s">
        <v>575</v>
      </c>
      <c r="D980" s="1" t="s">
        <v>95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476</v>
      </c>
      <c r="B981" s="1" t="s">
        <v>564</v>
      </c>
      <c r="C981" s="1" t="s">
        <v>576</v>
      </c>
      <c r="D981" s="1" t="s">
        <v>600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 t="s">
        <v>476</v>
      </c>
      <c r="B982" s="1" t="s">
        <v>565</v>
      </c>
      <c r="C982" s="1" t="s">
        <v>577</v>
      </c>
      <c r="D982" s="1" t="s">
        <v>262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 t="s">
        <v>476</v>
      </c>
      <c r="B983" s="1" t="s">
        <v>566</v>
      </c>
      <c r="C983" s="1" t="s">
        <v>578</v>
      </c>
      <c r="D983" s="1" t="s">
        <v>78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 t="s">
        <v>476</v>
      </c>
      <c r="B984" s="1" t="s">
        <v>33</v>
      </c>
      <c r="C984" s="1" t="s">
        <v>579</v>
      </c>
      <c r="D984" s="1" t="s">
        <v>762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 t="s">
        <v>476</v>
      </c>
      <c r="B985" s="1" t="s">
        <v>34</v>
      </c>
      <c r="C985" s="1" t="s">
        <v>580</v>
      </c>
      <c r="D985" s="1" t="s">
        <v>763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 t="s">
        <v>476</v>
      </c>
      <c r="B986" s="1" t="s">
        <v>35</v>
      </c>
      <c r="C986" s="1" t="s">
        <v>581</v>
      </c>
      <c r="D986" s="1" t="s">
        <v>764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 t="s">
        <v>476</v>
      </c>
      <c r="B987" s="1" t="s">
        <v>36</v>
      </c>
      <c r="C987" s="1" t="s">
        <v>582</v>
      </c>
      <c r="D987" s="1" t="s">
        <v>390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 t="s">
        <v>476</v>
      </c>
      <c r="B988" s="1" t="s">
        <v>37</v>
      </c>
      <c r="C988" s="1" t="s">
        <v>583</v>
      </c>
      <c r="D988" s="1" t="s">
        <v>122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 t="s">
        <v>476</v>
      </c>
      <c r="B989" s="1" t="s">
        <v>38</v>
      </c>
      <c r="C989" s="1" t="s">
        <v>584</v>
      </c>
      <c r="D989" s="1" t="s">
        <v>765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476</v>
      </c>
      <c r="B990" s="1" t="s">
        <v>39</v>
      </c>
      <c r="C990" s="1" t="s">
        <v>585</v>
      </c>
      <c r="D990" s="1" t="s">
        <v>245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 t="s">
        <v>476</v>
      </c>
      <c r="B991" s="1" t="s">
        <v>567</v>
      </c>
      <c r="C991" s="1" t="s">
        <v>586</v>
      </c>
      <c r="D991" s="1" t="s">
        <v>141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 t="s">
        <v>476</v>
      </c>
      <c r="B992" s="1" t="s">
        <v>568</v>
      </c>
      <c r="C992" s="1" t="s">
        <v>587</v>
      </c>
      <c r="D992" s="1" t="s">
        <v>223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476</v>
      </c>
      <c r="B993" s="1" t="s">
        <v>40</v>
      </c>
      <c r="C993" s="1" t="s">
        <v>588</v>
      </c>
      <c r="D993" s="1" t="s">
        <v>766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 t="s">
        <v>476</v>
      </c>
      <c r="B994" s="1" t="s">
        <v>569</v>
      </c>
      <c r="C994" s="1" t="s">
        <v>589</v>
      </c>
      <c r="D994" s="1" t="s">
        <v>95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 t="s">
        <v>476</v>
      </c>
      <c r="B995" s="1" t="s">
        <v>570</v>
      </c>
      <c r="C995" s="1" t="s">
        <v>590</v>
      </c>
      <c r="D995" s="1" t="s">
        <v>97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 t="s">
        <v>476</v>
      </c>
      <c r="B996" s="1" t="s">
        <v>571</v>
      </c>
      <c r="C996" s="1" t="s">
        <v>591</v>
      </c>
      <c r="D996" s="1" t="s">
        <v>145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 t="s">
        <v>476</v>
      </c>
      <c r="B997" s="1" t="s">
        <v>572</v>
      </c>
      <c r="C997" s="1" t="s">
        <v>592</v>
      </c>
      <c r="D997" s="1" t="s">
        <v>275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476</v>
      </c>
      <c r="B998" s="1" t="s">
        <v>573</v>
      </c>
      <c r="C998" s="1" t="s">
        <v>593</v>
      </c>
      <c r="D998" s="1" t="s">
        <v>223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 t="s">
        <v>477</v>
      </c>
      <c r="B999" s="1" t="s">
        <v>174</v>
      </c>
      <c r="C999" s="1" t="s">
        <v>574</v>
      </c>
      <c r="D999" s="1" t="s">
        <v>233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 t="s">
        <v>477</v>
      </c>
      <c r="B1000" s="1" t="s">
        <v>563</v>
      </c>
      <c r="C1000" s="1" t="s">
        <v>575</v>
      </c>
      <c r="D1000" s="1" t="s">
        <v>223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477</v>
      </c>
      <c r="B1001" s="1" t="s">
        <v>564</v>
      </c>
      <c r="C1001" s="1" t="s">
        <v>576</v>
      </c>
      <c r="D1001" s="1" t="s">
        <v>767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 t="s">
        <v>477</v>
      </c>
      <c r="B1002" s="1" t="s">
        <v>565</v>
      </c>
      <c r="C1002" s="1" t="s">
        <v>577</v>
      </c>
      <c r="D1002" s="1" t="s">
        <v>417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 t="s">
        <v>477</v>
      </c>
      <c r="B1003" s="1" t="s">
        <v>566</v>
      </c>
      <c r="C1003" s="1" t="s">
        <v>578</v>
      </c>
      <c r="D1003" s="1" t="s">
        <v>95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 t="s">
        <v>477</v>
      </c>
      <c r="B1004" s="1" t="s">
        <v>33</v>
      </c>
      <c r="C1004" s="1" t="s">
        <v>579</v>
      </c>
      <c r="D1004" s="1" t="s">
        <v>768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477</v>
      </c>
      <c r="B1005" s="1" t="s">
        <v>34</v>
      </c>
      <c r="C1005" s="1" t="s">
        <v>580</v>
      </c>
      <c r="D1005" s="1" t="s">
        <v>769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477</v>
      </c>
      <c r="B1006" s="1" t="s">
        <v>35</v>
      </c>
      <c r="C1006" s="1" t="s">
        <v>581</v>
      </c>
      <c r="D1006" s="1" t="s">
        <v>770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477</v>
      </c>
      <c r="B1007" s="1" t="s">
        <v>36</v>
      </c>
      <c r="C1007" s="1" t="s">
        <v>582</v>
      </c>
      <c r="D1007" s="1" t="s">
        <v>771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 t="s">
        <v>477</v>
      </c>
      <c r="B1008" s="1" t="s">
        <v>37</v>
      </c>
      <c r="C1008" s="1" t="s">
        <v>583</v>
      </c>
      <c r="D1008" s="1" t="s">
        <v>235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 t="s">
        <v>477</v>
      </c>
      <c r="B1009" s="1" t="s">
        <v>38</v>
      </c>
      <c r="C1009" s="1" t="s">
        <v>584</v>
      </c>
      <c r="D1009" s="1" t="s">
        <v>772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477</v>
      </c>
      <c r="B1010" s="1" t="s">
        <v>39</v>
      </c>
      <c r="C1010" s="1" t="s">
        <v>585</v>
      </c>
      <c r="D1010" s="1" t="s">
        <v>773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477</v>
      </c>
      <c r="B1011" s="1" t="s">
        <v>567</v>
      </c>
      <c r="C1011" s="1" t="s">
        <v>586</v>
      </c>
      <c r="D1011" s="1" t="s">
        <v>310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477</v>
      </c>
      <c r="B1012" s="1" t="s">
        <v>568</v>
      </c>
      <c r="C1012" s="1" t="s">
        <v>587</v>
      </c>
      <c r="D1012" s="1" t="s">
        <v>223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477</v>
      </c>
      <c r="B1013" s="1" t="s">
        <v>40</v>
      </c>
      <c r="C1013" s="1" t="s">
        <v>588</v>
      </c>
      <c r="D1013" s="1" t="s">
        <v>774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477</v>
      </c>
      <c r="B1014" s="1" t="s">
        <v>569</v>
      </c>
      <c r="C1014" s="1" t="s">
        <v>589</v>
      </c>
      <c r="D1014" s="1" t="s">
        <v>223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477</v>
      </c>
      <c r="B1015" s="1" t="s">
        <v>570</v>
      </c>
      <c r="C1015" s="1" t="s">
        <v>590</v>
      </c>
      <c r="D1015" s="1" t="s">
        <v>233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 t="s">
        <v>477</v>
      </c>
      <c r="B1016" s="1" t="s">
        <v>571</v>
      </c>
      <c r="C1016" s="1" t="s">
        <v>591</v>
      </c>
      <c r="D1016" s="1" t="s">
        <v>417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 t="s">
        <v>477</v>
      </c>
      <c r="B1017" s="1" t="s">
        <v>572</v>
      </c>
      <c r="C1017" s="1" t="s">
        <v>592</v>
      </c>
      <c r="D1017" s="1" t="s">
        <v>262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477</v>
      </c>
      <c r="B1018" s="1" t="s">
        <v>573</v>
      </c>
      <c r="C1018" s="1" t="s">
        <v>593</v>
      </c>
      <c r="D1018" s="1" t="s">
        <v>78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 t="s">
        <v>478</v>
      </c>
      <c r="B1019" s="1" t="s">
        <v>174</v>
      </c>
      <c r="C1019" s="1" t="s">
        <v>574</v>
      </c>
      <c r="D1019" s="1" t="s">
        <v>145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 t="s">
        <v>478</v>
      </c>
      <c r="B1020" s="1" t="s">
        <v>563</v>
      </c>
      <c r="C1020" s="1" t="s">
        <v>575</v>
      </c>
      <c r="D1020" s="1" t="s">
        <v>223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478</v>
      </c>
      <c r="B1021" s="1" t="s">
        <v>564</v>
      </c>
      <c r="C1021" s="1" t="s">
        <v>576</v>
      </c>
      <c r="D1021" s="1" t="s">
        <v>775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 t="s">
        <v>478</v>
      </c>
      <c r="B1022" s="1" t="s">
        <v>565</v>
      </c>
      <c r="C1022" s="1" t="s">
        <v>577</v>
      </c>
      <c r="D1022" s="1" t="s">
        <v>134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 t="s">
        <v>478</v>
      </c>
      <c r="B1023" s="1" t="s">
        <v>566</v>
      </c>
      <c r="C1023" s="1" t="s">
        <v>578</v>
      </c>
      <c r="D1023" s="1" t="s">
        <v>78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 t="s">
        <v>478</v>
      </c>
      <c r="B1024" s="1" t="s">
        <v>33</v>
      </c>
      <c r="C1024" s="1" t="s">
        <v>579</v>
      </c>
      <c r="D1024" s="1" t="s">
        <v>776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478</v>
      </c>
      <c r="B1025" s="1" t="s">
        <v>34</v>
      </c>
      <c r="C1025" s="1" t="s">
        <v>580</v>
      </c>
      <c r="D1025" s="1" t="s">
        <v>777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 t="s">
        <v>478</v>
      </c>
      <c r="B1026" s="1" t="s">
        <v>35</v>
      </c>
      <c r="C1026" s="1" t="s">
        <v>581</v>
      </c>
      <c r="D1026" s="1" t="s">
        <v>778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 t="s">
        <v>478</v>
      </c>
      <c r="B1027" s="1" t="s">
        <v>36</v>
      </c>
      <c r="C1027" s="1" t="s">
        <v>582</v>
      </c>
      <c r="D1027" s="1" t="s">
        <v>259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 t="s">
        <v>478</v>
      </c>
      <c r="B1028" s="1" t="s">
        <v>37</v>
      </c>
      <c r="C1028" s="1" t="s">
        <v>583</v>
      </c>
      <c r="D1028" s="1" t="s">
        <v>334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 t="s">
        <v>478</v>
      </c>
      <c r="B1029" s="1" t="s">
        <v>38</v>
      </c>
      <c r="C1029" s="1" t="s">
        <v>584</v>
      </c>
      <c r="D1029" s="1" t="s">
        <v>779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478</v>
      </c>
      <c r="B1030" s="1" t="s">
        <v>39</v>
      </c>
      <c r="C1030" s="1" t="s">
        <v>585</v>
      </c>
      <c r="D1030" s="1" t="s">
        <v>334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 t="s">
        <v>478</v>
      </c>
      <c r="B1031" s="1" t="s">
        <v>567</v>
      </c>
      <c r="C1031" s="1" t="s">
        <v>586</v>
      </c>
      <c r="D1031" s="1" t="s">
        <v>141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 t="s">
        <v>478</v>
      </c>
      <c r="B1032" s="1" t="s">
        <v>568</v>
      </c>
      <c r="C1032" s="1" t="s">
        <v>587</v>
      </c>
      <c r="D1032" s="1" t="s">
        <v>95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478</v>
      </c>
      <c r="B1033" s="1" t="s">
        <v>40</v>
      </c>
      <c r="C1033" s="1" t="s">
        <v>588</v>
      </c>
      <c r="D1033" s="1" t="s">
        <v>780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 t="s">
        <v>478</v>
      </c>
      <c r="B1034" s="1" t="s">
        <v>569</v>
      </c>
      <c r="C1034" s="1" t="s">
        <v>589</v>
      </c>
      <c r="D1034" s="1" t="s">
        <v>275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 t="s">
        <v>478</v>
      </c>
      <c r="B1035" s="1" t="s">
        <v>570</v>
      </c>
      <c r="C1035" s="1" t="s">
        <v>590</v>
      </c>
      <c r="D1035" s="1" t="s">
        <v>262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 t="s">
        <v>478</v>
      </c>
      <c r="B1036" s="1" t="s">
        <v>571</v>
      </c>
      <c r="C1036" s="1" t="s">
        <v>591</v>
      </c>
      <c r="D1036" s="1" t="s">
        <v>98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 t="s">
        <v>478</v>
      </c>
      <c r="B1037" s="1" t="s">
        <v>572</v>
      </c>
      <c r="C1037" s="1" t="s">
        <v>592</v>
      </c>
      <c r="D1037" s="1" t="s">
        <v>95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478</v>
      </c>
      <c r="B1038" s="1" t="s">
        <v>573</v>
      </c>
      <c r="C1038" s="1" t="s">
        <v>593</v>
      </c>
      <c r="D1038" s="1" t="s">
        <v>95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 t="s">
        <v>479</v>
      </c>
      <c r="B1039" s="1" t="s">
        <v>174</v>
      </c>
      <c r="C1039" s="1" t="s">
        <v>574</v>
      </c>
      <c r="D1039" s="1" t="s">
        <v>223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 t="s">
        <v>479</v>
      </c>
      <c r="B1040" s="1" t="s">
        <v>563</v>
      </c>
      <c r="C1040" s="1" t="s">
        <v>575</v>
      </c>
      <c r="D1040" s="1" t="s">
        <v>95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479</v>
      </c>
      <c r="B1041" s="1" t="s">
        <v>564</v>
      </c>
      <c r="C1041" s="1" t="s">
        <v>576</v>
      </c>
      <c r="D1041" s="1" t="s">
        <v>141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 t="s">
        <v>479</v>
      </c>
      <c r="B1042" s="1" t="s">
        <v>565</v>
      </c>
      <c r="C1042" s="1" t="s">
        <v>577</v>
      </c>
      <c r="D1042" s="1" t="s">
        <v>223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 t="s">
        <v>479</v>
      </c>
      <c r="B1043" s="1" t="s">
        <v>566</v>
      </c>
      <c r="C1043" s="1" t="s">
        <v>578</v>
      </c>
      <c r="D1043" s="1" t="s">
        <v>78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 t="s">
        <v>479</v>
      </c>
      <c r="B1044" s="1" t="s">
        <v>33</v>
      </c>
      <c r="C1044" s="1" t="s">
        <v>579</v>
      </c>
      <c r="D1044" s="1" t="s">
        <v>781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479</v>
      </c>
      <c r="B1045" s="1" t="s">
        <v>34</v>
      </c>
      <c r="C1045" s="1" t="s">
        <v>580</v>
      </c>
      <c r="D1045" s="1" t="s">
        <v>782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 t="s">
        <v>479</v>
      </c>
      <c r="B1046" s="1" t="s">
        <v>35</v>
      </c>
      <c r="C1046" s="1" t="s">
        <v>581</v>
      </c>
      <c r="D1046" s="1" t="s">
        <v>783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 t="s">
        <v>479</v>
      </c>
      <c r="B1047" s="1" t="s">
        <v>36</v>
      </c>
      <c r="C1047" s="1" t="s">
        <v>582</v>
      </c>
      <c r="D1047" s="1" t="s">
        <v>227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 t="s">
        <v>479</v>
      </c>
      <c r="B1048" s="1" t="s">
        <v>37</v>
      </c>
      <c r="C1048" s="1" t="s">
        <v>583</v>
      </c>
      <c r="D1048" s="1" t="s">
        <v>417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 t="s">
        <v>479</v>
      </c>
      <c r="B1049" s="1" t="s">
        <v>38</v>
      </c>
      <c r="C1049" s="1" t="s">
        <v>584</v>
      </c>
      <c r="D1049" s="1" t="s">
        <v>784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479</v>
      </c>
      <c r="B1050" s="1" t="s">
        <v>39</v>
      </c>
      <c r="C1050" s="1" t="s">
        <v>585</v>
      </c>
      <c r="D1050" s="1" t="s">
        <v>98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 t="s">
        <v>479</v>
      </c>
      <c r="B1051" s="1" t="s">
        <v>567</v>
      </c>
      <c r="C1051" s="1" t="s">
        <v>586</v>
      </c>
      <c r="D1051" s="1" t="s">
        <v>141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 t="s">
        <v>479</v>
      </c>
      <c r="B1052" s="1" t="s">
        <v>568</v>
      </c>
      <c r="C1052" s="1" t="s">
        <v>587</v>
      </c>
      <c r="D1052" s="1" t="s">
        <v>95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479</v>
      </c>
      <c r="B1053" s="1" t="s">
        <v>40</v>
      </c>
      <c r="C1053" s="1" t="s">
        <v>588</v>
      </c>
      <c r="D1053" s="1" t="s">
        <v>785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 t="s">
        <v>479</v>
      </c>
      <c r="B1054" s="1" t="s">
        <v>569</v>
      </c>
      <c r="C1054" s="1" t="s">
        <v>589</v>
      </c>
      <c r="D1054" s="1" t="s">
        <v>78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 t="s">
        <v>479</v>
      </c>
      <c r="B1055" s="1" t="s">
        <v>570</v>
      </c>
      <c r="C1055" s="1" t="s">
        <v>590</v>
      </c>
      <c r="D1055" s="1" t="s">
        <v>275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 t="s">
        <v>479</v>
      </c>
      <c r="B1056" s="1" t="s">
        <v>571</v>
      </c>
      <c r="C1056" s="1" t="s">
        <v>591</v>
      </c>
      <c r="D1056" s="1" t="s">
        <v>275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 t="s">
        <v>479</v>
      </c>
      <c r="B1057" s="1" t="s">
        <v>572</v>
      </c>
      <c r="C1057" s="1" t="s">
        <v>592</v>
      </c>
      <c r="D1057" s="1" t="s">
        <v>95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479</v>
      </c>
      <c r="B1058" s="1" t="s">
        <v>573</v>
      </c>
      <c r="C1058" s="1" t="s">
        <v>593</v>
      </c>
      <c r="D1058" s="1" t="s">
        <v>95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 t="s">
        <v>480</v>
      </c>
      <c r="B1059" s="1" t="s">
        <v>174</v>
      </c>
      <c r="C1059" s="1" t="s">
        <v>574</v>
      </c>
      <c r="D1059" s="1" t="s">
        <v>78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 t="s">
        <v>480</v>
      </c>
      <c r="B1060" s="1" t="s">
        <v>563</v>
      </c>
      <c r="C1060" s="1" t="s">
        <v>575</v>
      </c>
      <c r="D1060" s="1" t="s">
        <v>78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480</v>
      </c>
      <c r="B1061" s="1" t="s">
        <v>564</v>
      </c>
      <c r="C1061" s="1" t="s">
        <v>576</v>
      </c>
      <c r="D1061" s="1" t="s">
        <v>786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 t="s">
        <v>480</v>
      </c>
      <c r="B1062" s="1" t="s">
        <v>565</v>
      </c>
      <c r="C1062" s="1" t="s">
        <v>577</v>
      </c>
      <c r="D1062" s="1" t="s">
        <v>230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 t="s">
        <v>480</v>
      </c>
      <c r="B1063" s="1" t="s">
        <v>566</v>
      </c>
      <c r="C1063" s="1" t="s">
        <v>578</v>
      </c>
      <c r="D1063" s="1" t="s">
        <v>97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 t="s">
        <v>480</v>
      </c>
      <c r="B1064" s="1" t="s">
        <v>33</v>
      </c>
      <c r="C1064" s="1" t="s">
        <v>579</v>
      </c>
      <c r="D1064" s="1" t="s">
        <v>787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480</v>
      </c>
      <c r="B1065" s="1" t="s">
        <v>34</v>
      </c>
      <c r="C1065" s="1" t="s">
        <v>580</v>
      </c>
      <c r="D1065" s="1" t="s">
        <v>788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 t="s">
        <v>480</v>
      </c>
      <c r="B1066" s="1" t="s">
        <v>35</v>
      </c>
      <c r="C1066" s="1" t="s">
        <v>581</v>
      </c>
      <c r="D1066" s="1" t="s">
        <v>789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 t="s">
        <v>480</v>
      </c>
      <c r="B1067" s="1" t="s">
        <v>36</v>
      </c>
      <c r="C1067" s="1" t="s">
        <v>582</v>
      </c>
      <c r="D1067" s="1" t="s">
        <v>422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 t="s">
        <v>480</v>
      </c>
      <c r="B1068" s="1" t="s">
        <v>37</v>
      </c>
      <c r="C1068" s="1" t="s">
        <v>583</v>
      </c>
      <c r="D1068" s="1" t="s">
        <v>399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 t="s">
        <v>480</v>
      </c>
      <c r="B1069" s="1" t="s">
        <v>38</v>
      </c>
      <c r="C1069" s="1" t="s">
        <v>584</v>
      </c>
      <c r="D1069" s="1" t="s">
        <v>790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480</v>
      </c>
      <c r="B1070" s="1" t="s">
        <v>39</v>
      </c>
      <c r="C1070" s="1" t="s">
        <v>585</v>
      </c>
      <c r="D1070" s="1" t="s">
        <v>307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 t="s">
        <v>480</v>
      </c>
      <c r="B1071" s="1" t="s">
        <v>567</v>
      </c>
      <c r="C1071" s="1" t="s">
        <v>586</v>
      </c>
      <c r="D1071" s="1" t="s">
        <v>332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 t="s">
        <v>480</v>
      </c>
      <c r="B1072" s="1" t="s">
        <v>568</v>
      </c>
      <c r="C1072" s="1" t="s">
        <v>587</v>
      </c>
      <c r="D1072" s="1" t="s">
        <v>78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480</v>
      </c>
      <c r="B1073" s="1" t="s">
        <v>40</v>
      </c>
      <c r="C1073" s="1" t="s">
        <v>588</v>
      </c>
      <c r="D1073" s="1" t="s">
        <v>791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 t="s">
        <v>480</v>
      </c>
      <c r="B1074" s="1" t="s">
        <v>569</v>
      </c>
      <c r="C1074" s="1" t="s">
        <v>589</v>
      </c>
      <c r="D1074" s="1" t="s">
        <v>78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 t="s">
        <v>480</v>
      </c>
      <c r="B1075" s="1" t="s">
        <v>570</v>
      </c>
      <c r="C1075" s="1" t="s">
        <v>590</v>
      </c>
      <c r="D1075" s="1" t="s">
        <v>95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 t="s">
        <v>480</v>
      </c>
      <c r="B1076" s="1" t="s">
        <v>571</v>
      </c>
      <c r="C1076" s="1" t="s">
        <v>591</v>
      </c>
      <c r="D1076" s="1" t="s">
        <v>245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480</v>
      </c>
      <c r="B1077" s="1" t="s">
        <v>572</v>
      </c>
      <c r="C1077" s="1" t="s">
        <v>592</v>
      </c>
      <c r="D1077" s="1" t="s">
        <v>78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480</v>
      </c>
      <c r="B1078" s="1" t="s">
        <v>573</v>
      </c>
      <c r="C1078" s="1" t="s">
        <v>593</v>
      </c>
      <c r="D1078" s="1" t="s">
        <v>78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481</v>
      </c>
      <c r="B1079" s="1" t="s">
        <v>174</v>
      </c>
      <c r="C1079" s="1" t="s">
        <v>574</v>
      </c>
      <c r="D1079" s="1" t="s">
        <v>228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 t="s">
        <v>481</v>
      </c>
      <c r="B1080" s="1" t="s">
        <v>563</v>
      </c>
      <c r="C1080" s="1" t="s">
        <v>575</v>
      </c>
      <c r="D1080" s="1" t="s">
        <v>95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481</v>
      </c>
      <c r="B1081" s="1" t="s">
        <v>564</v>
      </c>
      <c r="C1081" s="1" t="s">
        <v>576</v>
      </c>
      <c r="D1081" s="1" t="s">
        <v>792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481</v>
      </c>
      <c r="B1082" s="1" t="s">
        <v>565</v>
      </c>
      <c r="C1082" s="1" t="s">
        <v>577</v>
      </c>
      <c r="D1082" s="1" t="s">
        <v>286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481</v>
      </c>
      <c r="B1083" s="1" t="s">
        <v>566</v>
      </c>
      <c r="C1083" s="1" t="s">
        <v>578</v>
      </c>
      <c r="D1083" s="1" t="s">
        <v>262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481</v>
      </c>
      <c r="B1084" s="1" t="s">
        <v>33</v>
      </c>
      <c r="C1084" s="1" t="s">
        <v>579</v>
      </c>
      <c r="D1084" s="1" t="s">
        <v>793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481</v>
      </c>
      <c r="B1085" s="1" t="s">
        <v>34</v>
      </c>
      <c r="C1085" s="1" t="s">
        <v>580</v>
      </c>
      <c r="D1085" s="1" t="s">
        <v>794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481</v>
      </c>
      <c r="B1086" s="1" t="s">
        <v>35</v>
      </c>
      <c r="C1086" s="1" t="s">
        <v>581</v>
      </c>
      <c r="D1086" s="1" t="s">
        <v>795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481</v>
      </c>
      <c r="B1087" s="1" t="s">
        <v>36</v>
      </c>
      <c r="C1087" s="1" t="s">
        <v>582</v>
      </c>
      <c r="D1087" s="1" t="s">
        <v>796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 t="s">
        <v>481</v>
      </c>
      <c r="B1088" s="1" t="s">
        <v>37</v>
      </c>
      <c r="C1088" s="1" t="s">
        <v>583</v>
      </c>
      <c r="D1088" s="1" t="s">
        <v>330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 t="s">
        <v>481</v>
      </c>
      <c r="B1089" s="1" t="s">
        <v>38</v>
      </c>
      <c r="C1089" s="1" t="s">
        <v>584</v>
      </c>
      <c r="D1089" s="1" t="s">
        <v>797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481</v>
      </c>
      <c r="B1090" s="1" t="s">
        <v>39</v>
      </c>
      <c r="C1090" s="1" t="s">
        <v>585</v>
      </c>
      <c r="D1090" s="1" t="s">
        <v>798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 t="s">
        <v>481</v>
      </c>
      <c r="B1091" s="1" t="s">
        <v>567</v>
      </c>
      <c r="C1091" s="1" t="s">
        <v>586</v>
      </c>
      <c r="D1091" s="1" t="s">
        <v>799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 t="s">
        <v>481</v>
      </c>
      <c r="B1092" s="1" t="s">
        <v>568</v>
      </c>
      <c r="C1092" s="1" t="s">
        <v>587</v>
      </c>
      <c r="D1092" s="1" t="s">
        <v>223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481</v>
      </c>
      <c r="B1093" s="1" t="s">
        <v>40</v>
      </c>
      <c r="C1093" s="1" t="s">
        <v>588</v>
      </c>
      <c r="D1093" s="1" t="s">
        <v>800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 t="s">
        <v>481</v>
      </c>
      <c r="B1094" s="1" t="s">
        <v>569</v>
      </c>
      <c r="C1094" s="1" t="s">
        <v>589</v>
      </c>
      <c r="D1094" s="1" t="s">
        <v>232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 t="s">
        <v>481</v>
      </c>
      <c r="B1095" s="1" t="s">
        <v>570</v>
      </c>
      <c r="C1095" s="1" t="s">
        <v>590</v>
      </c>
      <c r="D1095" s="1" t="s">
        <v>228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 t="s">
        <v>481</v>
      </c>
      <c r="B1096" s="1" t="s">
        <v>571</v>
      </c>
      <c r="C1096" s="1" t="s">
        <v>591</v>
      </c>
      <c r="D1096" s="1" t="s">
        <v>240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 t="s">
        <v>481</v>
      </c>
      <c r="B1097" s="1" t="s">
        <v>572</v>
      </c>
      <c r="C1097" s="1" t="s">
        <v>592</v>
      </c>
      <c r="D1097" s="1" t="s">
        <v>262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481</v>
      </c>
      <c r="B1098" s="1" t="s">
        <v>573</v>
      </c>
      <c r="C1098" s="1" t="s">
        <v>593</v>
      </c>
      <c r="D1098" s="1" t="s">
        <v>78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 t="s">
        <v>482</v>
      </c>
      <c r="B1099" s="1" t="s">
        <v>174</v>
      </c>
      <c r="C1099" s="1" t="s">
        <v>574</v>
      </c>
      <c r="D1099" s="1" t="s">
        <v>95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 t="s">
        <v>482</v>
      </c>
      <c r="B1100" s="1" t="s">
        <v>563</v>
      </c>
      <c r="C1100" s="1" t="s">
        <v>575</v>
      </c>
      <c r="D1100" s="1" t="s">
        <v>78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482</v>
      </c>
      <c r="B1101" s="1" t="s">
        <v>564</v>
      </c>
      <c r="C1101" s="1" t="s">
        <v>576</v>
      </c>
      <c r="D1101" s="1" t="s">
        <v>637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 t="s">
        <v>482</v>
      </c>
      <c r="B1102" s="1" t="s">
        <v>565</v>
      </c>
      <c r="C1102" s="1" t="s">
        <v>577</v>
      </c>
      <c r="D1102" s="1" t="s">
        <v>275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 t="s">
        <v>482</v>
      </c>
      <c r="B1103" s="1" t="s">
        <v>566</v>
      </c>
      <c r="C1103" s="1" t="s">
        <v>578</v>
      </c>
      <c r="D1103" s="1" t="s">
        <v>78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 t="s">
        <v>482</v>
      </c>
      <c r="B1104" s="1" t="s">
        <v>33</v>
      </c>
      <c r="C1104" s="1" t="s">
        <v>579</v>
      </c>
      <c r="D1104" s="1" t="s">
        <v>801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482</v>
      </c>
      <c r="B1105" s="1" t="s">
        <v>34</v>
      </c>
      <c r="C1105" s="1" t="s">
        <v>580</v>
      </c>
      <c r="D1105" s="1" t="s">
        <v>802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 t="s">
        <v>482</v>
      </c>
      <c r="B1106" s="1" t="s">
        <v>35</v>
      </c>
      <c r="C1106" s="1" t="s">
        <v>581</v>
      </c>
      <c r="D1106" s="1" t="s">
        <v>764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 t="s">
        <v>482</v>
      </c>
      <c r="B1107" s="1" t="s">
        <v>36</v>
      </c>
      <c r="C1107" s="1" t="s">
        <v>582</v>
      </c>
      <c r="D1107" s="1" t="s">
        <v>733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 t="s">
        <v>482</v>
      </c>
      <c r="B1108" s="1" t="s">
        <v>37</v>
      </c>
      <c r="C1108" s="1" t="s">
        <v>583</v>
      </c>
      <c r="D1108" s="1" t="s">
        <v>307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 t="s">
        <v>482</v>
      </c>
      <c r="B1109" s="1" t="s">
        <v>38</v>
      </c>
      <c r="C1109" s="1" t="s">
        <v>584</v>
      </c>
      <c r="D1109" s="1" t="s">
        <v>803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482</v>
      </c>
      <c r="B1110" s="1" t="s">
        <v>39</v>
      </c>
      <c r="C1110" s="1" t="s">
        <v>585</v>
      </c>
      <c r="D1110" s="1" t="s">
        <v>245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 t="s">
        <v>482</v>
      </c>
      <c r="B1111" s="1" t="s">
        <v>567</v>
      </c>
      <c r="C1111" s="1" t="s">
        <v>586</v>
      </c>
      <c r="D1111" s="1" t="s">
        <v>141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 t="s">
        <v>482</v>
      </c>
      <c r="B1112" s="1" t="s">
        <v>568</v>
      </c>
      <c r="C1112" s="1" t="s">
        <v>587</v>
      </c>
      <c r="D1112" s="1" t="s">
        <v>95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482</v>
      </c>
      <c r="B1113" s="1" t="s">
        <v>40</v>
      </c>
      <c r="C1113" s="1" t="s">
        <v>588</v>
      </c>
      <c r="D1113" s="1" t="s">
        <v>804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 t="s">
        <v>482</v>
      </c>
      <c r="B1114" s="1" t="s">
        <v>569</v>
      </c>
      <c r="C1114" s="1" t="s">
        <v>589</v>
      </c>
      <c r="D1114" s="1" t="s">
        <v>95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 t="s">
        <v>482</v>
      </c>
      <c r="B1115" s="1" t="s">
        <v>570</v>
      </c>
      <c r="C1115" s="1" t="s">
        <v>590</v>
      </c>
      <c r="D1115" s="1" t="s">
        <v>223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 t="s">
        <v>482</v>
      </c>
      <c r="B1116" s="1" t="s">
        <v>571</v>
      </c>
      <c r="C1116" s="1" t="s">
        <v>591</v>
      </c>
      <c r="D1116" s="1" t="s">
        <v>232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 t="s">
        <v>482</v>
      </c>
      <c r="B1117" s="1" t="s">
        <v>572</v>
      </c>
      <c r="C1117" s="1" t="s">
        <v>592</v>
      </c>
      <c r="D1117" s="1" t="s">
        <v>95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482</v>
      </c>
      <c r="B1118" s="1" t="s">
        <v>573</v>
      </c>
      <c r="C1118" s="1" t="s">
        <v>593</v>
      </c>
      <c r="D1118" s="1" t="s">
        <v>78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 t="s">
        <v>483</v>
      </c>
      <c r="B1119" s="1" t="s">
        <v>174</v>
      </c>
      <c r="C1119" s="1" t="s">
        <v>574</v>
      </c>
      <c r="D1119" s="1" t="s">
        <v>78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 t="s">
        <v>483</v>
      </c>
      <c r="B1120" s="1" t="s">
        <v>563</v>
      </c>
      <c r="C1120" s="1" t="s">
        <v>575</v>
      </c>
      <c r="D1120" s="1" t="s">
        <v>78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483</v>
      </c>
      <c r="B1121" s="1" t="s">
        <v>564</v>
      </c>
      <c r="C1121" s="1" t="s">
        <v>576</v>
      </c>
      <c r="D1121" s="1" t="s">
        <v>310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 t="s">
        <v>483</v>
      </c>
      <c r="B1122" s="1" t="s">
        <v>565</v>
      </c>
      <c r="C1122" s="1" t="s">
        <v>577</v>
      </c>
      <c r="D1122" s="1" t="s">
        <v>97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 t="s">
        <v>483</v>
      </c>
      <c r="B1123" s="1" t="s">
        <v>566</v>
      </c>
      <c r="C1123" s="1" t="s">
        <v>578</v>
      </c>
      <c r="D1123" s="1" t="s">
        <v>232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 t="s">
        <v>483</v>
      </c>
      <c r="B1124" s="1" t="s">
        <v>33</v>
      </c>
      <c r="C1124" s="1" t="s">
        <v>579</v>
      </c>
      <c r="D1124" s="1" t="s">
        <v>805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483</v>
      </c>
      <c r="B1125" s="1" t="s">
        <v>34</v>
      </c>
      <c r="C1125" s="1" t="s">
        <v>580</v>
      </c>
      <c r="D1125" s="1" t="s">
        <v>806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 t="s">
        <v>483</v>
      </c>
      <c r="B1126" s="1" t="s">
        <v>35</v>
      </c>
      <c r="C1126" s="1" t="s">
        <v>581</v>
      </c>
      <c r="D1126" s="1" t="s">
        <v>807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 t="s">
        <v>483</v>
      </c>
      <c r="B1127" s="1" t="s">
        <v>36</v>
      </c>
      <c r="C1127" s="1" t="s">
        <v>582</v>
      </c>
      <c r="D1127" s="1" t="s">
        <v>693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 t="s">
        <v>483</v>
      </c>
      <c r="B1128" s="1" t="s">
        <v>37</v>
      </c>
      <c r="C1128" s="1" t="s">
        <v>583</v>
      </c>
      <c r="D1128" s="1" t="s">
        <v>390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 t="s">
        <v>483</v>
      </c>
      <c r="B1129" s="1" t="s">
        <v>38</v>
      </c>
      <c r="C1129" s="1" t="s">
        <v>584</v>
      </c>
      <c r="D1129" s="1" t="s">
        <v>808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483</v>
      </c>
      <c r="B1130" s="1" t="s">
        <v>39</v>
      </c>
      <c r="C1130" s="1" t="s">
        <v>585</v>
      </c>
      <c r="D1130" s="1" t="s">
        <v>352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 t="s">
        <v>483</v>
      </c>
      <c r="B1131" s="1" t="s">
        <v>567</v>
      </c>
      <c r="C1131" s="1" t="s">
        <v>586</v>
      </c>
      <c r="D1131" s="1" t="s">
        <v>92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 t="s">
        <v>483</v>
      </c>
      <c r="B1132" s="1" t="s">
        <v>568</v>
      </c>
      <c r="C1132" s="1" t="s">
        <v>587</v>
      </c>
      <c r="D1132" s="1" t="s">
        <v>78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483</v>
      </c>
      <c r="B1133" s="1" t="s">
        <v>40</v>
      </c>
      <c r="C1133" s="1" t="s">
        <v>588</v>
      </c>
      <c r="D1133" s="1" t="s">
        <v>809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 t="s">
        <v>483</v>
      </c>
      <c r="B1134" s="1" t="s">
        <v>569</v>
      </c>
      <c r="C1134" s="1" t="s">
        <v>589</v>
      </c>
      <c r="D1134" s="1" t="s">
        <v>78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 t="s">
        <v>483</v>
      </c>
      <c r="B1135" s="1" t="s">
        <v>570</v>
      </c>
      <c r="C1135" s="1" t="s">
        <v>590</v>
      </c>
      <c r="D1135" s="1" t="s">
        <v>95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 t="s">
        <v>483</v>
      </c>
      <c r="B1136" s="1" t="s">
        <v>571</v>
      </c>
      <c r="C1136" s="1" t="s">
        <v>591</v>
      </c>
      <c r="D1136" s="1" t="s">
        <v>98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 t="s">
        <v>483</v>
      </c>
      <c r="B1137" s="1" t="s">
        <v>572</v>
      </c>
      <c r="C1137" s="1" t="s">
        <v>592</v>
      </c>
      <c r="D1137" s="1" t="s">
        <v>78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483</v>
      </c>
      <c r="B1138" s="1" t="s">
        <v>573</v>
      </c>
      <c r="C1138" s="1" t="s">
        <v>593</v>
      </c>
      <c r="D1138" s="1" t="s">
        <v>275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 t="s">
        <v>484</v>
      </c>
      <c r="B1139" s="1" t="s">
        <v>174</v>
      </c>
      <c r="C1139" s="1" t="s">
        <v>574</v>
      </c>
      <c r="D1139" s="1" t="s">
        <v>97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 t="s">
        <v>484</v>
      </c>
      <c r="B1140" s="1" t="s">
        <v>563</v>
      </c>
      <c r="C1140" s="1" t="s">
        <v>575</v>
      </c>
      <c r="D1140" s="1" t="s">
        <v>95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484</v>
      </c>
      <c r="B1141" s="1" t="s">
        <v>564</v>
      </c>
      <c r="C1141" s="1" t="s">
        <v>576</v>
      </c>
      <c r="D1141" s="1" t="s">
        <v>637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 t="s">
        <v>484</v>
      </c>
      <c r="B1142" s="1" t="s">
        <v>565</v>
      </c>
      <c r="C1142" s="1" t="s">
        <v>577</v>
      </c>
      <c r="D1142" s="1" t="s">
        <v>97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 t="s">
        <v>484</v>
      </c>
      <c r="B1143" s="1" t="s">
        <v>566</v>
      </c>
      <c r="C1143" s="1" t="s">
        <v>578</v>
      </c>
      <c r="D1143" s="1" t="s">
        <v>95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 t="s">
        <v>484</v>
      </c>
      <c r="B1144" s="1" t="s">
        <v>33</v>
      </c>
      <c r="C1144" s="1" t="s">
        <v>579</v>
      </c>
      <c r="D1144" s="1" t="s">
        <v>690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484</v>
      </c>
      <c r="B1145" s="1" t="s">
        <v>34</v>
      </c>
      <c r="C1145" s="1" t="s">
        <v>580</v>
      </c>
      <c r="D1145" s="1" t="s">
        <v>810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 t="s">
        <v>484</v>
      </c>
      <c r="B1146" s="1" t="s">
        <v>35</v>
      </c>
      <c r="C1146" s="1" t="s">
        <v>581</v>
      </c>
      <c r="D1146" s="1" t="s">
        <v>811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 t="s">
        <v>484</v>
      </c>
      <c r="B1147" s="1" t="s">
        <v>36</v>
      </c>
      <c r="C1147" s="1" t="s">
        <v>582</v>
      </c>
      <c r="D1147" s="1" t="s">
        <v>273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 t="s">
        <v>484</v>
      </c>
      <c r="B1148" s="1" t="s">
        <v>37</v>
      </c>
      <c r="C1148" s="1" t="s">
        <v>583</v>
      </c>
      <c r="D1148" s="1" t="s">
        <v>320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484</v>
      </c>
      <c r="B1149" s="1" t="s">
        <v>38</v>
      </c>
      <c r="C1149" s="1" t="s">
        <v>584</v>
      </c>
      <c r="D1149" s="1" t="s">
        <v>812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484</v>
      </c>
      <c r="B1150" s="1" t="s">
        <v>39</v>
      </c>
      <c r="C1150" s="1" t="s">
        <v>585</v>
      </c>
      <c r="D1150" s="1" t="s">
        <v>122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484</v>
      </c>
      <c r="B1151" s="1" t="s">
        <v>567</v>
      </c>
      <c r="C1151" s="1" t="s">
        <v>586</v>
      </c>
      <c r="D1151" s="1" t="s">
        <v>412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 t="s">
        <v>484</v>
      </c>
      <c r="B1152" s="1" t="s">
        <v>568</v>
      </c>
      <c r="C1152" s="1" t="s">
        <v>587</v>
      </c>
      <c r="D1152" s="1" t="s">
        <v>223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484</v>
      </c>
      <c r="B1153" s="1" t="s">
        <v>40</v>
      </c>
      <c r="C1153" s="1" t="s">
        <v>588</v>
      </c>
      <c r="D1153" s="1" t="s">
        <v>813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484</v>
      </c>
      <c r="B1154" s="1" t="s">
        <v>569</v>
      </c>
      <c r="C1154" s="1" t="s">
        <v>589</v>
      </c>
      <c r="D1154" s="1" t="s">
        <v>275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484</v>
      </c>
      <c r="B1155" s="1" t="s">
        <v>570</v>
      </c>
      <c r="C1155" s="1" t="s">
        <v>590</v>
      </c>
      <c r="D1155" s="1" t="s">
        <v>97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484</v>
      </c>
      <c r="B1156" s="1" t="s">
        <v>571</v>
      </c>
      <c r="C1156" s="1" t="s">
        <v>591</v>
      </c>
      <c r="D1156" s="1" t="s">
        <v>134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484</v>
      </c>
      <c r="B1157" s="1" t="s">
        <v>572</v>
      </c>
      <c r="C1157" s="1" t="s">
        <v>592</v>
      </c>
      <c r="D1157" s="1" t="s">
        <v>223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484</v>
      </c>
      <c r="B1158" s="1" t="s">
        <v>573</v>
      </c>
      <c r="C1158" s="1" t="s">
        <v>593</v>
      </c>
      <c r="D1158" s="1" t="s">
        <v>78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485</v>
      </c>
      <c r="B1159" s="1" t="s">
        <v>174</v>
      </c>
      <c r="C1159" s="1" t="s">
        <v>574</v>
      </c>
      <c r="D1159" s="1" t="s">
        <v>78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 t="s">
        <v>485</v>
      </c>
      <c r="B1160" s="1" t="s">
        <v>563</v>
      </c>
      <c r="C1160" s="1" t="s">
        <v>575</v>
      </c>
      <c r="D1160" s="1" t="s">
        <v>78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485</v>
      </c>
      <c r="B1161" s="1" t="s">
        <v>564</v>
      </c>
      <c r="C1161" s="1" t="s">
        <v>576</v>
      </c>
      <c r="D1161" s="1" t="s">
        <v>92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 t="s">
        <v>485</v>
      </c>
      <c r="B1162" s="1" t="s">
        <v>565</v>
      </c>
      <c r="C1162" s="1" t="s">
        <v>577</v>
      </c>
      <c r="D1162" s="1" t="s">
        <v>78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 t="s">
        <v>485</v>
      </c>
      <c r="B1163" s="1" t="s">
        <v>566</v>
      </c>
      <c r="C1163" s="1" t="s">
        <v>578</v>
      </c>
      <c r="D1163" s="1" t="s">
        <v>78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 t="s">
        <v>485</v>
      </c>
      <c r="B1164" s="1" t="s">
        <v>33</v>
      </c>
      <c r="C1164" s="1" t="s">
        <v>579</v>
      </c>
      <c r="D1164" s="1" t="s">
        <v>141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485</v>
      </c>
      <c r="B1165" s="1" t="s">
        <v>34</v>
      </c>
      <c r="C1165" s="1" t="s">
        <v>580</v>
      </c>
      <c r="D1165" s="1" t="s">
        <v>629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 t="s">
        <v>485</v>
      </c>
      <c r="B1166" s="1" t="s">
        <v>35</v>
      </c>
      <c r="C1166" s="1" t="s">
        <v>581</v>
      </c>
      <c r="D1166" s="1" t="s">
        <v>630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 t="s">
        <v>485</v>
      </c>
      <c r="B1167" s="1" t="s">
        <v>36</v>
      </c>
      <c r="C1167" s="1" t="s">
        <v>582</v>
      </c>
      <c r="D1167" s="1" t="s">
        <v>275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 t="s">
        <v>485</v>
      </c>
      <c r="B1168" s="1" t="s">
        <v>37</v>
      </c>
      <c r="C1168" s="1" t="s">
        <v>583</v>
      </c>
      <c r="D1168" s="1" t="s">
        <v>275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 t="s">
        <v>485</v>
      </c>
      <c r="B1169" s="1" t="s">
        <v>38</v>
      </c>
      <c r="C1169" s="1" t="s">
        <v>584</v>
      </c>
      <c r="D1169" s="1" t="s">
        <v>629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485</v>
      </c>
      <c r="B1170" s="1" t="s">
        <v>39</v>
      </c>
      <c r="C1170" s="1" t="s">
        <v>585</v>
      </c>
      <c r="D1170" s="1" t="s">
        <v>275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 t="s">
        <v>485</v>
      </c>
      <c r="B1171" s="1" t="s">
        <v>567</v>
      </c>
      <c r="C1171" s="1" t="s">
        <v>586</v>
      </c>
      <c r="D1171" s="1" t="s">
        <v>141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 t="s">
        <v>485</v>
      </c>
      <c r="B1172" s="1" t="s">
        <v>568</v>
      </c>
      <c r="C1172" s="1" t="s">
        <v>587</v>
      </c>
      <c r="D1172" s="1" t="s">
        <v>78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485</v>
      </c>
      <c r="B1173" s="1" t="s">
        <v>40</v>
      </c>
      <c r="C1173" s="1" t="s">
        <v>588</v>
      </c>
      <c r="D1173" s="1" t="s">
        <v>814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 t="s">
        <v>485</v>
      </c>
      <c r="B1174" s="1" t="s">
        <v>569</v>
      </c>
      <c r="C1174" s="1" t="s">
        <v>589</v>
      </c>
      <c r="D1174" s="1" t="s">
        <v>78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 t="s">
        <v>485</v>
      </c>
      <c r="B1175" s="1" t="s">
        <v>570</v>
      </c>
      <c r="C1175" s="1" t="s">
        <v>590</v>
      </c>
      <c r="D1175" s="1" t="s">
        <v>95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 t="s">
        <v>485</v>
      </c>
      <c r="B1176" s="1" t="s">
        <v>571</v>
      </c>
      <c r="C1176" s="1" t="s">
        <v>591</v>
      </c>
      <c r="D1176" s="1" t="s">
        <v>95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 t="s">
        <v>485</v>
      </c>
      <c r="B1177" s="1" t="s">
        <v>572</v>
      </c>
      <c r="C1177" s="1" t="s">
        <v>592</v>
      </c>
      <c r="D1177" s="1" t="s">
        <v>78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485</v>
      </c>
      <c r="B1178" s="1" t="s">
        <v>573</v>
      </c>
      <c r="C1178" s="1" t="s">
        <v>593</v>
      </c>
      <c r="D1178" s="1" t="s">
        <v>78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 t="s">
        <v>486</v>
      </c>
      <c r="B1179" s="1" t="s">
        <v>174</v>
      </c>
      <c r="C1179" s="1" t="s">
        <v>574</v>
      </c>
      <c r="D1179" s="1" t="s">
        <v>78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 t="s">
        <v>486</v>
      </c>
      <c r="B1180" s="1" t="s">
        <v>563</v>
      </c>
      <c r="C1180" s="1" t="s">
        <v>575</v>
      </c>
      <c r="D1180" s="1" t="s">
        <v>78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486</v>
      </c>
      <c r="B1181" s="1" t="s">
        <v>564</v>
      </c>
      <c r="C1181" s="1" t="s">
        <v>576</v>
      </c>
      <c r="D1181" s="1" t="s">
        <v>92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 t="s">
        <v>486</v>
      </c>
      <c r="B1182" s="1" t="s">
        <v>565</v>
      </c>
      <c r="C1182" s="1" t="s">
        <v>577</v>
      </c>
      <c r="D1182" s="1" t="s">
        <v>78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 t="s">
        <v>486</v>
      </c>
      <c r="B1183" s="1" t="s">
        <v>566</v>
      </c>
      <c r="C1183" s="1" t="s">
        <v>578</v>
      </c>
      <c r="D1183" s="1" t="s">
        <v>78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 t="s">
        <v>486</v>
      </c>
      <c r="B1184" s="1" t="s">
        <v>33</v>
      </c>
      <c r="C1184" s="1" t="s">
        <v>579</v>
      </c>
      <c r="D1184" s="1" t="s">
        <v>141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486</v>
      </c>
      <c r="B1185" s="1" t="s">
        <v>34</v>
      </c>
      <c r="C1185" s="1" t="s">
        <v>580</v>
      </c>
      <c r="D1185" s="1" t="s">
        <v>629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 t="s">
        <v>486</v>
      </c>
      <c r="B1186" s="1" t="s">
        <v>35</v>
      </c>
      <c r="C1186" s="1" t="s">
        <v>581</v>
      </c>
      <c r="D1186" s="1" t="s">
        <v>630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 t="s">
        <v>486</v>
      </c>
      <c r="B1187" s="1" t="s">
        <v>36</v>
      </c>
      <c r="C1187" s="1" t="s">
        <v>582</v>
      </c>
      <c r="D1187" s="1" t="s">
        <v>275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 t="s">
        <v>486</v>
      </c>
      <c r="B1188" s="1" t="s">
        <v>37</v>
      </c>
      <c r="C1188" s="1" t="s">
        <v>583</v>
      </c>
      <c r="D1188" s="1" t="s">
        <v>275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 t="s">
        <v>486</v>
      </c>
      <c r="B1189" s="1" t="s">
        <v>38</v>
      </c>
      <c r="C1189" s="1" t="s">
        <v>584</v>
      </c>
      <c r="D1189" s="1" t="s">
        <v>629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486</v>
      </c>
      <c r="B1190" s="1" t="s">
        <v>39</v>
      </c>
      <c r="C1190" s="1" t="s">
        <v>585</v>
      </c>
      <c r="D1190" s="1" t="s">
        <v>275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 t="s">
        <v>486</v>
      </c>
      <c r="B1191" s="1" t="s">
        <v>567</v>
      </c>
      <c r="C1191" s="1" t="s">
        <v>586</v>
      </c>
      <c r="D1191" s="1" t="s">
        <v>141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 t="s">
        <v>486</v>
      </c>
      <c r="B1192" s="1" t="s">
        <v>568</v>
      </c>
      <c r="C1192" s="1" t="s">
        <v>587</v>
      </c>
      <c r="D1192" s="1" t="s">
        <v>78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486</v>
      </c>
      <c r="B1193" s="1" t="s">
        <v>40</v>
      </c>
      <c r="C1193" s="1" t="s">
        <v>588</v>
      </c>
      <c r="D1193" s="1" t="s">
        <v>814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 t="s">
        <v>486</v>
      </c>
      <c r="B1194" s="1" t="s">
        <v>569</v>
      </c>
      <c r="C1194" s="1" t="s">
        <v>589</v>
      </c>
      <c r="D1194" s="1" t="s">
        <v>78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 t="s">
        <v>486</v>
      </c>
      <c r="B1195" s="1" t="s">
        <v>570</v>
      </c>
      <c r="C1195" s="1" t="s">
        <v>590</v>
      </c>
      <c r="D1195" s="1" t="s">
        <v>95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 t="s">
        <v>486</v>
      </c>
      <c r="B1196" s="1" t="s">
        <v>571</v>
      </c>
      <c r="C1196" s="1" t="s">
        <v>591</v>
      </c>
      <c r="D1196" s="1" t="s">
        <v>95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 t="s">
        <v>486</v>
      </c>
      <c r="B1197" s="1" t="s">
        <v>572</v>
      </c>
      <c r="C1197" s="1" t="s">
        <v>592</v>
      </c>
      <c r="D1197" s="1" t="s">
        <v>78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486</v>
      </c>
      <c r="B1198" s="1" t="s">
        <v>573</v>
      </c>
      <c r="C1198" s="1" t="s">
        <v>593</v>
      </c>
      <c r="D1198" s="1" t="s">
        <v>78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 t="s">
        <v>487</v>
      </c>
      <c r="B1199" s="1" t="s">
        <v>174</v>
      </c>
      <c r="C1199" s="1" t="s">
        <v>574</v>
      </c>
      <c r="D1199" s="1" t="s">
        <v>78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 t="s">
        <v>487</v>
      </c>
      <c r="B1200" s="1" t="s">
        <v>563</v>
      </c>
      <c r="C1200" s="1" t="s">
        <v>575</v>
      </c>
      <c r="D1200" s="1" t="s">
        <v>78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487</v>
      </c>
      <c r="B1201" s="1" t="s">
        <v>564</v>
      </c>
      <c r="C1201" s="1" t="s">
        <v>576</v>
      </c>
      <c r="D1201" s="1" t="s">
        <v>92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 t="s">
        <v>487</v>
      </c>
      <c r="B1202" s="1" t="s">
        <v>565</v>
      </c>
      <c r="C1202" s="1" t="s">
        <v>577</v>
      </c>
      <c r="D1202" s="1" t="s">
        <v>78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 t="s">
        <v>487</v>
      </c>
      <c r="B1203" s="1" t="s">
        <v>566</v>
      </c>
      <c r="C1203" s="1" t="s">
        <v>578</v>
      </c>
      <c r="D1203" s="1" t="s">
        <v>78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 t="s">
        <v>487</v>
      </c>
      <c r="B1204" s="1" t="s">
        <v>33</v>
      </c>
      <c r="C1204" s="1" t="s">
        <v>579</v>
      </c>
      <c r="D1204" s="1" t="s">
        <v>385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487</v>
      </c>
      <c r="B1205" s="1" t="s">
        <v>34</v>
      </c>
      <c r="C1205" s="1" t="s">
        <v>580</v>
      </c>
      <c r="D1205" s="1" t="s">
        <v>815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 t="s">
        <v>487</v>
      </c>
      <c r="B1206" s="1" t="s">
        <v>35</v>
      </c>
      <c r="C1206" s="1" t="s">
        <v>581</v>
      </c>
      <c r="D1206" s="1" t="s">
        <v>816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 t="s">
        <v>487</v>
      </c>
      <c r="B1207" s="1" t="s">
        <v>36</v>
      </c>
      <c r="C1207" s="1" t="s">
        <v>582</v>
      </c>
      <c r="D1207" s="1" t="s">
        <v>262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 t="s">
        <v>487</v>
      </c>
      <c r="B1208" s="1" t="s">
        <v>37</v>
      </c>
      <c r="C1208" s="1" t="s">
        <v>583</v>
      </c>
      <c r="D1208" s="1" t="s">
        <v>262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 t="s">
        <v>487</v>
      </c>
      <c r="B1209" s="1" t="s">
        <v>38</v>
      </c>
      <c r="C1209" s="1" t="s">
        <v>584</v>
      </c>
      <c r="D1209" s="1" t="s">
        <v>817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487</v>
      </c>
      <c r="B1210" s="1" t="s">
        <v>39</v>
      </c>
      <c r="C1210" s="1" t="s">
        <v>585</v>
      </c>
      <c r="D1210" s="1" t="s">
        <v>232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 t="s">
        <v>487</v>
      </c>
      <c r="B1211" s="1" t="s">
        <v>567</v>
      </c>
      <c r="C1211" s="1" t="s">
        <v>586</v>
      </c>
      <c r="D1211" s="1" t="s">
        <v>92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 t="s">
        <v>487</v>
      </c>
      <c r="B1212" s="1" t="s">
        <v>568</v>
      </c>
      <c r="C1212" s="1" t="s">
        <v>587</v>
      </c>
      <c r="D1212" s="1" t="s">
        <v>78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487</v>
      </c>
      <c r="B1213" s="1" t="s">
        <v>40</v>
      </c>
      <c r="C1213" s="1" t="s">
        <v>588</v>
      </c>
      <c r="D1213" s="1" t="s">
        <v>818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 t="s">
        <v>487</v>
      </c>
      <c r="B1214" s="1" t="s">
        <v>569</v>
      </c>
      <c r="C1214" s="1" t="s">
        <v>589</v>
      </c>
      <c r="D1214" s="1" t="s">
        <v>78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 t="s">
        <v>487</v>
      </c>
      <c r="B1215" s="1" t="s">
        <v>570</v>
      </c>
      <c r="C1215" s="1" t="s">
        <v>590</v>
      </c>
      <c r="D1215" s="1" t="s">
        <v>95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 t="s">
        <v>487</v>
      </c>
      <c r="B1216" s="1" t="s">
        <v>571</v>
      </c>
      <c r="C1216" s="1" t="s">
        <v>591</v>
      </c>
      <c r="D1216" s="1" t="s">
        <v>95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 t="s">
        <v>487</v>
      </c>
      <c r="B1217" s="1" t="s">
        <v>572</v>
      </c>
      <c r="C1217" s="1" t="s">
        <v>592</v>
      </c>
      <c r="D1217" s="1" t="s">
        <v>78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487</v>
      </c>
      <c r="B1218" s="1" t="s">
        <v>573</v>
      </c>
      <c r="C1218" s="1" t="s">
        <v>593</v>
      </c>
      <c r="D1218" s="1" t="s">
        <v>95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 t="s">
        <v>488</v>
      </c>
      <c r="B1219" s="1" t="s">
        <v>174</v>
      </c>
      <c r="C1219" s="1" t="s">
        <v>574</v>
      </c>
      <c r="D1219" s="1" t="s">
        <v>275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 t="s">
        <v>488</v>
      </c>
      <c r="B1220" s="1" t="s">
        <v>563</v>
      </c>
      <c r="C1220" s="1" t="s">
        <v>575</v>
      </c>
      <c r="D1220" s="1" t="s">
        <v>95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488</v>
      </c>
      <c r="B1221" s="1" t="s">
        <v>564</v>
      </c>
      <c r="C1221" s="1" t="s">
        <v>576</v>
      </c>
      <c r="D1221" s="1" t="s">
        <v>819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488</v>
      </c>
      <c r="B1222" s="1" t="s">
        <v>565</v>
      </c>
      <c r="C1222" s="1" t="s">
        <v>577</v>
      </c>
      <c r="D1222" s="1" t="s">
        <v>134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488</v>
      </c>
      <c r="B1223" s="1" t="s">
        <v>566</v>
      </c>
      <c r="C1223" s="1" t="s">
        <v>578</v>
      </c>
      <c r="D1223" s="1" t="s">
        <v>95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 t="s">
        <v>488</v>
      </c>
      <c r="B1224" s="1" t="s">
        <v>33</v>
      </c>
      <c r="C1224" s="1" t="s">
        <v>579</v>
      </c>
      <c r="D1224" s="1" t="s">
        <v>820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488</v>
      </c>
      <c r="B1225" s="1" t="s">
        <v>34</v>
      </c>
      <c r="C1225" s="1" t="s">
        <v>580</v>
      </c>
      <c r="D1225" s="1" t="s">
        <v>821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488</v>
      </c>
      <c r="B1226" s="1" t="s">
        <v>35</v>
      </c>
      <c r="C1226" s="1" t="s">
        <v>581</v>
      </c>
      <c r="D1226" s="1" t="s">
        <v>822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488</v>
      </c>
      <c r="B1227" s="1" t="s">
        <v>36</v>
      </c>
      <c r="C1227" s="1" t="s">
        <v>582</v>
      </c>
      <c r="D1227" s="1" t="s">
        <v>247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488</v>
      </c>
      <c r="B1228" s="1" t="s">
        <v>37</v>
      </c>
      <c r="C1228" s="1" t="s">
        <v>583</v>
      </c>
      <c r="D1228" s="1" t="s">
        <v>295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488</v>
      </c>
      <c r="B1229" s="1" t="s">
        <v>38</v>
      </c>
      <c r="C1229" s="1" t="s">
        <v>584</v>
      </c>
      <c r="D1229" s="1" t="s">
        <v>823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488</v>
      </c>
      <c r="B1230" s="1" t="s">
        <v>39</v>
      </c>
      <c r="C1230" s="1" t="s">
        <v>585</v>
      </c>
      <c r="D1230" s="1" t="s">
        <v>287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488</v>
      </c>
      <c r="B1231" s="1" t="s">
        <v>567</v>
      </c>
      <c r="C1231" s="1" t="s">
        <v>586</v>
      </c>
      <c r="D1231" s="1" t="s">
        <v>332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 t="s">
        <v>488</v>
      </c>
      <c r="B1232" s="1" t="s">
        <v>568</v>
      </c>
      <c r="C1232" s="1" t="s">
        <v>587</v>
      </c>
      <c r="D1232" s="1" t="s">
        <v>95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488</v>
      </c>
      <c r="B1233" s="1" t="s">
        <v>40</v>
      </c>
      <c r="C1233" s="1" t="s">
        <v>588</v>
      </c>
      <c r="D1233" s="1" t="s">
        <v>824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 t="s">
        <v>488</v>
      </c>
      <c r="B1234" s="1" t="s">
        <v>569</v>
      </c>
      <c r="C1234" s="1" t="s">
        <v>589</v>
      </c>
      <c r="D1234" s="1" t="s">
        <v>223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 t="s">
        <v>488</v>
      </c>
      <c r="B1235" s="1" t="s">
        <v>570</v>
      </c>
      <c r="C1235" s="1" t="s">
        <v>590</v>
      </c>
      <c r="D1235" s="1" t="s">
        <v>275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 t="s">
        <v>488</v>
      </c>
      <c r="B1236" s="1" t="s">
        <v>571</v>
      </c>
      <c r="C1236" s="1" t="s">
        <v>591</v>
      </c>
      <c r="D1236" s="1" t="s">
        <v>145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 t="s">
        <v>488</v>
      </c>
      <c r="B1237" s="1" t="s">
        <v>572</v>
      </c>
      <c r="C1237" s="1" t="s">
        <v>592</v>
      </c>
      <c r="D1237" s="1" t="s">
        <v>95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488</v>
      </c>
      <c r="B1238" s="1" t="s">
        <v>573</v>
      </c>
      <c r="C1238" s="1" t="s">
        <v>593</v>
      </c>
      <c r="D1238" s="1" t="s">
        <v>78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 t="s">
        <v>489</v>
      </c>
      <c r="B1239" s="1" t="s">
        <v>174</v>
      </c>
      <c r="C1239" s="1" t="s">
        <v>574</v>
      </c>
      <c r="D1239" s="1" t="s">
        <v>78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 t="s">
        <v>489</v>
      </c>
      <c r="B1240" s="1" t="s">
        <v>563</v>
      </c>
      <c r="C1240" s="1" t="s">
        <v>575</v>
      </c>
      <c r="D1240" s="1" t="s">
        <v>78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489</v>
      </c>
      <c r="B1241" s="1" t="s">
        <v>564</v>
      </c>
      <c r="C1241" s="1" t="s">
        <v>576</v>
      </c>
      <c r="D1241" s="1" t="s">
        <v>600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 t="s">
        <v>489</v>
      </c>
      <c r="B1242" s="1" t="s">
        <v>565</v>
      </c>
      <c r="C1242" s="1" t="s">
        <v>577</v>
      </c>
      <c r="D1242" s="1" t="s">
        <v>223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 t="s">
        <v>489</v>
      </c>
      <c r="B1243" s="1" t="s">
        <v>566</v>
      </c>
      <c r="C1243" s="1" t="s">
        <v>578</v>
      </c>
      <c r="D1243" s="1" t="s">
        <v>78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 t="s">
        <v>489</v>
      </c>
      <c r="B1244" s="1" t="s">
        <v>33</v>
      </c>
      <c r="C1244" s="1" t="s">
        <v>579</v>
      </c>
      <c r="D1244" s="1" t="s">
        <v>825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489</v>
      </c>
      <c r="B1245" s="1" t="s">
        <v>34</v>
      </c>
      <c r="C1245" s="1" t="s">
        <v>580</v>
      </c>
      <c r="D1245" s="1" t="s">
        <v>826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 t="s">
        <v>489</v>
      </c>
      <c r="B1246" s="1" t="s">
        <v>35</v>
      </c>
      <c r="C1246" s="1" t="s">
        <v>581</v>
      </c>
      <c r="D1246" s="1" t="s">
        <v>827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 t="s">
        <v>489</v>
      </c>
      <c r="B1247" s="1" t="s">
        <v>36</v>
      </c>
      <c r="C1247" s="1" t="s">
        <v>582</v>
      </c>
      <c r="D1247" s="1" t="s">
        <v>98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 t="s">
        <v>489</v>
      </c>
      <c r="B1248" s="1" t="s">
        <v>37</v>
      </c>
      <c r="C1248" s="1" t="s">
        <v>583</v>
      </c>
      <c r="D1248" s="1" t="s">
        <v>145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 t="s">
        <v>489</v>
      </c>
      <c r="B1249" s="1" t="s">
        <v>38</v>
      </c>
      <c r="C1249" s="1" t="s">
        <v>584</v>
      </c>
      <c r="D1249" s="1" t="s">
        <v>828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489</v>
      </c>
      <c r="B1250" s="1" t="s">
        <v>39</v>
      </c>
      <c r="C1250" s="1" t="s">
        <v>585</v>
      </c>
      <c r="D1250" s="1" t="s">
        <v>232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 t="s">
        <v>489</v>
      </c>
      <c r="B1251" s="1" t="s">
        <v>567</v>
      </c>
      <c r="C1251" s="1" t="s">
        <v>586</v>
      </c>
      <c r="D1251" s="1" t="s">
        <v>141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 t="s">
        <v>489</v>
      </c>
      <c r="B1252" s="1" t="s">
        <v>568</v>
      </c>
      <c r="C1252" s="1" t="s">
        <v>587</v>
      </c>
      <c r="D1252" s="1" t="s">
        <v>78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489</v>
      </c>
      <c r="B1253" s="1" t="s">
        <v>40</v>
      </c>
      <c r="C1253" s="1" t="s">
        <v>588</v>
      </c>
      <c r="D1253" s="1" t="s">
        <v>829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 t="s">
        <v>489</v>
      </c>
      <c r="B1254" s="1" t="s">
        <v>569</v>
      </c>
      <c r="C1254" s="1" t="s">
        <v>589</v>
      </c>
      <c r="D1254" s="1" t="s">
        <v>78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 t="s">
        <v>489</v>
      </c>
      <c r="B1255" s="1" t="s">
        <v>570</v>
      </c>
      <c r="C1255" s="1" t="s">
        <v>590</v>
      </c>
      <c r="D1255" s="1" t="s">
        <v>95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 t="s">
        <v>489</v>
      </c>
      <c r="B1256" s="1" t="s">
        <v>571</v>
      </c>
      <c r="C1256" s="1" t="s">
        <v>591</v>
      </c>
      <c r="D1256" s="1" t="s">
        <v>95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 t="s">
        <v>489</v>
      </c>
      <c r="B1257" s="1" t="s">
        <v>572</v>
      </c>
      <c r="C1257" s="1" t="s">
        <v>592</v>
      </c>
      <c r="D1257" s="1" t="s">
        <v>78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 t="s">
        <v>489</v>
      </c>
      <c r="B1258" s="1" t="s">
        <v>573</v>
      </c>
      <c r="C1258" s="1" t="s">
        <v>593</v>
      </c>
      <c r="D1258" s="1" t="s">
        <v>78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 t="s">
        <v>490</v>
      </c>
      <c r="B1259" s="1" t="s">
        <v>174</v>
      </c>
      <c r="C1259" s="1" t="s">
        <v>574</v>
      </c>
      <c r="D1259" s="1" t="s">
        <v>145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 t="s">
        <v>490</v>
      </c>
      <c r="B1260" s="1" t="s">
        <v>563</v>
      </c>
      <c r="C1260" s="1" t="s">
        <v>575</v>
      </c>
      <c r="D1260" s="1" t="s">
        <v>95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490</v>
      </c>
      <c r="B1261" s="1" t="s">
        <v>564</v>
      </c>
      <c r="C1261" s="1" t="s">
        <v>576</v>
      </c>
      <c r="D1261" s="1" t="s">
        <v>600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 t="s">
        <v>490</v>
      </c>
      <c r="B1262" s="1" t="s">
        <v>565</v>
      </c>
      <c r="C1262" s="1" t="s">
        <v>577</v>
      </c>
      <c r="D1262" s="1" t="s">
        <v>134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 t="s">
        <v>490</v>
      </c>
      <c r="B1263" s="1" t="s">
        <v>566</v>
      </c>
      <c r="C1263" s="1" t="s">
        <v>578</v>
      </c>
      <c r="D1263" s="1" t="s">
        <v>223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 t="s">
        <v>490</v>
      </c>
      <c r="B1264" s="1" t="s">
        <v>33</v>
      </c>
      <c r="C1264" s="1" t="s">
        <v>579</v>
      </c>
      <c r="D1264" s="1" t="s">
        <v>830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 t="s">
        <v>490</v>
      </c>
      <c r="B1265" s="1" t="s">
        <v>34</v>
      </c>
      <c r="C1265" s="1" t="s">
        <v>580</v>
      </c>
      <c r="D1265" s="1" t="s">
        <v>831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 t="s">
        <v>490</v>
      </c>
      <c r="B1266" s="1" t="s">
        <v>35</v>
      </c>
      <c r="C1266" s="1" t="s">
        <v>581</v>
      </c>
      <c r="D1266" s="1" t="s">
        <v>832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 t="s">
        <v>490</v>
      </c>
      <c r="B1267" s="1" t="s">
        <v>36</v>
      </c>
      <c r="C1267" s="1" t="s">
        <v>582</v>
      </c>
      <c r="D1267" s="1" t="s">
        <v>253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 t="s">
        <v>490</v>
      </c>
      <c r="B1268" s="1" t="s">
        <v>37</v>
      </c>
      <c r="C1268" s="1" t="s">
        <v>583</v>
      </c>
      <c r="D1268" s="1" t="s">
        <v>234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 t="s">
        <v>490</v>
      </c>
      <c r="B1269" s="1" t="s">
        <v>38</v>
      </c>
      <c r="C1269" s="1" t="s">
        <v>584</v>
      </c>
      <c r="D1269" s="1" t="s">
        <v>833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 t="s">
        <v>490</v>
      </c>
      <c r="B1270" s="1" t="s">
        <v>39</v>
      </c>
      <c r="C1270" s="1" t="s">
        <v>585</v>
      </c>
      <c r="D1270" s="1" t="s">
        <v>271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 t="s">
        <v>490</v>
      </c>
      <c r="B1271" s="1" t="s">
        <v>567</v>
      </c>
      <c r="C1271" s="1" t="s">
        <v>586</v>
      </c>
      <c r="D1271" s="1" t="s">
        <v>310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 t="s">
        <v>490</v>
      </c>
      <c r="B1272" s="1" t="s">
        <v>568</v>
      </c>
      <c r="C1272" s="1" t="s">
        <v>587</v>
      </c>
      <c r="D1272" s="1" t="s">
        <v>223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 t="s">
        <v>490</v>
      </c>
      <c r="B1273" s="1" t="s">
        <v>40</v>
      </c>
      <c r="C1273" s="1" t="s">
        <v>588</v>
      </c>
      <c r="D1273" s="1" t="s">
        <v>834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 t="s">
        <v>490</v>
      </c>
      <c r="B1274" s="1" t="s">
        <v>569</v>
      </c>
      <c r="C1274" s="1" t="s">
        <v>589</v>
      </c>
      <c r="D1274" s="1" t="s">
        <v>232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 t="s">
        <v>490</v>
      </c>
      <c r="B1275" s="1" t="s">
        <v>570</v>
      </c>
      <c r="C1275" s="1" t="s">
        <v>590</v>
      </c>
      <c r="D1275" s="1" t="s">
        <v>145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 t="s">
        <v>490</v>
      </c>
      <c r="B1276" s="1" t="s">
        <v>571</v>
      </c>
      <c r="C1276" s="1" t="s">
        <v>591</v>
      </c>
      <c r="D1276" s="1" t="s">
        <v>417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 t="s">
        <v>490</v>
      </c>
      <c r="B1277" s="1" t="s">
        <v>572</v>
      </c>
      <c r="C1277" s="1" t="s">
        <v>592</v>
      </c>
      <c r="D1277" s="1" t="s">
        <v>97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 t="s">
        <v>490</v>
      </c>
      <c r="B1278" s="1" t="s">
        <v>573</v>
      </c>
      <c r="C1278" s="1" t="s">
        <v>593</v>
      </c>
      <c r="D1278" s="1" t="s">
        <v>78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 t="s">
        <v>439</v>
      </c>
      <c r="B1279" s="1" t="s">
        <v>174</v>
      </c>
      <c r="C1279" s="1" t="s">
        <v>574</v>
      </c>
      <c r="D1279" s="1" t="s">
        <v>78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 t="s">
        <v>439</v>
      </c>
      <c r="B1280" s="1" t="s">
        <v>563</v>
      </c>
      <c r="C1280" s="1" t="s">
        <v>575</v>
      </c>
      <c r="D1280" s="1" t="s">
        <v>78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439</v>
      </c>
      <c r="B1281" s="1" t="s">
        <v>564</v>
      </c>
      <c r="C1281" s="1" t="s">
        <v>576</v>
      </c>
      <c r="D1281" s="1" t="s">
        <v>92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 t="s">
        <v>439</v>
      </c>
      <c r="B1282" s="1" t="s">
        <v>565</v>
      </c>
      <c r="C1282" s="1" t="s">
        <v>577</v>
      </c>
      <c r="D1282" s="1" t="s">
        <v>78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 t="s">
        <v>439</v>
      </c>
      <c r="B1283" s="1" t="s">
        <v>33</v>
      </c>
      <c r="C1283" s="1" t="s">
        <v>579</v>
      </c>
      <c r="D1283" s="1" t="s">
        <v>92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 t="s">
        <v>439</v>
      </c>
      <c r="B1284" s="1" t="s">
        <v>34</v>
      </c>
      <c r="C1284" s="1" t="s">
        <v>580</v>
      </c>
      <c r="D1284" s="1" t="s">
        <v>92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 t="s">
        <v>439</v>
      </c>
      <c r="B1285" s="1" t="s">
        <v>35</v>
      </c>
      <c r="C1285" s="1" t="s">
        <v>581</v>
      </c>
      <c r="D1285" s="1" t="s">
        <v>92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 t="s">
        <v>439</v>
      </c>
      <c r="B1286" s="1" t="s">
        <v>36</v>
      </c>
      <c r="C1286" s="1" t="s">
        <v>582</v>
      </c>
      <c r="D1286" s="1" t="s">
        <v>95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 t="s">
        <v>439</v>
      </c>
      <c r="B1287" s="1" t="s">
        <v>37</v>
      </c>
      <c r="C1287" s="1" t="s">
        <v>583</v>
      </c>
      <c r="D1287" s="1" t="s">
        <v>95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 t="s">
        <v>439</v>
      </c>
      <c r="B1288" s="1" t="s">
        <v>38</v>
      </c>
      <c r="C1288" s="1" t="s">
        <v>584</v>
      </c>
      <c r="D1288" s="1" t="s">
        <v>92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 t="s">
        <v>439</v>
      </c>
      <c r="B1289" s="1" t="s">
        <v>39</v>
      </c>
      <c r="C1289" s="1" t="s">
        <v>585</v>
      </c>
      <c r="D1289" s="1" t="s">
        <v>78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439</v>
      </c>
      <c r="B1290" s="1" t="s">
        <v>567</v>
      </c>
      <c r="C1290" s="1" t="s">
        <v>586</v>
      </c>
      <c r="D1290" s="1" t="s">
        <v>92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 t="s">
        <v>439</v>
      </c>
      <c r="B1291" s="1" t="s">
        <v>40</v>
      </c>
      <c r="C1291" s="1" t="s">
        <v>588</v>
      </c>
      <c r="D1291" s="1" t="s">
        <v>92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 t="s">
        <v>439</v>
      </c>
      <c r="B1292" s="1" t="s">
        <v>569</v>
      </c>
      <c r="C1292" s="1" t="s">
        <v>589</v>
      </c>
      <c r="D1292" s="1" t="s">
        <v>246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439</v>
      </c>
      <c r="B1293" s="1" t="s">
        <v>570</v>
      </c>
      <c r="C1293" s="1" t="s">
        <v>590</v>
      </c>
      <c r="D1293" s="1" t="s">
        <v>95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439</v>
      </c>
      <c r="B1294" s="1" t="s">
        <v>571</v>
      </c>
      <c r="C1294" s="1" t="s">
        <v>591</v>
      </c>
      <c r="D1294" s="1" t="s">
        <v>246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442</v>
      </c>
      <c r="B1295" s="1" t="s">
        <v>174</v>
      </c>
      <c r="C1295" s="1" t="s">
        <v>574</v>
      </c>
      <c r="D1295" s="1" t="s">
        <v>78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 t="s">
        <v>442</v>
      </c>
      <c r="B1296" s="1" t="s">
        <v>563</v>
      </c>
      <c r="C1296" s="1" t="s">
        <v>575</v>
      </c>
      <c r="D1296" s="1" t="s">
        <v>78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 t="s">
        <v>442</v>
      </c>
      <c r="B1297" s="1" t="s">
        <v>564</v>
      </c>
      <c r="C1297" s="1" t="s">
        <v>576</v>
      </c>
      <c r="D1297" s="1" t="s">
        <v>92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442</v>
      </c>
      <c r="B1298" s="1" t="s">
        <v>565</v>
      </c>
      <c r="C1298" s="1" t="s">
        <v>577</v>
      </c>
      <c r="D1298" s="1" t="s">
        <v>78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442</v>
      </c>
      <c r="B1299" s="1" t="s">
        <v>33</v>
      </c>
      <c r="C1299" s="1" t="s">
        <v>579</v>
      </c>
      <c r="D1299" s="1" t="s">
        <v>92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442</v>
      </c>
      <c r="B1300" s="1" t="s">
        <v>34</v>
      </c>
      <c r="C1300" s="1" t="s">
        <v>580</v>
      </c>
      <c r="D1300" s="1" t="s">
        <v>627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442</v>
      </c>
      <c r="B1301" s="1" t="s">
        <v>35</v>
      </c>
      <c r="C1301" s="1" t="s">
        <v>581</v>
      </c>
      <c r="D1301" s="1" t="s">
        <v>627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442</v>
      </c>
      <c r="B1302" s="1" t="s">
        <v>36</v>
      </c>
      <c r="C1302" s="1" t="s">
        <v>582</v>
      </c>
      <c r="D1302" s="1" t="s">
        <v>78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442</v>
      </c>
      <c r="B1303" s="1" t="s">
        <v>37</v>
      </c>
      <c r="C1303" s="1" t="s">
        <v>583</v>
      </c>
      <c r="D1303" s="1" t="s">
        <v>78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 t="s">
        <v>442</v>
      </c>
      <c r="B1304" s="1" t="s">
        <v>38</v>
      </c>
      <c r="C1304" s="1" t="s">
        <v>584</v>
      </c>
      <c r="D1304" s="1" t="s">
        <v>627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 t="s">
        <v>442</v>
      </c>
      <c r="B1305" s="1" t="s">
        <v>39</v>
      </c>
      <c r="C1305" s="1" t="s">
        <v>585</v>
      </c>
      <c r="D1305" s="1" t="s">
        <v>78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 t="s">
        <v>442</v>
      </c>
      <c r="B1306" s="1" t="s">
        <v>567</v>
      </c>
      <c r="C1306" s="1" t="s">
        <v>586</v>
      </c>
      <c r="D1306" s="1" t="s">
        <v>92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 t="s">
        <v>442</v>
      </c>
      <c r="B1307" s="1" t="s">
        <v>568</v>
      </c>
      <c r="C1307" s="1" t="s">
        <v>587</v>
      </c>
      <c r="D1307" s="1" t="s">
        <v>78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 t="s">
        <v>442</v>
      </c>
      <c r="B1308" s="1" t="s">
        <v>40</v>
      </c>
      <c r="C1308" s="1" t="s">
        <v>588</v>
      </c>
      <c r="D1308" s="1" t="s">
        <v>92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 t="s">
        <v>442</v>
      </c>
      <c r="B1309" s="1" t="s">
        <v>569</v>
      </c>
      <c r="C1309" s="1" t="s">
        <v>589</v>
      </c>
      <c r="D1309" s="1" t="s">
        <v>246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 t="s">
        <v>442</v>
      </c>
      <c r="B1310" s="1" t="s">
        <v>570</v>
      </c>
      <c r="C1310" s="1" t="s">
        <v>590</v>
      </c>
      <c r="D1310" s="1" t="s">
        <v>95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 t="s">
        <v>442</v>
      </c>
      <c r="B1311" s="1" t="s">
        <v>571</v>
      </c>
      <c r="C1311" s="1" t="s">
        <v>591</v>
      </c>
      <c r="D1311" s="1" t="s">
        <v>246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 t="s">
        <v>442</v>
      </c>
      <c r="B1312" s="1" t="s">
        <v>572</v>
      </c>
      <c r="C1312" s="1" t="s">
        <v>592</v>
      </c>
      <c r="D1312" s="1" t="s">
        <v>78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 t="s">
        <v>443</v>
      </c>
      <c r="B1313" s="1" t="s">
        <v>33</v>
      </c>
      <c r="C1313" s="1" t="s">
        <v>579</v>
      </c>
      <c r="D1313" s="1" t="s">
        <v>92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 t="s">
        <v>443</v>
      </c>
      <c r="B1314" s="1" t="s">
        <v>34</v>
      </c>
      <c r="C1314" s="1" t="s">
        <v>580</v>
      </c>
      <c r="D1314" s="1" t="s">
        <v>627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 t="s">
        <v>443</v>
      </c>
      <c r="B1315" s="1" t="s">
        <v>35</v>
      </c>
      <c r="C1315" s="1" t="s">
        <v>581</v>
      </c>
      <c r="D1315" s="1" t="s">
        <v>627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 t="s">
        <v>443</v>
      </c>
      <c r="B1316" s="1" t="s">
        <v>36</v>
      </c>
      <c r="C1316" s="1" t="s">
        <v>582</v>
      </c>
      <c r="D1316" s="1" t="s">
        <v>78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 t="s">
        <v>443</v>
      </c>
      <c r="B1317" s="1" t="s">
        <v>37</v>
      </c>
      <c r="C1317" s="1" t="s">
        <v>583</v>
      </c>
      <c r="D1317" s="1" t="s">
        <v>78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 t="s">
        <v>443</v>
      </c>
      <c r="B1318" s="1" t="s">
        <v>38</v>
      </c>
      <c r="C1318" s="1" t="s">
        <v>584</v>
      </c>
      <c r="D1318" s="1" t="s">
        <v>627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 t="s">
        <v>443</v>
      </c>
      <c r="B1319" s="1" t="s">
        <v>39</v>
      </c>
      <c r="C1319" s="1" t="s">
        <v>585</v>
      </c>
      <c r="D1319" s="1" t="s">
        <v>78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 t="s">
        <v>443</v>
      </c>
      <c r="B1320" s="1" t="s">
        <v>567</v>
      </c>
      <c r="C1320" s="1" t="s">
        <v>586</v>
      </c>
      <c r="D1320" s="1" t="s">
        <v>92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 t="s">
        <v>443</v>
      </c>
      <c r="B1321" s="1" t="s">
        <v>40</v>
      </c>
      <c r="C1321" s="1" t="s">
        <v>588</v>
      </c>
      <c r="D1321" s="1" t="s">
        <v>92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 t="s">
        <v>443</v>
      </c>
      <c r="B1322" s="1" t="s">
        <v>569</v>
      </c>
      <c r="C1322" s="1" t="s">
        <v>589</v>
      </c>
      <c r="D1322" s="1" t="s">
        <v>246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 t="s">
        <v>443</v>
      </c>
      <c r="B1323" s="1" t="s">
        <v>571</v>
      </c>
      <c r="C1323" s="1" t="s">
        <v>591</v>
      </c>
      <c r="D1323" s="1" t="s">
        <v>246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 t="s">
        <v>444</v>
      </c>
      <c r="B1324" s="1" t="s">
        <v>174</v>
      </c>
      <c r="C1324" s="1" t="s">
        <v>574</v>
      </c>
      <c r="D1324" s="1" t="s">
        <v>78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 t="s">
        <v>444</v>
      </c>
      <c r="B1325" s="1" t="s">
        <v>563</v>
      </c>
      <c r="C1325" s="1" t="s">
        <v>575</v>
      </c>
      <c r="D1325" s="1" t="s">
        <v>78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 t="s">
        <v>444</v>
      </c>
      <c r="B1326" s="1" t="s">
        <v>564</v>
      </c>
      <c r="C1326" s="1" t="s">
        <v>576</v>
      </c>
      <c r="D1326" s="1" t="s">
        <v>92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 t="s">
        <v>444</v>
      </c>
      <c r="B1327" s="1" t="s">
        <v>565</v>
      </c>
      <c r="C1327" s="1" t="s">
        <v>577</v>
      </c>
      <c r="D1327" s="1" t="s">
        <v>78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 t="s">
        <v>444</v>
      </c>
      <c r="B1328" s="1" t="s">
        <v>33</v>
      </c>
      <c r="C1328" s="1" t="s">
        <v>579</v>
      </c>
      <c r="D1328" s="1" t="s">
        <v>92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 t="s">
        <v>444</v>
      </c>
      <c r="B1329" s="1" t="s">
        <v>34</v>
      </c>
      <c r="C1329" s="1" t="s">
        <v>580</v>
      </c>
      <c r="D1329" s="1" t="s">
        <v>627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 t="s">
        <v>444</v>
      </c>
      <c r="B1330" s="1" t="s">
        <v>35</v>
      </c>
      <c r="C1330" s="1" t="s">
        <v>581</v>
      </c>
      <c r="D1330" s="1" t="s">
        <v>627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 t="s">
        <v>444</v>
      </c>
      <c r="B1331" s="1" t="s">
        <v>36</v>
      </c>
      <c r="C1331" s="1" t="s">
        <v>582</v>
      </c>
      <c r="D1331" s="1" t="s">
        <v>78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 t="s">
        <v>444</v>
      </c>
      <c r="B1332" s="1" t="s">
        <v>37</v>
      </c>
      <c r="C1332" s="1" t="s">
        <v>583</v>
      </c>
      <c r="D1332" s="1" t="s">
        <v>78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 t="s">
        <v>444</v>
      </c>
      <c r="B1333" s="1" t="s">
        <v>38</v>
      </c>
      <c r="C1333" s="1" t="s">
        <v>584</v>
      </c>
      <c r="D1333" s="1" t="s">
        <v>627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 t="s">
        <v>444</v>
      </c>
      <c r="B1334" s="1" t="s">
        <v>39</v>
      </c>
      <c r="C1334" s="1" t="s">
        <v>585</v>
      </c>
      <c r="D1334" s="1" t="s">
        <v>78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 t="s">
        <v>444</v>
      </c>
      <c r="B1335" s="1" t="s">
        <v>567</v>
      </c>
      <c r="C1335" s="1" t="s">
        <v>586</v>
      </c>
      <c r="D1335" s="1" t="s">
        <v>92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 t="s">
        <v>444</v>
      </c>
      <c r="B1336" s="1" t="s">
        <v>568</v>
      </c>
      <c r="C1336" s="1" t="s">
        <v>587</v>
      </c>
      <c r="D1336" s="1" t="s">
        <v>78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 t="s">
        <v>444</v>
      </c>
      <c r="B1337" s="1" t="s">
        <v>40</v>
      </c>
      <c r="C1337" s="1" t="s">
        <v>588</v>
      </c>
      <c r="D1337" s="1" t="s">
        <v>92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444</v>
      </c>
      <c r="B1338" s="1" t="s">
        <v>569</v>
      </c>
      <c r="C1338" s="1" t="s">
        <v>589</v>
      </c>
      <c r="D1338" s="1" t="s">
        <v>246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 t="s">
        <v>444</v>
      </c>
      <c r="B1339" s="1" t="s">
        <v>570</v>
      </c>
      <c r="C1339" s="1" t="s">
        <v>590</v>
      </c>
      <c r="D1339" s="1" t="s">
        <v>95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 t="s">
        <v>444</v>
      </c>
      <c r="B1340" s="1" t="s">
        <v>571</v>
      </c>
      <c r="C1340" s="1" t="s">
        <v>591</v>
      </c>
      <c r="D1340" s="1" t="s">
        <v>246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444</v>
      </c>
      <c r="B1341" s="1" t="s">
        <v>572</v>
      </c>
      <c r="C1341" s="1" t="s">
        <v>592</v>
      </c>
      <c r="D1341" s="1" t="s">
        <v>78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 t="s">
        <v>445</v>
      </c>
      <c r="B1342" s="1" t="s">
        <v>33</v>
      </c>
      <c r="C1342" s="1" t="s">
        <v>579</v>
      </c>
      <c r="D1342" s="1" t="s">
        <v>92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 t="s">
        <v>445</v>
      </c>
      <c r="B1343" s="1" t="s">
        <v>34</v>
      </c>
      <c r="C1343" s="1" t="s">
        <v>580</v>
      </c>
      <c r="D1343" s="1" t="s">
        <v>627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 t="s">
        <v>445</v>
      </c>
      <c r="B1344" s="1" t="s">
        <v>35</v>
      </c>
      <c r="C1344" s="1" t="s">
        <v>581</v>
      </c>
      <c r="D1344" s="1" t="s">
        <v>627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445</v>
      </c>
      <c r="B1345" s="1" t="s">
        <v>36</v>
      </c>
      <c r="C1345" s="1" t="s">
        <v>582</v>
      </c>
      <c r="D1345" s="1" t="s">
        <v>78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 t="s">
        <v>445</v>
      </c>
      <c r="B1346" s="1" t="s">
        <v>37</v>
      </c>
      <c r="C1346" s="1" t="s">
        <v>583</v>
      </c>
      <c r="D1346" s="1" t="s">
        <v>78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 t="s">
        <v>445</v>
      </c>
      <c r="B1347" s="1" t="s">
        <v>38</v>
      </c>
      <c r="C1347" s="1" t="s">
        <v>584</v>
      </c>
      <c r="D1347" s="1" t="s">
        <v>627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 t="s">
        <v>445</v>
      </c>
      <c r="B1348" s="1" t="s">
        <v>39</v>
      </c>
      <c r="C1348" s="1" t="s">
        <v>585</v>
      </c>
      <c r="D1348" s="1" t="s">
        <v>78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 t="s">
        <v>445</v>
      </c>
      <c r="B1349" s="1" t="s">
        <v>567</v>
      </c>
      <c r="C1349" s="1" t="s">
        <v>586</v>
      </c>
      <c r="D1349" s="1" t="s">
        <v>92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445</v>
      </c>
      <c r="B1350" s="1" t="s">
        <v>40</v>
      </c>
      <c r="C1350" s="1" t="s">
        <v>588</v>
      </c>
      <c r="D1350" s="1" t="s">
        <v>92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 t="s">
        <v>445</v>
      </c>
      <c r="B1351" s="1" t="s">
        <v>569</v>
      </c>
      <c r="C1351" s="1" t="s">
        <v>589</v>
      </c>
      <c r="D1351" s="1" t="s">
        <v>246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 t="s">
        <v>445</v>
      </c>
      <c r="B1352" s="1" t="s">
        <v>571</v>
      </c>
      <c r="C1352" s="1" t="s">
        <v>591</v>
      </c>
      <c r="D1352" s="1" t="s">
        <v>246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450</v>
      </c>
      <c r="B1353" s="1" t="s">
        <v>564</v>
      </c>
      <c r="C1353" s="1" t="s">
        <v>576</v>
      </c>
      <c r="D1353" s="1" t="s">
        <v>92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 t="s">
        <v>450</v>
      </c>
      <c r="B1354" s="1" t="s">
        <v>565</v>
      </c>
      <c r="C1354" s="1" t="s">
        <v>577</v>
      </c>
      <c r="D1354" s="1" t="s">
        <v>78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 t="s">
        <v>450</v>
      </c>
      <c r="B1355" s="1" t="s">
        <v>566</v>
      </c>
      <c r="C1355" s="1" t="s">
        <v>578</v>
      </c>
      <c r="D1355" s="1" t="s">
        <v>78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 t="s">
        <v>450</v>
      </c>
      <c r="B1356" s="1" t="s">
        <v>33</v>
      </c>
      <c r="C1356" s="1" t="s">
        <v>579</v>
      </c>
      <c r="D1356" s="1" t="s">
        <v>92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 t="s">
        <v>450</v>
      </c>
      <c r="B1357" s="1" t="s">
        <v>34</v>
      </c>
      <c r="C1357" s="1" t="s">
        <v>580</v>
      </c>
      <c r="D1357" s="1" t="s">
        <v>92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 t="s">
        <v>450</v>
      </c>
      <c r="B1358" s="1" t="s">
        <v>35</v>
      </c>
      <c r="C1358" s="1" t="s">
        <v>581</v>
      </c>
      <c r="D1358" s="1" t="s">
        <v>92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 t="s">
        <v>450</v>
      </c>
      <c r="B1359" s="1" t="s">
        <v>36</v>
      </c>
      <c r="C1359" s="1" t="s">
        <v>582</v>
      </c>
      <c r="D1359" s="1" t="s">
        <v>95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 t="s">
        <v>450</v>
      </c>
      <c r="B1360" s="1" t="s">
        <v>37</v>
      </c>
      <c r="C1360" s="1" t="s">
        <v>583</v>
      </c>
      <c r="D1360" s="1" t="s">
        <v>95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 t="s">
        <v>450</v>
      </c>
      <c r="B1361" s="1" t="s">
        <v>38</v>
      </c>
      <c r="C1361" s="1" t="s">
        <v>584</v>
      </c>
      <c r="D1361" s="1" t="s">
        <v>92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 t="s">
        <v>450</v>
      </c>
      <c r="B1362" s="1" t="s">
        <v>39</v>
      </c>
      <c r="C1362" s="1" t="s">
        <v>585</v>
      </c>
      <c r="D1362" s="1" t="s">
        <v>78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 t="s">
        <v>450</v>
      </c>
      <c r="B1363" s="1" t="s">
        <v>40</v>
      </c>
      <c r="C1363" s="1" t="s">
        <v>588</v>
      </c>
      <c r="D1363" s="1" t="s">
        <v>92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 t="s">
        <v>450</v>
      </c>
      <c r="B1364" s="1" t="s">
        <v>569</v>
      </c>
      <c r="C1364" s="1" t="s">
        <v>589</v>
      </c>
      <c r="D1364" s="1" t="s">
        <v>246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450</v>
      </c>
      <c r="B1365" s="1" t="s">
        <v>571</v>
      </c>
      <c r="C1365" s="1" t="s">
        <v>591</v>
      </c>
      <c r="D1365" s="1" t="s">
        <v>246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451</v>
      </c>
      <c r="B1366" s="1" t="s">
        <v>174</v>
      </c>
      <c r="C1366" s="1" t="s">
        <v>574</v>
      </c>
      <c r="D1366" s="1" t="s">
        <v>78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451</v>
      </c>
      <c r="B1367" s="1" t="s">
        <v>563</v>
      </c>
      <c r="C1367" s="1" t="s">
        <v>575</v>
      </c>
      <c r="D1367" s="1" t="s">
        <v>78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 t="s">
        <v>451</v>
      </c>
      <c r="B1368" s="1" t="s">
        <v>564</v>
      </c>
      <c r="C1368" s="1" t="s">
        <v>576</v>
      </c>
      <c r="D1368" s="1" t="s">
        <v>92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 t="s">
        <v>451</v>
      </c>
      <c r="B1369" s="1" t="s">
        <v>565</v>
      </c>
      <c r="C1369" s="1" t="s">
        <v>577</v>
      </c>
      <c r="D1369" s="1" t="s">
        <v>78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451</v>
      </c>
      <c r="B1370" s="1" t="s">
        <v>33</v>
      </c>
      <c r="C1370" s="1" t="s">
        <v>579</v>
      </c>
      <c r="D1370" s="1" t="s">
        <v>92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451</v>
      </c>
      <c r="B1371" s="1" t="s">
        <v>34</v>
      </c>
      <c r="C1371" s="1" t="s">
        <v>580</v>
      </c>
      <c r="D1371" s="1" t="s">
        <v>627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451</v>
      </c>
      <c r="B1372" s="1" t="s">
        <v>35</v>
      </c>
      <c r="C1372" s="1" t="s">
        <v>581</v>
      </c>
      <c r="D1372" s="1" t="s">
        <v>627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451</v>
      </c>
      <c r="B1373" s="1" t="s">
        <v>36</v>
      </c>
      <c r="C1373" s="1" t="s">
        <v>582</v>
      </c>
      <c r="D1373" s="1" t="s">
        <v>78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451</v>
      </c>
      <c r="B1374" s="1" t="s">
        <v>37</v>
      </c>
      <c r="C1374" s="1" t="s">
        <v>583</v>
      </c>
      <c r="D1374" s="1" t="s">
        <v>78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451</v>
      </c>
      <c r="B1375" s="1" t="s">
        <v>38</v>
      </c>
      <c r="C1375" s="1" t="s">
        <v>584</v>
      </c>
      <c r="D1375" s="1" t="s">
        <v>627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 t="s">
        <v>451</v>
      </c>
      <c r="B1376" s="1" t="s">
        <v>39</v>
      </c>
      <c r="C1376" s="1" t="s">
        <v>585</v>
      </c>
      <c r="D1376" s="1" t="s">
        <v>78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 t="s">
        <v>451</v>
      </c>
      <c r="B1377" s="1" t="s">
        <v>567</v>
      </c>
      <c r="C1377" s="1" t="s">
        <v>586</v>
      </c>
      <c r="D1377" s="1" t="s">
        <v>92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 t="s">
        <v>451</v>
      </c>
      <c r="B1378" s="1" t="s">
        <v>568</v>
      </c>
      <c r="C1378" s="1" t="s">
        <v>587</v>
      </c>
      <c r="D1378" s="1" t="s">
        <v>78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 t="s">
        <v>451</v>
      </c>
      <c r="B1379" s="1" t="s">
        <v>40</v>
      </c>
      <c r="C1379" s="1" t="s">
        <v>588</v>
      </c>
      <c r="D1379" s="1" t="s">
        <v>92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 t="s">
        <v>451</v>
      </c>
      <c r="B1380" s="1" t="s">
        <v>569</v>
      </c>
      <c r="C1380" s="1" t="s">
        <v>589</v>
      </c>
      <c r="D1380" s="1" t="s">
        <v>246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 t="s">
        <v>451</v>
      </c>
      <c r="B1381" s="1" t="s">
        <v>570</v>
      </c>
      <c r="C1381" s="1" t="s">
        <v>590</v>
      </c>
      <c r="D1381" s="1" t="s">
        <v>95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 t="s">
        <v>451</v>
      </c>
      <c r="B1382" s="1" t="s">
        <v>571</v>
      </c>
      <c r="C1382" s="1" t="s">
        <v>591</v>
      </c>
      <c r="D1382" s="1" t="s">
        <v>246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 t="s">
        <v>451</v>
      </c>
      <c r="B1383" s="1" t="s">
        <v>572</v>
      </c>
      <c r="C1383" s="1" t="s">
        <v>592</v>
      </c>
      <c r="D1383" s="1" t="s">
        <v>78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 t="s">
        <v>459</v>
      </c>
      <c r="B1384" s="1" t="s">
        <v>174</v>
      </c>
      <c r="C1384" s="1" t="s">
        <v>574</v>
      </c>
      <c r="D1384" s="1" t="s">
        <v>78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459</v>
      </c>
      <c r="B1385" s="1" t="s">
        <v>563</v>
      </c>
      <c r="C1385" s="1" t="s">
        <v>575</v>
      </c>
      <c r="D1385" s="1" t="s">
        <v>78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 t="s">
        <v>459</v>
      </c>
      <c r="B1386" s="1" t="s">
        <v>564</v>
      </c>
      <c r="C1386" s="1" t="s">
        <v>576</v>
      </c>
      <c r="D1386" s="1" t="s">
        <v>92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 t="s">
        <v>459</v>
      </c>
      <c r="B1387" s="1" t="s">
        <v>565</v>
      </c>
      <c r="C1387" s="1" t="s">
        <v>577</v>
      </c>
      <c r="D1387" s="1" t="s">
        <v>78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 t="s">
        <v>459</v>
      </c>
      <c r="B1388" s="1" t="s">
        <v>33</v>
      </c>
      <c r="C1388" s="1" t="s">
        <v>579</v>
      </c>
      <c r="D1388" s="1" t="s">
        <v>92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 t="s">
        <v>459</v>
      </c>
      <c r="B1389" s="1" t="s">
        <v>34</v>
      </c>
      <c r="C1389" s="1" t="s">
        <v>580</v>
      </c>
      <c r="D1389" s="1" t="s">
        <v>92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459</v>
      </c>
      <c r="B1390" s="1" t="s">
        <v>35</v>
      </c>
      <c r="C1390" s="1" t="s">
        <v>581</v>
      </c>
      <c r="D1390" s="1" t="s">
        <v>92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 t="s">
        <v>459</v>
      </c>
      <c r="B1391" s="1" t="s">
        <v>36</v>
      </c>
      <c r="C1391" s="1" t="s">
        <v>582</v>
      </c>
      <c r="D1391" s="1" t="s">
        <v>95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 t="s">
        <v>459</v>
      </c>
      <c r="B1392" s="1" t="s">
        <v>37</v>
      </c>
      <c r="C1392" s="1" t="s">
        <v>583</v>
      </c>
      <c r="D1392" s="1" t="s">
        <v>95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459</v>
      </c>
      <c r="B1393" s="1" t="s">
        <v>38</v>
      </c>
      <c r="C1393" s="1" t="s">
        <v>584</v>
      </c>
      <c r="D1393" s="1" t="s">
        <v>92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 t="s">
        <v>459</v>
      </c>
      <c r="B1394" s="1" t="s">
        <v>39</v>
      </c>
      <c r="C1394" s="1" t="s">
        <v>585</v>
      </c>
      <c r="D1394" s="1" t="s">
        <v>78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 t="s">
        <v>459</v>
      </c>
      <c r="B1395" s="1" t="s">
        <v>567</v>
      </c>
      <c r="C1395" s="1" t="s">
        <v>586</v>
      </c>
      <c r="D1395" s="1" t="s">
        <v>92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 t="s">
        <v>459</v>
      </c>
      <c r="B1396" s="1" t="s">
        <v>568</v>
      </c>
      <c r="C1396" s="1" t="s">
        <v>587</v>
      </c>
      <c r="D1396" s="1" t="s">
        <v>78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 t="s">
        <v>459</v>
      </c>
      <c r="B1397" s="1" t="s">
        <v>40</v>
      </c>
      <c r="C1397" s="1" t="s">
        <v>588</v>
      </c>
      <c r="D1397" s="1" t="s">
        <v>92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459</v>
      </c>
      <c r="B1398" s="1" t="s">
        <v>569</v>
      </c>
      <c r="C1398" s="1" t="s">
        <v>589</v>
      </c>
      <c r="D1398" s="1" t="s">
        <v>246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 t="s">
        <v>459</v>
      </c>
      <c r="B1399" s="1" t="s">
        <v>570</v>
      </c>
      <c r="C1399" s="1" t="s">
        <v>590</v>
      </c>
      <c r="D1399" s="1" t="s">
        <v>95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 t="s">
        <v>459</v>
      </c>
      <c r="B1400" s="1" t="s">
        <v>571</v>
      </c>
      <c r="C1400" s="1" t="s">
        <v>591</v>
      </c>
      <c r="D1400" s="1" t="s">
        <v>246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459</v>
      </c>
      <c r="B1401" s="1" t="s">
        <v>572</v>
      </c>
      <c r="C1401" s="1" t="s">
        <v>592</v>
      </c>
      <c r="D1401" s="1" t="s">
        <v>78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 t="s">
        <v>460</v>
      </c>
      <c r="B1402" s="1" t="s">
        <v>174</v>
      </c>
      <c r="C1402" s="1" t="s">
        <v>574</v>
      </c>
      <c r="D1402" s="1" t="s">
        <v>78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 t="s">
        <v>460</v>
      </c>
      <c r="B1403" s="1" t="s">
        <v>563</v>
      </c>
      <c r="C1403" s="1" t="s">
        <v>575</v>
      </c>
      <c r="D1403" s="1" t="s">
        <v>78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 t="s">
        <v>460</v>
      </c>
      <c r="B1404" s="1" t="s">
        <v>564</v>
      </c>
      <c r="C1404" s="1" t="s">
        <v>576</v>
      </c>
      <c r="D1404" s="1" t="s">
        <v>92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460</v>
      </c>
      <c r="B1405" s="1" t="s">
        <v>565</v>
      </c>
      <c r="C1405" s="1" t="s">
        <v>577</v>
      </c>
      <c r="D1405" s="1" t="s">
        <v>78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 t="s">
        <v>460</v>
      </c>
      <c r="B1406" s="1" t="s">
        <v>33</v>
      </c>
      <c r="C1406" s="1" t="s">
        <v>579</v>
      </c>
      <c r="D1406" s="1" t="s">
        <v>92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 t="s">
        <v>460</v>
      </c>
      <c r="B1407" s="1" t="s">
        <v>34</v>
      </c>
      <c r="C1407" s="1" t="s">
        <v>580</v>
      </c>
      <c r="D1407" s="1" t="s">
        <v>92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 t="s">
        <v>460</v>
      </c>
      <c r="B1408" s="1" t="s">
        <v>35</v>
      </c>
      <c r="C1408" s="1" t="s">
        <v>581</v>
      </c>
      <c r="D1408" s="1" t="s">
        <v>92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460</v>
      </c>
      <c r="B1409" s="1" t="s">
        <v>36</v>
      </c>
      <c r="C1409" s="1" t="s">
        <v>582</v>
      </c>
      <c r="D1409" s="1" t="s">
        <v>95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460</v>
      </c>
      <c r="B1410" s="1" t="s">
        <v>37</v>
      </c>
      <c r="C1410" s="1" t="s">
        <v>583</v>
      </c>
      <c r="D1410" s="1" t="s">
        <v>95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 t="s">
        <v>460</v>
      </c>
      <c r="B1411" s="1" t="s">
        <v>38</v>
      </c>
      <c r="C1411" s="1" t="s">
        <v>584</v>
      </c>
      <c r="D1411" s="1" t="s">
        <v>92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 t="s">
        <v>460</v>
      </c>
      <c r="B1412" s="1" t="s">
        <v>39</v>
      </c>
      <c r="C1412" s="1" t="s">
        <v>585</v>
      </c>
      <c r="D1412" s="1" t="s">
        <v>78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460</v>
      </c>
      <c r="B1413" s="1" t="s">
        <v>567</v>
      </c>
      <c r="C1413" s="1" t="s">
        <v>586</v>
      </c>
      <c r="D1413" s="1" t="s">
        <v>92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 t="s">
        <v>460</v>
      </c>
      <c r="B1414" s="1" t="s">
        <v>40</v>
      </c>
      <c r="C1414" s="1" t="s">
        <v>588</v>
      </c>
      <c r="D1414" s="1" t="s">
        <v>92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 t="s">
        <v>460</v>
      </c>
      <c r="B1415" s="1" t="s">
        <v>569</v>
      </c>
      <c r="C1415" s="1" t="s">
        <v>589</v>
      </c>
      <c r="D1415" s="1" t="s">
        <v>246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 t="s">
        <v>460</v>
      </c>
      <c r="B1416" s="1" t="s">
        <v>570</v>
      </c>
      <c r="C1416" s="1" t="s">
        <v>590</v>
      </c>
      <c r="D1416" s="1" t="s">
        <v>95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 t="s">
        <v>460</v>
      </c>
      <c r="B1417" s="1" t="s">
        <v>571</v>
      </c>
      <c r="C1417" s="1" t="s">
        <v>591</v>
      </c>
      <c r="D1417" s="1" t="s">
        <v>246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461</v>
      </c>
      <c r="B1418" s="1" t="s">
        <v>33</v>
      </c>
      <c r="C1418" s="1" t="s">
        <v>579</v>
      </c>
      <c r="D1418" s="1" t="s">
        <v>92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 t="s">
        <v>461</v>
      </c>
      <c r="B1419" s="1" t="s">
        <v>34</v>
      </c>
      <c r="C1419" s="1" t="s">
        <v>580</v>
      </c>
      <c r="D1419" s="1" t="s">
        <v>627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 t="s">
        <v>461</v>
      </c>
      <c r="B1420" s="1" t="s">
        <v>35</v>
      </c>
      <c r="C1420" s="1" t="s">
        <v>581</v>
      </c>
      <c r="D1420" s="1" t="s">
        <v>627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461</v>
      </c>
      <c r="B1421" s="1" t="s">
        <v>36</v>
      </c>
      <c r="C1421" s="1" t="s">
        <v>582</v>
      </c>
      <c r="D1421" s="1" t="s">
        <v>78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 t="s">
        <v>461</v>
      </c>
      <c r="B1422" s="1" t="s">
        <v>37</v>
      </c>
      <c r="C1422" s="1" t="s">
        <v>583</v>
      </c>
      <c r="D1422" s="1" t="s">
        <v>78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 t="s">
        <v>461</v>
      </c>
      <c r="B1423" s="1" t="s">
        <v>38</v>
      </c>
      <c r="C1423" s="1" t="s">
        <v>584</v>
      </c>
      <c r="D1423" s="1" t="s">
        <v>627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 t="s">
        <v>461</v>
      </c>
      <c r="B1424" s="1" t="s">
        <v>39</v>
      </c>
      <c r="C1424" s="1" t="s">
        <v>585</v>
      </c>
      <c r="D1424" s="1" t="s">
        <v>78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461</v>
      </c>
      <c r="B1425" s="1" t="s">
        <v>567</v>
      </c>
      <c r="C1425" s="1" t="s">
        <v>586</v>
      </c>
      <c r="D1425" s="1" t="s">
        <v>92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 t="s">
        <v>461</v>
      </c>
      <c r="B1426" s="1" t="s">
        <v>40</v>
      </c>
      <c r="C1426" s="1" t="s">
        <v>588</v>
      </c>
      <c r="D1426" s="1" t="s">
        <v>92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 t="s">
        <v>461</v>
      </c>
      <c r="B1427" s="1" t="s">
        <v>569</v>
      </c>
      <c r="C1427" s="1" t="s">
        <v>589</v>
      </c>
      <c r="D1427" s="1" t="s">
        <v>246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 t="s">
        <v>461</v>
      </c>
      <c r="B1428" s="1" t="s">
        <v>571</v>
      </c>
      <c r="C1428" s="1" t="s">
        <v>591</v>
      </c>
      <c r="D1428" s="1" t="s">
        <v>246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 t="s">
        <v>462</v>
      </c>
      <c r="B1429" s="1" t="s">
        <v>33</v>
      </c>
      <c r="C1429" s="1" t="s">
        <v>579</v>
      </c>
      <c r="D1429" s="1" t="s">
        <v>92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 t="s">
        <v>462</v>
      </c>
      <c r="B1430" s="1" t="s">
        <v>34</v>
      </c>
      <c r="C1430" s="1" t="s">
        <v>580</v>
      </c>
      <c r="D1430" s="1" t="s">
        <v>627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 t="s">
        <v>462</v>
      </c>
      <c r="B1431" s="1" t="s">
        <v>35</v>
      </c>
      <c r="C1431" s="1" t="s">
        <v>581</v>
      </c>
      <c r="D1431" s="1" t="s">
        <v>627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 t="s">
        <v>462</v>
      </c>
      <c r="B1432" s="1" t="s">
        <v>36</v>
      </c>
      <c r="C1432" s="1" t="s">
        <v>582</v>
      </c>
      <c r="D1432" s="1" t="s">
        <v>78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 t="s">
        <v>462</v>
      </c>
      <c r="B1433" s="1" t="s">
        <v>37</v>
      </c>
      <c r="C1433" s="1" t="s">
        <v>583</v>
      </c>
      <c r="D1433" s="1" t="s">
        <v>78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 t="s">
        <v>462</v>
      </c>
      <c r="B1434" s="1" t="s">
        <v>38</v>
      </c>
      <c r="C1434" s="1" t="s">
        <v>584</v>
      </c>
      <c r="D1434" s="1" t="s">
        <v>627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 t="s">
        <v>462</v>
      </c>
      <c r="B1435" s="1" t="s">
        <v>39</v>
      </c>
      <c r="C1435" s="1" t="s">
        <v>585</v>
      </c>
      <c r="D1435" s="1" t="s">
        <v>78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 t="s">
        <v>462</v>
      </c>
      <c r="B1436" s="1" t="s">
        <v>567</v>
      </c>
      <c r="C1436" s="1" t="s">
        <v>586</v>
      </c>
      <c r="D1436" s="1" t="s">
        <v>92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462</v>
      </c>
      <c r="B1437" s="1" t="s">
        <v>40</v>
      </c>
      <c r="C1437" s="1" t="s">
        <v>588</v>
      </c>
      <c r="D1437" s="1" t="s">
        <v>92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462</v>
      </c>
      <c r="B1438" s="1" t="s">
        <v>569</v>
      </c>
      <c r="C1438" s="1" t="s">
        <v>589</v>
      </c>
      <c r="D1438" s="1" t="s">
        <v>246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462</v>
      </c>
      <c r="B1439" s="1" t="s">
        <v>571</v>
      </c>
      <c r="C1439" s="1" t="s">
        <v>591</v>
      </c>
      <c r="D1439" s="1" t="s">
        <v>246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 t="s">
        <v>463</v>
      </c>
      <c r="B1440" s="1" t="s">
        <v>33</v>
      </c>
      <c r="C1440" s="1" t="s">
        <v>579</v>
      </c>
      <c r="D1440" s="1" t="s">
        <v>92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 t="s">
        <v>463</v>
      </c>
      <c r="B1441" s="1" t="s">
        <v>34</v>
      </c>
      <c r="C1441" s="1" t="s">
        <v>580</v>
      </c>
      <c r="D1441" s="1" t="s">
        <v>92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463</v>
      </c>
      <c r="B1442" s="1" t="s">
        <v>35</v>
      </c>
      <c r="C1442" s="1" t="s">
        <v>581</v>
      </c>
      <c r="D1442" s="1" t="s">
        <v>92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463</v>
      </c>
      <c r="B1443" s="1" t="s">
        <v>36</v>
      </c>
      <c r="C1443" s="1" t="s">
        <v>582</v>
      </c>
      <c r="D1443" s="1" t="s">
        <v>95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463</v>
      </c>
      <c r="B1444" s="1" t="s">
        <v>37</v>
      </c>
      <c r="C1444" s="1" t="s">
        <v>583</v>
      </c>
      <c r="D1444" s="1" t="s">
        <v>95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463</v>
      </c>
      <c r="B1445" s="1" t="s">
        <v>38</v>
      </c>
      <c r="C1445" s="1" t="s">
        <v>584</v>
      </c>
      <c r="D1445" s="1" t="s">
        <v>92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463</v>
      </c>
      <c r="B1446" s="1" t="s">
        <v>39</v>
      </c>
      <c r="C1446" s="1" t="s">
        <v>585</v>
      </c>
      <c r="D1446" s="1" t="s">
        <v>78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463</v>
      </c>
      <c r="B1447" s="1" t="s">
        <v>567</v>
      </c>
      <c r="C1447" s="1" t="s">
        <v>586</v>
      </c>
      <c r="D1447" s="1" t="s">
        <v>92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 t="s">
        <v>463</v>
      </c>
      <c r="B1448" s="1" t="s">
        <v>40</v>
      </c>
      <c r="C1448" s="1" t="s">
        <v>588</v>
      </c>
      <c r="D1448" s="1" t="s">
        <v>92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 t="s">
        <v>463</v>
      </c>
      <c r="B1449" s="1" t="s">
        <v>569</v>
      </c>
      <c r="C1449" s="1" t="s">
        <v>589</v>
      </c>
      <c r="D1449" s="1" t="s">
        <v>246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 t="s">
        <v>463</v>
      </c>
      <c r="B1450" s="1" t="s">
        <v>571</v>
      </c>
      <c r="C1450" s="1" t="s">
        <v>591</v>
      </c>
      <c r="D1450" s="1" t="s">
        <v>246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 t="s">
        <v>464</v>
      </c>
      <c r="B1451" s="1" t="s">
        <v>33</v>
      </c>
      <c r="C1451" s="1" t="s">
        <v>579</v>
      </c>
      <c r="D1451" s="1" t="s">
        <v>92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 t="s">
        <v>464</v>
      </c>
      <c r="B1452" s="1" t="s">
        <v>34</v>
      </c>
      <c r="C1452" s="1" t="s">
        <v>580</v>
      </c>
      <c r="D1452" s="1" t="s">
        <v>92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 t="s">
        <v>464</v>
      </c>
      <c r="B1453" s="1" t="s">
        <v>35</v>
      </c>
      <c r="C1453" s="1" t="s">
        <v>581</v>
      </c>
      <c r="D1453" s="1" t="s">
        <v>92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 t="s">
        <v>464</v>
      </c>
      <c r="B1454" s="1" t="s">
        <v>36</v>
      </c>
      <c r="C1454" s="1" t="s">
        <v>582</v>
      </c>
      <c r="D1454" s="1" t="s">
        <v>95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 t="s">
        <v>464</v>
      </c>
      <c r="B1455" s="1" t="s">
        <v>37</v>
      </c>
      <c r="C1455" s="1" t="s">
        <v>583</v>
      </c>
      <c r="D1455" s="1" t="s">
        <v>95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 t="s">
        <v>464</v>
      </c>
      <c r="B1456" s="1" t="s">
        <v>38</v>
      </c>
      <c r="C1456" s="1" t="s">
        <v>584</v>
      </c>
      <c r="D1456" s="1" t="s">
        <v>92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 t="s">
        <v>464</v>
      </c>
      <c r="B1457" s="1" t="s">
        <v>39</v>
      </c>
      <c r="C1457" s="1" t="s">
        <v>585</v>
      </c>
      <c r="D1457" s="1" t="s">
        <v>78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 t="s">
        <v>464</v>
      </c>
      <c r="B1458" s="1" t="s">
        <v>567</v>
      </c>
      <c r="C1458" s="1" t="s">
        <v>586</v>
      </c>
      <c r="D1458" s="1" t="s">
        <v>92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 t="s">
        <v>464</v>
      </c>
      <c r="B1459" s="1" t="s">
        <v>40</v>
      </c>
      <c r="C1459" s="1" t="s">
        <v>588</v>
      </c>
      <c r="D1459" s="1" t="s">
        <v>92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 t="s">
        <v>464</v>
      </c>
      <c r="B1460" s="1" t="s">
        <v>569</v>
      </c>
      <c r="C1460" s="1" t="s">
        <v>589</v>
      </c>
      <c r="D1460" s="1" t="s">
        <v>246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 t="s">
        <v>464</v>
      </c>
      <c r="B1461" s="1" t="s">
        <v>571</v>
      </c>
      <c r="C1461" s="1" t="s">
        <v>591</v>
      </c>
      <c r="D1461" s="1" t="s">
        <v>246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 t="s">
        <v>465</v>
      </c>
      <c r="B1462" s="1" t="s">
        <v>33</v>
      </c>
      <c r="C1462" s="1" t="s">
        <v>579</v>
      </c>
      <c r="D1462" s="1" t="s">
        <v>92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 t="s">
        <v>465</v>
      </c>
      <c r="B1463" s="1" t="s">
        <v>34</v>
      </c>
      <c r="C1463" s="1" t="s">
        <v>580</v>
      </c>
      <c r="D1463" s="1" t="s">
        <v>627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 t="s">
        <v>465</v>
      </c>
      <c r="B1464" s="1" t="s">
        <v>35</v>
      </c>
      <c r="C1464" s="1" t="s">
        <v>581</v>
      </c>
      <c r="D1464" s="1" t="s">
        <v>627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 t="s">
        <v>465</v>
      </c>
      <c r="B1465" s="1" t="s">
        <v>36</v>
      </c>
      <c r="C1465" s="1" t="s">
        <v>582</v>
      </c>
      <c r="D1465" s="1" t="s">
        <v>78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 t="s">
        <v>465</v>
      </c>
      <c r="B1466" s="1" t="s">
        <v>37</v>
      </c>
      <c r="C1466" s="1" t="s">
        <v>583</v>
      </c>
      <c r="D1466" s="1" t="s">
        <v>78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 t="s">
        <v>465</v>
      </c>
      <c r="B1467" s="1" t="s">
        <v>38</v>
      </c>
      <c r="C1467" s="1" t="s">
        <v>584</v>
      </c>
      <c r="D1467" s="1" t="s">
        <v>627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 t="s">
        <v>465</v>
      </c>
      <c r="B1468" s="1" t="s">
        <v>39</v>
      </c>
      <c r="C1468" s="1" t="s">
        <v>585</v>
      </c>
      <c r="D1468" s="1" t="s">
        <v>78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 t="s">
        <v>465</v>
      </c>
      <c r="B1469" s="1" t="s">
        <v>567</v>
      </c>
      <c r="C1469" s="1" t="s">
        <v>586</v>
      </c>
      <c r="D1469" s="1" t="s">
        <v>92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 t="s">
        <v>465</v>
      </c>
      <c r="B1470" s="1" t="s">
        <v>40</v>
      </c>
      <c r="C1470" s="1" t="s">
        <v>588</v>
      </c>
      <c r="D1470" s="1" t="s">
        <v>92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 t="s">
        <v>465</v>
      </c>
      <c r="B1471" s="1" t="s">
        <v>569</v>
      </c>
      <c r="C1471" s="1" t="s">
        <v>589</v>
      </c>
      <c r="D1471" s="1" t="s">
        <v>246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 t="s">
        <v>465</v>
      </c>
      <c r="B1472" s="1" t="s">
        <v>571</v>
      </c>
      <c r="C1472" s="1" t="s">
        <v>591</v>
      </c>
      <c r="D1472" s="1" t="s">
        <v>246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 t="s">
        <v>466</v>
      </c>
      <c r="B1473" s="1" t="s">
        <v>33</v>
      </c>
      <c r="C1473" s="1" t="s">
        <v>579</v>
      </c>
      <c r="D1473" s="1" t="s">
        <v>92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 t="s">
        <v>466</v>
      </c>
      <c r="B1474" s="1" t="s">
        <v>34</v>
      </c>
      <c r="C1474" s="1" t="s">
        <v>580</v>
      </c>
      <c r="D1474" s="1" t="s">
        <v>627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 t="s">
        <v>466</v>
      </c>
      <c r="B1475" s="1" t="s">
        <v>35</v>
      </c>
      <c r="C1475" s="1" t="s">
        <v>581</v>
      </c>
      <c r="D1475" s="1" t="s">
        <v>627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 t="s">
        <v>466</v>
      </c>
      <c r="B1476" s="1" t="s">
        <v>36</v>
      </c>
      <c r="C1476" s="1" t="s">
        <v>582</v>
      </c>
      <c r="D1476" s="1" t="s">
        <v>78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 t="s">
        <v>466</v>
      </c>
      <c r="B1477" s="1" t="s">
        <v>37</v>
      </c>
      <c r="C1477" s="1" t="s">
        <v>583</v>
      </c>
      <c r="D1477" s="1" t="s">
        <v>78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 t="s">
        <v>466</v>
      </c>
      <c r="B1478" s="1" t="s">
        <v>38</v>
      </c>
      <c r="C1478" s="1" t="s">
        <v>584</v>
      </c>
      <c r="D1478" s="1" t="s">
        <v>627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 t="s">
        <v>466</v>
      </c>
      <c r="B1479" s="1" t="s">
        <v>39</v>
      </c>
      <c r="C1479" s="1" t="s">
        <v>585</v>
      </c>
      <c r="D1479" s="1" t="s">
        <v>78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 t="s">
        <v>466</v>
      </c>
      <c r="B1480" s="1" t="s">
        <v>567</v>
      </c>
      <c r="C1480" s="1" t="s">
        <v>586</v>
      </c>
      <c r="D1480" s="1" t="s">
        <v>92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 t="s">
        <v>466</v>
      </c>
      <c r="B1481" s="1" t="s">
        <v>40</v>
      </c>
      <c r="C1481" s="1" t="s">
        <v>588</v>
      </c>
      <c r="D1481" s="1" t="s">
        <v>92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 t="s">
        <v>466</v>
      </c>
      <c r="B1482" s="1" t="s">
        <v>569</v>
      </c>
      <c r="C1482" s="1" t="s">
        <v>589</v>
      </c>
      <c r="D1482" s="1" t="s">
        <v>246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 t="s">
        <v>466</v>
      </c>
      <c r="B1483" s="1" t="s">
        <v>571</v>
      </c>
      <c r="C1483" s="1" t="s">
        <v>591</v>
      </c>
      <c r="D1483" s="1" t="s">
        <v>246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 t="s">
        <v>467</v>
      </c>
      <c r="B1484" s="1" t="s">
        <v>564</v>
      </c>
      <c r="C1484" s="1" t="s">
        <v>576</v>
      </c>
      <c r="D1484" s="1" t="s">
        <v>92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467</v>
      </c>
      <c r="B1485" s="1" t="s">
        <v>565</v>
      </c>
      <c r="C1485" s="1" t="s">
        <v>577</v>
      </c>
      <c r="D1485" s="1" t="s">
        <v>78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 t="s">
        <v>467</v>
      </c>
      <c r="B1486" s="1" t="s">
        <v>33</v>
      </c>
      <c r="C1486" s="1" t="s">
        <v>579</v>
      </c>
      <c r="D1486" s="1" t="s">
        <v>92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 t="s">
        <v>467</v>
      </c>
      <c r="B1487" s="1" t="s">
        <v>34</v>
      </c>
      <c r="C1487" s="1" t="s">
        <v>580</v>
      </c>
      <c r="D1487" s="1" t="s">
        <v>92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 t="s">
        <v>467</v>
      </c>
      <c r="B1488" s="1" t="s">
        <v>35</v>
      </c>
      <c r="C1488" s="1" t="s">
        <v>581</v>
      </c>
      <c r="D1488" s="1" t="s">
        <v>92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467</v>
      </c>
      <c r="B1489" s="1" t="s">
        <v>36</v>
      </c>
      <c r="C1489" s="1" t="s">
        <v>582</v>
      </c>
      <c r="D1489" s="1" t="s">
        <v>95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 t="s">
        <v>467</v>
      </c>
      <c r="B1490" s="1" t="s">
        <v>37</v>
      </c>
      <c r="C1490" s="1" t="s">
        <v>583</v>
      </c>
      <c r="D1490" s="1" t="s">
        <v>95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 t="s">
        <v>467</v>
      </c>
      <c r="B1491" s="1" t="s">
        <v>38</v>
      </c>
      <c r="C1491" s="1" t="s">
        <v>584</v>
      </c>
      <c r="D1491" s="1" t="s">
        <v>92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 t="s">
        <v>467</v>
      </c>
      <c r="B1492" s="1" t="s">
        <v>39</v>
      </c>
      <c r="C1492" s="1" t="s">
        <v>585</v>
      </c>
      <c r="D1492" s="1" t="s">
        <v>78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 t="s">
        <v>467</v>
      </c>
      <c r="B1493" s="1" t="s">
        <v>567</v>
      </c>
      <c r="C1493" s="1" t="s">
        <v>586</v>
      </c>
      <c r="D1493" s="1" t="s">
        <v>92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 t="s">
        <v>467</v>
      </c>
      <c r="B1494" s="1" t="s">
        <v>40</v>
      </c>
      <c r="C1494" s="1" t="s">
        <v>588</v>
      </c>
      <c r="D1494" s="1" t="s">
        <v>92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 t="s">
        <v>467</v>
      </c>
      <c r="B1495" s="1" t="s">
        <v>569</v>
      </c>
      <c r="C1495" s="1" t="s">
        <v>589</v>
      </c>
      <c r="D1495" s="1" t="s">
        <v>246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 t="s">
        <v>467</v>
      </c>
      <c r="B1496" s="1" t="s">
        <v>571</v>
      </c>
      <c r="C1496" s="1" t="s">
        <v>591</v>
      </c>
      <c r="D1496" s="1" t="s">
        <v>246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 t="s">
        <v>468</v>
      </c>
      <c r="B1497" s="1" t="s">
        <v>33</v>
      </c>
      <c r="C1497" s="1" t="s">
        <v>579</v>
      </c>
      <c r="D1497" s="1" t="s">
        <v>92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 t="s">
        <v>468</v>
      </c>
      <c r="B1498" s="1" t="s">
        <v>34</v>
      </c>
      <c r="C1498" s="1" t="s">
        <v>580</v>
      </c>
      <c r="D1498" s="1" t="s">
        <v>92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 t="s">
        <v>468</v>
      </c>
      <c r="B1499" s="1" t="s">
        <v>35</v>
      </c>
      <c r="C1499" s="1" t="s">
        <v>581</v>
      </c>
      <c r="D1499" s="1" t="s">
        <v>92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 t="s">
        <v>468</v>
      </c>
      <c r="B1500" s="1" t="s">
        <v>36</v>
      </c>
      <c r="C1500" s="1" t="s">
        <v>582</v>
      </c>
      <c r="D1500" s="1" t="s">
        <v>95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 t="s">
        <v>468</v>
      </c>
      <c r="B1501" s="1" t="s">
        <v>37</v>
      </c>
      <c r="C1501" s="1" t="s">
        <v>583</v>
      </c>
      <c r="D1501" s="1" t="s">
        <v>95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 t="s">
        <v>468</v>
      </c>
      <c r="B1502" s="1" t="s">
        <v>38</v>
      </c>
      <c r="C1502" s="1" t="s">
        <v>584</v>
      </c>
      <c r="D1502" s="1" t="s">
        <v>92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 t="s">
        <v>468</v>
      </c>
      <c r="B1503" s="1" t="s">
        <v>39</v>
      </c>
      <c r="C1503" s="1" t="s">
        <v>585</v>
      </c>
      <c r="D1503" s="1" t="s">
        <v>78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 t="s">
        <v>468</v>
      </c>
      <c r="B1504" s="1" t="s">
        <v>567</v>
      </c>
      <c r="C1504" s="1" t="s">
        <v>586</v>
      </c>
      <c r="D1504" s="1" t="s">
        <v>92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468</v>
      </c>
      <c r="B1505" s="1" t="s">
        <v>40</v>
      </c>
      <c r="C1505" s="1" t="s">
        <v>588</v>
      </c>
      <c r="D1505" s="1" t="s">
        <v>92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 t="s">
        <v>468</v>
      </c>
      <c r="B1506" s="1" t="s">
        <v>569</v>
      </c>
      <c r="C1506" s="1" t="s">
        <v>589</v>
      </c>
      <c r="D1506" s="1" t="s">
        <v>246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 t="s">
        <v>468</v>
      </c>
      <c r="B1507" s="1" t="s">
        <v>571</v>
      </c>
      <c r="C1507" s="1" t="s">
        <v>591</v>
      </c>
      <c r="D1507" s="1" t="s">
        <v>246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 t="s">
        <v>445</v>
      </c>
      <c r="B1508" s="1" t="s">
        <v>34</v>
      </c>
      <c r="C1508" s="1" t="s">
        <v>580</v>
      </c>
      <c r="D1508" s="1" t="s">
        <v>92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445</v>
      </c>
      <c r="B1509" s="1" t="s">
        <v>35</v>
      </c>
      <c r="C1509" s="1" t="s">
        <v>581</v>
      </c>
      <c r="D1509" s="1" t="s">
        <v>92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445</v>
      </c>
      <c r="B1510" s="1" t="s">
        <v>36</v>
      </c>
      <c r="C1510" s="1" t="s">
        <v>582</v>
      </c>
      <c r="D1510" s="1" t="s">
        <v>95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445</v>
      </c>
      <c r="B1511" s="1" t="s">
        <v>37</v>
      </c>
      <c r="C1511" s="1" t="s">
        <v>583</v>
      </c>
      <c r="D1511" s="1" t="s">
        <v>95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 t="s">
        <v>445</v>
      </c>
      <c r="B1512" s="1" t="s">
        <v>38</v>
      </c>
      <c r="C1512" s="1" t="s">
        <v>584</v>
      </c>
      <c r="D1512" s="1" t="s">
        <v>92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 t="s">
        <v>470</v>
      </c>
      <c r="B1513" s="1" t="s">
        <v>564</v>
      </c>
      <c r="C1513" s="1" t="s">
        <v>576</v>
      </c>
      <c r="D1513" s="1" t="s">
        <v>92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470</v>
      </c>
      <c r="B1514" s="1" t="s">
        <v>565</v>
      </c>
      <c r="C1514" s="1" t="s">
        <v>577</v>
      </c>
      <c r="D1514" s="1" t="s">
        <v>78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470</v>
      </c>
      <c r="B1515" s="1" t="s">
        <v>566</v>
      </c>
      <c r="C1515" s="1" t="s">
        <v>578</v>
      </c>
      <c r="D1515" s="1" t="s">
        <v>78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470</v>
      </c>
      <c r="B1516" s="1" t="s">
        <v>33</v>
      </c>
      <c r="C1516" s="1" t="s">
        <v>579</v>
      </c>
      <c r="D1516" s="1" t="s">
        <v>92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470</v>
      </c>
      <c r="B1517" s="1" t="s">
        <v>34</v>
      </c>
      <c r="C1517" s="1" t="s">
        <v>580</v>
      </c>
      <c r="D1517" s="1" t="s">
        <v>92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470</v>
      </c>
      <c r="B1518" s="1" t="s">
        <v>35</v>
      </c>
      <c r="C1518" s="1" t="s">
        <v>581</v>
      </c>
      <c r="D1518" s="1" t="s">
        <v>92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470</v>
      </c>
      <c r="B1519" s="1" t="s">
        <v>36</v>
      </c>
      <c r="C1519" s="1" t="s">
        <v>582</v>
      </c>
      <c r="D1519" s="1" t="s">
        <v>95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 t="s">
        <v>470</v>
      </c>
      <c r="B1520" s="1" t="s">
        <v>37</v>
      </c>
      <c r="C1520" s="1" t="s">
        <v>583</v>
      </c>
      <c r="D1520" s="1" t="s">
        <v>95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 t="s">
        <v>470</v>
      </c>
      <c r="B1521" s="1" t="s">
        <v>38</v>
      </c>
      <c r="C1521" s="1" t="s">
        <v>584</v>
      </c>
      <c r="D1521" s="1" t="s">
        <v>92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 t="s">
        <v>470</v>
      </c>
      <c r="B1522" s="1" t="s">
        <v>39</v>
      </c>
      <c r="C1522" s="1" t="s">
        <v>585</v>
      </c>
      <c r="D1522" s="1" t="s">
        <v>78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 t="s">
        <v>470</v>
      </c>
      <c r="B1523" s="1" t="s">
        <v>40</v>
      </c>
      <c r="C1523" s="1" t="s">
        <v>588</v>
      </c>
      <c r="D1523" s="1" t="s">
        <v>92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 t="s">
        <v>470</v>
      </c>
      <c r="B1524" s="1" t="s">
        <v>569</v>
      </c>
      <c r="C1524" s="1" t="s">
        <v>589</v>
      </c>
      <c r="D1524" s="1" t="s">
        <v>246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 t="s">
        <v>470</v>
      </c>
      <c r="B1525" s="1" t="s">
        <v>571</v>
      </c>
      <c r="C1525" s="1" t="s">
        <v>591</v>
      </c>
      <c r="D1525" s="1" t="s">
        <v>246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 t="s">
        <v>471</v>
      </c>
      <c r="B1526" s="1" t="s">
        <v>33</v>
      </c>
      <c r="C1526" s="1" t="s">
        <v>579</v>
      </c>
      <c r="D1526" s="1" t="s">
        <v>92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 t="s">
        <v>471</v>
      </c>
      <c r="B1527" s="1" t="s">
        <v>34</v>
      </c>
      <c r="C1527" s="1" t="s">
        <v>580</v>
      </c>
      <c r="D1527" s="1" t="s">
        <v>92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 t="s">
        <v>471</v>
      </c>
      <c r="B1528" s="1" t="s">
        <v>35</v>
      </c>
      <c r="C1528" s="1" t="s">
        <v>581</v>
      </c>
      <c r="D1528" s="1" t="s">
        <v>92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 t="s">
        <v>471</v>
      </c>
      <c r="B1529" s="1" t="s">
        <v>36</v>
      </c>
      <c r="C1529" s="1" t="s">
        <v>582</v>
      </c>
      <c r="D1529" s="1" t="s">
        <v>275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 t="s">
        <v>471</v>
      </c>
      <c r="B1530" s="1" t="s">
        <v>37</v>
      </c>
      <c r="C1530" s="1" t="s">
        <v>583</v>
      </c>
      <c r="D1530" s="1" t="s">
        <v>223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 t="s">
        <v>471</v>
      </c>
      <c r="B1531" s="1" t="s">
        <v>38</v>
      </c>
      <c r="C1531" s="1" t="s">
        <v>584</v>
      </c>
      <c r="D1531" s="1" t="s">
        <v>835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 t="s">
        <v>471</v>
      </c>
      <c r="B1532" s="1" t="s">
        <v>39</v>
      </c>
      <c r="C1532" s="1" t="s">
        <v>585</v>
      </c>
      <c r="D1532" s="1" t="s">
        <v>78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 t="s">
        <v>471</v>
      </c>
      <c r="B1533" s="1" t="s">
        <v>567</v>
      </c>
      <c r="C1533" s="1" t="s">
        <v>586</v>
      </c>
      <c r="D1533" s="1" t="s">
        <v>92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 t="s">
        <v>471</v>
      </c>
      <c r="B1534" s="1" t="s">
        <v>40</v>
      </c>
      <c r="C1534" s="1" t="s">
        <v>588</v>
      </c>
      <c r="D1534" s="1" t="s">
        <v>92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 t="s">
        <v>471</v>
      </c>
      <c r="B1535" s="1" t="s">
        <v>569</v>
      </c>
      <c r="C1535" s="1" t="s">
        <v>589</v>
      </c>
      <c r="D1535" s="1" t="s">
        <v>246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 t="s">
        <v>471</v>
      </c>
      <c r="B1536" s="1" t="s">
        <v>571</v>
      </c>
      <c r="C1536" s="1" t="s">
        <v>591</v>
      </c>
      <c r="D1536" s="1" t="s">
        <v>246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 t="s">
        <v>475</v>
      </c>
      <c r="B1537" s="1" t="s">
        <v>33</v>
      </c>
      <c r="C1537" s="1" t="s">
        <v>579</v>
      </c>
      <c r="D1537" s="1" t="s">
        <v>92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 t="s">
        <v>475</v>
      </c>
      <c r="B1538" s="1" t="s">
        <v>34</v>
      </c>
      <c r="C1538" s="1" t="s">
        <v>580</v>
      </c>
      <c r="D1538" s="1" t="s">
        <v>92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 t="s">
        <v>475</v>
      </c>
      <c r="B1539" s="1" t="s">
        <v>35</v>
      </c>
      <c r="C1539" s="1" t="s">
        <v>581</v>
      </c>
      <c r="D1539" s="1" t="s">
        <v>92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 t="s">
        <v>475</v>
      </c>
      <c r="B1540" s="1" t="s">
        <v>36</v>
      </c>
      <c r="C1540" s="1" t="s">
        <v>582</v>
      </c>
      <c r="D1540" s="1" t="s">
        <v>275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 t="s">
        <v>475</v>
      </c>
      <c r="B1541" s="1" t="s">
        <v>37</v>
      </c>
      <c r="C1541" s="1" t="s">
        <v>583</v>
      </c>
      <c r="D1541" s="1" t="s">
        <v>223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 t="s">
        <v>475</v>
      </c>
      <c r="B1542" s="1" t="s">
        <v>38</v>
      </c>
      <c r="C1542" s="1" t="s">
        <v>584</v>
      </c>
      <c r="D1542" s="1" t="s">
        <v>835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 t="s">
        <v>475</v>
      </c>
      <c r="B1543" s="1" t="s">
        <v>39</v>
      </c>
      <c r="C1543" s="1" t="s">
        <v>585</v>
      </c>
      <c r="D1543" s="1" t="s">
        <v>78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 t="s">
        <v>475</v>
      </c>
      <c r="B1544" s="1" t="s">
        <v>567</v>
      </c>
      <c r="C1544" s="1" t="s">
        <v>586</v>
      </c>
      <c r="D1544" s="1" t="s">
        <v>92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 t="s">
        <v>475</v>
      </c>
      <c r="B1545" s="1" t="s">
        <v>40</v>
      </c>
      <c r="C1545" s="1" t="s">
        <v>588</v>
      </c>
      <c r="D1545" s="1" t="s">
        <v>92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 t="s">
        <v>475</v>
      </c>
      <c r="B1546" s="1" t="s">
        <v>569</v>
      </c>
      <c r="C1546" s="1" t="s">
        <v>589</v>
      </c>
      <c r="D1546" s="1" t="s">
        <v>246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 t="s">
        <v>475</v>
      </c>
      <c r="B1547" s="1" t="s">
        <v>571</v>
      </c>
      <c r="C1547" s="1" t="s">
        <v>591</v>
      </c>
      <c r="D1547" s="1" t="s">
        <v>246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 t="s">
        <v>477</v>
      </c>
      <c r="B1548" s="1" t="s">
        <v>174</v>
      </c>
      <c r="C1548" s="1" t="s">
        <v>574</v>
      </c>
      <c r="D1548" s="1" t="s">
        <v>78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 t="s">
        <v>477</v>
      </c>
      <c r="B1549" s="1" t="s">
        <v>563</v>
      </c>
      <c r="C1549" s="1" t="s">
        <v>575</v>
      </c>
      <c r="D1549" s="1" t="s">
        <v>78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 t="s">
        <v>477</v>
      </c>
      <c r="B1550" s="1" t="s">
        <v>564</v>
      </c>
      <c r="C1550" s="1" t="s">
        <v>576</v>
      </c>
      <c r="D1550" s="1" t="s">
        <v>92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 t="s">
        <v>477</v>
      </c>
      <c r="B1551" s="1" t="s">
        <v>565</v>
      </c>
      <c r="C1551" s="1" t="s">
        <v>577</v>
      </c>
      <c r="D1551" s="1" t="s">
        <v>78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 t="s">
        <v>477</v>
      </c>
      <c r="B1552" s="1" t="s">
        <v>566</v>
      </c>
      <c r="C1552" s="1" t="s">
        <v>578</v>
      </c>
      <c r="D1552" s="1" t="s">
        <v>78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 t="s">
        <v>477</v>
      </c>
      <c r="B1553" s="1" t="s">
        <v>33</v>
      </c>
      <c r="C1553" s="1" t="s">
        <v>579</v>
      </c>
      <c r="D1553" s="1" t="s">
        <v>92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 t="s">
        <v>477</v>
      </c>
      <c r="B1554" s="1" t="s">
        <v>34</v>
      </c>
      <c r="C1554" s="1" t="s">
        <v>580</v>
      </c>
      <c r="D1554" s="1" t="s">
        <v>627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 t="s">
        <v>477</v>
      </c>
      <c r="B1555" s="1" t="s">
        <v>35</v>
      </c>
      <c r="C1555" s="1" t="s">
        <v>581</v>
      </c>
      <c r="D1555" s="1" t="s">
        <v>627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 t="s">
        <v>477</v>
      </c>
      <c r="B1556" s="1" t="s">
        <v>36</v>
      </c>
      <c r="C1556" s="1" t="s">
        <v>582</v>
      </c>
      <c r="D1556" s="1" t="s">
        <v>78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 t="s">
        <v>477</v>
      </c>
      <c r="B1557" s="1" t="s">
        <v>37</v>
      </c>
      <c r="C1557" s="1" t="s">
        <v>583</v>
      </c>
      <c r="D1557" s="1" t="s">
        <v>78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477</v>
      </c>
      <c r="B1558" s="1" t="s">
        <v>38</v>
      </c>
      <c r="C1558" s="1" t="s">
        <v>584</v>
      </c>
      <c r="D1558" s="1" t="s">
        <v>627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477</v>
      </c>
      <c r="B1559" s="1" t="s">
        <v>39</v>
      </c>
      <c r="C1559" s="1" t="s">
        <v>585</v>
      </c>
      <c r="D1559" s="1" t="s">
        <v>78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 t="s">
        <v>477</v>
      </c>
      <c r="B1560" s="1" t="s">
        <v>567</v>
      </c>
      <c r="C1560" s="1" t="s">
        <v>586</v>
      </c>
      <c r="D1560" s="1" t="s">
        <v>92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 t="s">
        <v>477</v>
      </c>
      <c r="B1561" s="1" t="s">
        <v>568</v>
      </c>
      <c r="C1561" s="1" t="s">
        <v>587</v>
      </c>
      <c r="D1561" s="1" t="s">
        <v>78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 t="s">
        <v>477</v>
      </c>
      <c r="B1562" s="1" t="s">
        <v>40</v>
      </c>
      <c r="C1562" s="1" t="s">
        <v>588</v>
      </c>
      <c r="D1562" s="1" t="s">
        <v>92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 t="s">
        <v>477</v>
      </c>
      <c r="B1563" s="1" t="s">
        <v>569</v>
      </c>
      <c r="C1563" s="1" t="s">
        <v>589</v>
      </c>
      <c r="D1563" s="1" t="s">
        <v>246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 t="s">
        <v>477</v>
      </c>
      <c r="B1564" s="1" t="s">
        <v>570</v>
      </c>
      <c r="C1564" s="1" t="s">
        <v>590</v>
      </c>
      <c r="D1564" s="1" t="s">
        <v>95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477</v>
      </c>
      <c r="B1565" s="1" t="s">
        <v>571</v>
      </c>
      <c r="C1565" s="1" t="s">
        <v>591</v>
      </c>
      <c r="D1565" s="1" t="s">
        <v>246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 t="s">
        <v>477</v>
      </c>
      <c r="B1566" s="1" t="s">
        <v>572</v>
      </c>
      <c r="C1566" s="1" t="s">
        <v>592</v>
      </c>
      <c r="D1566" s="1" t="s">
        <v>78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 t="s">
        <v>478</v>
      </c>
      <c r="B1567" s="1" t="s">
        <v>174</v>
      </c>
      <c r="C1567" s="1" t="s">
        <v>574</v>
      </c>
      <c r="D1567" s="1" t="s">
        <v>78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 t="s">
        <v>478</v>
      </c>
      <c r="B1568" s="1" t="s">
        <v>563</v>
      </c>
      <c r="C1568" s="1" t="s">
        <v>575</v>
      </c>
      <c r="D1568" s="1" t="s">
        <v>78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 t="s">
        <v>478</v>
      </c>
      <c r="B1569" s="1" t="s">
        <v>564</v>
      </c>
      <c r="C1569" s="1" t="s">
        <v>576</v>
      </c>
      <c r="D1569" s="1" t="s">
        <v>92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 t="s">
        <v>478</v>
      </c>
      <c r="B1570" s="1" t="s">
        <v>565</v>
      </c>
      <c r="C1570" s="1" t="s">
        <v>577</v>
      </c>
      <c r="D1570" s="1" t="s">
        <v>78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 t="s">
        <v>478</v>
      </c>
      <c r="B1571" s="1" t="s">
        <v>33</v>
      </c>
      <c r="C1571" s="1" t="s">
        <v>579</v>
      </c>
      <c r="D1571" s="1" t="s">
        <v>92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 t="s">
        <v>478</v>
      </c>
      <c r="B1572" s="1" t="s">
        <v>34</v>
      </c>
      <c r="C1572" s="1" t="s">
        <v>580</v>
      </c>
      <c r="D1572" s="1" t="s">
        <v>627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 t="s">
        <v>478</v>
      </c>
      <c r="B1573" s="1" t="s">
        <v>35</v>
      </c>
      <c r="C1573" s="1" t="s">
        <v>581</v>
      </c>
      <c r="D1573" s="1" t="s">
        <v>627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 t="s">
        <v>478</v>
      </c>
      <c r="B1574" s="1" t="s">
        <v>36</v>
      </c>
      <c r="C1574" s="1" t="s">
        <v>582</v>
      </c>
      <c r="D1574" s="1" t="s">
        <v>78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 t="s">
        <v>478</v>
      </c>
      <c r="B1575" s="1" t="s">
        <v>37</v>
      </c>
      <c r="C1575" s="1" t="s">
        <v>583</v>
      </c>
      <c r="D1575" s="1" t="s">
        <v>78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 t="s">
        <v>478</v>
      </c>
      <c r="B1576" s="1" t="s">
        <v>38</v>
      </c>
      <c r="C1576" s="1" t="s">
        <v>584</v>
      </c>
      <c r="D1576" s="1" t="s">
        <v>627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 t="s">
        <v>478</v>
      </c>
      <c r="B1577" s="1" t="s">
        <v>39</v>
      </c>
      <c r="C1577" s="1" t="s">
        <v>585</v>
      </c>
      <c r="D1577" s="1" t="s">
        <v>78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478</v>
      </c>
      <c r="B1578" s="1" t="s">
        <v>567</v>
      </c>
      <c r="C1578" s="1" t="s">
        <v>586</v>
      </c>
      <c r="D1578" s="1" t="s">
        <v>92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478</v>
      </c>
      <c r="B1579" s="1" t="s">
        <v>568</v>
      </c>
      <c r="C1579" s="1" t="s">
        <v>587</v>
      </c>
      <c r="D1579" s="1" t="s">
        <v>78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 t="s">
        <v>478</v>
      </c>
      <c r="B1580" s="1" t="s">
        <v>40</v>
      </c>
      <c r="C1580" s="1" t="s">
        <v>588</v>
      </c>
      <c r="D1580" s="1" t="s">
        <v>92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478</v>
      </c>
      <c r="B1581" s="1" t="s">
        <v>569</v>
      </c>
      <c r="C1581" s="1" t="s">
        <v>589</v>
      </c>
      <c r="D1581" s="1" t="s">
        <v>246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478</v>
      </c>
      <c r="B1582" s="1" t="s">
        <v>570</v>
      </c>
      <c r="C1582" s="1" t="s">
        <v>590</v>
      </c>
      <c r="D1582" s="1" t="s">
        <v>95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478</v>
      </c>
      <c r="B1583" s="1" t="s">
        <v>571</v>
      </c>
      <c r="C1583" s="1" t="s">
        <v>591</v>
      </c>
      <c r="D1583" s="1" t="s">
        <v>246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 t="s">
        <v>478</v>
      </c>
      <c r="B1584" s="1" t="s">
        <v>572</v>
      </c>
      <c r="C1584" s="1" t="s">
        <v>592</v>
      </c>
      <c r="D1584" s="1" t="s">
        <v>78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/>
      <c r="B1585" s="1"/>
      <c r="C1585" s="1"/>
      <c r="D1585" s="1"/>
      <c r="E1585" s="1" t="s">
        <v>1077</v>
      </c>
      <c r="F1585" s="1" t="s">
        <v>173</v>
      </c>
      <c r="G1585" s="1" t="s">
        <v>194</v>
      </c>
      <c r="H1585" s="1" t="s">
        <v>78</v>
      </c>
      <c r="I1585" s="1"/>
      <c r="J1585" s="1"/>
      <c r="K1585" s="1"/>
      <c r="L1585" s="1"/>
    </row>
    <row r="1586" spans="1:12" x14ac:dyDescent="0.25">
      <c r="A1586" s="1"/>
      <c r="B1586" s="1"/>
      <c r="C1586" s="1"/>
      <c r="D1586" s="1"/>
      <c r="E1586" s="1" t="s">
        <v>1077</v>
      </c>
      <c r="F1586" s="1" t="s">
        <v>174</v>
      </c>
      <c r="G1586" s="1" t="s">
        <v>195</v>
      </c>
      <c r="H1586" s="1" t="s">
        <v>78</v>
      </c>
      <c r="I1586" s="1"/>
      <c r="J1586" s="1"/>
      <c r="K1586" s="1"/>
      <c r="L1586" s="1"/>
    </row>
    <row r="1587" spans="1:12" x14ac:dyDescent="0.25">
      <c r="A1587" s="1"/>
      <c r="B1587" s="1"/>
      <c r="C1587" s="1"/>
      <c r="D1587" s="1"/>
      <c r="E1587" s="1" t="s">
        <v>1077</v>
      </c>
      <c r="F1587" s="1" t="s">
        <v>175</v>
      </c>
      <c r="G1587" s="1" t="s">
        <v>196</v>
      </c>
      <c r="H1587" s="1" t="s">
        <v>232</v>
      </c>
      <c r="I1587" s="1"/>
      <c r="J1587" s="1"/>
      <c r="K1587" s="1"/>
      <c r="L1587" s="1"/>
    </row>
    <row r="1588" spans="1:12" x14ac:dyDescent="0.25">
      <c r="A1588" s="1"/>
      <c r="B1588" s="1"/>
      <c r="C1588" s="1"/>
      <c r="D1588" s="1"/>
      <c r="E1588" s="1" t="s">
        <v>1077</v>
      </c>
      <c r="F1588" s="1" t="s">
        <v>176</v>
      </c>
      <c r="G1588" s="1" t="s">
        <v>197</v>
      </c>
      <c r="H1588" s="1" t="s">
        <v>95</v>
      </c>
      <c r="I1588" s="1"/>
      <c r="J1588" s="1"/>
      <c r="K1588" s="1"/>
      <c r="L1588" s="1"/>
    </row>
    <row r="1589" spans="1:12" x14ac:dyDescent="0.25">
      <c r="A1589" s="1"/>
      <c r="B1589" s="1"/>
      <c r="C1589" s="1"/>
      <c r="D1589" s="1"/>
      <c r="E1589" s="1" t="s">
        <v>1077</v>
      </c>
      <c r="F1589" s="1" t="s">
        <v>177</v>
      </c>
      <c r="G1589" s="1" t="s">
        <v>198</v>
      </c>
      <c r="H1589" s="1" t="s">
        <v>223</v>
      </c>
      <c r="I1589" s="1"/>
      <c r="J1589" s="1"/>
      <c r="K1589" s="1"/>
      <c r="L1589" s="1"/>
    </row>
    <row r="1590" spans="1:12" x14ac:dyDescent="0.25">
      <c r="A1590" s="1"/>
      <c r="B1590" s="1"/>
      <c r="C1590" s="1"/>
      <c r="D1590" s="1"/>
      <c r="E1590" s="1" t="s">
        <v>1077</v>
      </c>
      <c r="F1590" s="1" t="s">
        <v>33</v>
      </c>
      <c r="G1590" s="1" t="s">
        <v>199</v>
      </c>
      <c r="H1590" s="1" t="s">
        <v>92</v>
      </c>
      <c r="I1590" s="1"/>
      <c r="J1590" s="1"/>
      <c r="K1590" s="1"/>
      <c r="L1590" s="1"/>
    </row>
    <row r="1591" spans="1:12" x14ac:dyDescent="0.25">
      <c r="A1591" s="1"/>
      <c r="B1591" s="1"/>
      <c r="C1591" s="1"/>
      <c r="D1591" s="1"/>
      <c r="E1591" s="1" t="s">
        <v>1077</v>
      </c>
      <c r="F1591" s="1" t="s">
        <v>34</v>
      </c>
      <c r="G1591" s="1" t="s">
        <v>200</v>
      </c>
      <c r="H1591" s="1" t="s">
        <v>92</v>
      </c>
      <c r="I1591" s="1"/>
      <c r="J1591" s="1"/>
      <c r="K1591" s="1"/>
      <c r="L1591" s="1"/>
    </row>
    <row r="1592" spans="1:12" x14ac:dyDescent="0.25">
      <c r="A1592" s="1"/>
      <c r="B1592" s="1"/>
      <c r="C1592" s="1"/>
      <c r="D1592" s="1"/>
      <c r="E1592" s="1" t="s">
        <v>1077</v>
      </c>
      <c r="F1592" s="1" t="s">
        <v>35</v>
      </c>
      <c r="G1592" s="1" t="s">
        <v>201</v>
      </c>
      <c r="H1592" s="1" t="s">
        <v>92</v>
      </c>
      <c r="I1592" s="1"/>
      <c r="J1592" s="1"/>
      <c r="K1592" s="1"/>
      <c r="L1592" s="1"/>
    </row>
    <row r="1593" spans="1:12" x14ac:dyDescent="0.25">
      <c r="A1593" s="1"/>
      <c r="B1593" s="1"/>
      <c r="C1593" s="1"/>
      <c r="D1593" s="1"/>
      <c r="E1593" s="1" t="s">
        <v>1077</v>
      </c>
      <c r="F1593" s="1" t="s">
        <v>36</v>
      </c>
      <c r="G1593" s="1" t="s">
        <v>202</v>
      </c>
      <c r="H1593" s="1" t="s">
        <v>232</v>
      </c>
      <c r="I1593" s="1"/>
      <c r="J1593" s="1"/>
      <c r="K1593" s="1"/>
      <c r="L1593" s="1"/>
    </row>
    <row r="1594" spans="1:12" x14ac:dyDescent="0.25">
      <c r="A1594" s="1"/>
      <c r="B1594" s="1"/>
      <c r="C1594" s="1"/>
      <c r="D1594" s="1"/>
      <c r="E1594" s="1" t="s">
        <v>1077</v>
      </c>
      <c r="F1594" s="1" t="s">
        <v>37</v>
      </c>
      <c r="G1594" s="1" t="s">
        <v>203</v>
      </c>
      <c r="H1594" s="1" t="s">
        <v>223</v>
      </c>
      <c r="I1594" s="1"/>
      <c r="J1594" s="1"/>
      <c r="K1594" s="1"/>
      <c r="L1594" s="1"/>
    </row>
    <row r="1595" spans="1:12" x14ac:dyDescent="0.25">
      <c r="A1595" s="1"/>
      <c r="B1595" s="1"/>
      <c r="C1595" s="1"/>
      <c r="D1595" s="1"/>
      <c r="E1595" s="1" t="s">
        <v>1077</v>
      </c>
      <c r="F1595" s="1" t="s">
        <v>38</v>
      </c>
      <c r="G1595" s="1" t="s">
        <v>204</v>
      </c>
      <c r="H1595" s="1" t="s">
        <v>1084</v>
      </c>
      <c r="I1595" s="1"/>
      <c r="J1595" s="1"/>
      <c r="K1595" s="1"/>
      <c r="L1595" s="1"/>
    </row>
    <row r="1596" spans="1:12" x14ac:dyDescent="0.25">
      <c r="A1596" s="1"/>
      <c r="B1596" s="1"/>
      <c r="C1596" s="1"/>
      <c r="D1596" s="1"/>
      <c r="E1596" s="1" t="s">
        <v>1077</v>
      </c>
      <c r="F1596" s="1" t="s">
        <v>178</v>
      </c>
      <c r="G1596" s="1" t="s">
        <v>205</v>
      </c>
      <c r="H1596" s="1" t="s">
        <v>78</v>
      </c>
      <c r="I1596" s="1"/>
      <c r="J1596" s="1"/>
      <c r="K1596" s="1"/>
      <c r="L1596" s="1"/>
    </row>
    <row r="1597" spans="1:12" x14ac:dyDescent="0.25">
      <c r="A1597" s="1"/>
      <c r="B1597" s="1"/>
      <c r="C1597" s="1"/>
      <c r="D1597" s="1"/>
      <c r="E1597" s="1" t="s">
        <v>1077</v>
      </c>
      <c r="F1597" s="1" t="s">
        <v>179</v>
      </c>
      <c r="G1597" s="1" t="s">
        <v>206</v>
      </c>
      <c r="H1597" s="1" t="s">
        <v>98</v>
      </c>
      <c r="I1597" s="1"/>
      <c r="J1597" s="1"/>
      <c r="K1597" s="1"/>
      <c r="L1597" s="1"/>
    </row>
    <row r="1598" spans="1:12" x14ac:dyDescent="0.25">
      <c r="A1598" s="1"/>
      <c r="B1598" s="1"/>
      <c r="C1598" s="1"/>
      <c r="D1598" s="1"/>
      <c r="E1598" s="1" t="s">
        <v>1077</v>
      </c>
      <c r="F1598" s="1" t="s">
        <v>40</v>
      </c>
      <c r="G1598" s="1" t="s">
        <v>207</v>
      </c>
      <c r="H1598" s="1" t="s">
        <v>1085</v>
      </c>
      <c r="I1598" s="1"/>
      <c r="J1598" s="1"/>
      <c r="K1598" s="1"/>
      <c r="L1598" s="1"/>
    </row>
    <row r="1599" spans="1:12" x14ac:dyDescent="0.25">
      <c r="A1599" s="1"/>
      <c r="B1599" s="1"/>
      <c r="C1599" s="1"/>
      <c r="D1599" s="1"/>
      <c r="E1599" s="1" t="s">
        <v>1077</v>
      </c>
      <c r="F1599" s="1" t="s">
        <v>180</v>
      </c>
      <c r="G1599" s="1" t="s">
        <v>208</v>
      </c>
      <c r="H1599" s="1" t="s">
        <v>78</v>
      </c>
      <c r="I1599" s="1"/>
      <c r="J1599" s="1"/>
      <c r="K1599" s="1"/>
      <c r="L1599" s="1"/>
    </row>
    <row r="1600" spans="1:12" x14ac:dyDescent="0.25">
      <c r="A1600" s="1"/>
      <c r="B1600" s="1"/>
      <c r="C1600" s="1"/>
      <c r="D1600" s="1"/>
      <c r="E1600" s="1" t="s">
        <v>1077</v>
      </c>
      <c r="F1600" s="1" t="s">
        <v>43</v>
      </c>
      <c r="G1600" s="1" t="s">
        <v>209</v>
      </c>
      <c r="H1600" s="1" t="s">
        <v>95</v>
      </c>
      <c r="I1600" s="1"/>
      <c r="J1600" s="1"/>
      <c r="K1600" s="1"/>
      <c r="L1600" s="1"/>
    </row>
    <row r="1601" spans="1:12" x14ac:dyDescent="0.25">
      <c r="A1601" s="1"/>
      <c r="B1601" s="1"/>
      <c r="C1601" s="1"/>
      <c r="D1601" s="1"/>
      <c r="E1601" s="1" t="s">
        <v>1077</v>
      </c>
      <c r="F1601" s="1" t="s">
        <v>181</v>
      </c>
      <c r="G1601" s="1" t="s">
        <v>210</v>
      </c>
      <c r="H1601" s="1" t="s">
        <v>232</v>
      </c>
      <c r="I1601" s="1"/>
      <c r="J1601" s="1"/>
      <c r="K1601" s="1"/>
      <c r="L1601" s="1"/>
    </row>
    <row r="1602" spans="1:12" x14ac:dyDescent="0.25">
      <c r="A1602" s="1"/>
      <c r="B1602" s="1"/>
      <c r="C1602" s="1"/>
      <c r="D1602" s="1"/>
      <c r="E1602" s="1" t="s">
        <v>1077</v>
      </c>
      <c r="F1602" s="1" t="s">
        <v>182</v>
      </c>
      <c r="G1602" s="1" t="s">
        <v>211</v>
      </c>
      <c r="H1602" s="1" t="s">
        <v>232</v>
      </c>
      <c r="I1602" s="1"/>
      <c r="J1602" s="1"/>
      <c r="K1602" s="1"/>
      <c r="L1602" s="1"/>
    </row>
    <row r="1603" spans="1:12" x14ac:dyDescent="0.25">
      <c r="A1603" s="1"/>
      <c r="B1603" s="1"/>
      <c r="C1603" s="1"/>
      <c r="D1603" s="1"/>
      <c r="E1603" s="1" t="s">
        <v>1077</v>
      </c>
      <c r="F1603" s="1" t="s">
        <v>183</v>
      </c>
      <c r="G1603" s="1" t="s">
        <v>212</v>
      </c>
      <c r="H1603" s="1" t="s">
        <v>232</v>
      </c>
      <c r="I1603" s="1"/>
      <c r="J1603" s="1"/>
      <c r="K1603" s="1"/>
      <c r="L1603" s="1"/>
    </row>
    <row r="1604" spans="1:12" x14ac:dyDescent="0.25">
      <c r="A1604" s="1"/>
      <c r="B1604" s="1"/>
      <c r="C1604" s="1"/>
      <c r="D1604" s="1"/>
      <c r="E1604" s="1" t="s">
        <v>1077</v>
      </c>
      <c r="F1604" s="1" t="s">
        <v>184</v>
      </c>
      <c r="G1604" s="1" t="s">
        <v>213</v>
      </c>
      <c r="H1604" s="1" t="s">
        <v>346</v>
      </c>
      <c r="I1604" s="1"/>
      <c r="J1604" s="1"/>
      <c r="K1604" s="1"/>
      <c r="L1604" s="1"/>
    </row>
    <row r="1605" spans="1:12" x14ac:dyDescent="0.25">
      <c r="A1605" s="1"/>
      <c r="B1605" s="1"/>
      <c r="C1605" s="1"/>
      <c r="D1605" s="1"/>
      <c r="E1605" s="1" t="s">
        <v>1077</v>
      </c>
      <c r="F1605" s="1" t="s">
        <v>185</v>
      </c>
      <c r="G1605" s="1" t="s">
        <v>214</v>
      </c>
      <c r="H1605" s="1" t="s">
        <v>246</v>
      </c>
      <c r="I1605" s="1"/>
      <c r="J1605" s="1"/>
      <c r="K1605" s="1"/>
      <c r="L1605" s="1"/>
    </row>
    <row r="1606" spans="1:12" x14ac:dyDescent="0.25">
      <c r="A1606" s="1"/>
      <c r="B1606" s="1"/>
      <c r="C1606" s="1"/>
      <c r="D1606" s="1"/>
      <c r="E1606" s="1" t="s">
        <v>1077</v>
      </c>
      <c r="F1606" s="1" t="s">
        <v>186</v>
      </c>
      <c r="G1606" s="1" t="s">
        <v>215</v>
      </c>
      <c r="H1606" s="1" t="s">
        <v>97</v>
      </c>
      <c r="I1606" s="1"/>
      <c r="J1606" s="1"/>
      <c r="K1606" s="1"/>
      <c r="L1606" s="1"/>
    </row>
    <row r="1607" spans="1:12" x14ac:dyDescent="0.25">
      <c r="A1607" s="1"/>
      <c r="B1607" s="1"/>
      <c r="C1607" s="1"/>
      <c r="D1607" s="1"/>
      <c r="E1607" s="1" t="s">
        <v>1077</v>
      </c>
      <c r="F1607" s="1" t="s">
        <v>187</v>
      </c>
      <c r="G1607" s="1" t="s">
        <v>216</v>
      </c>
      <c r="H1607" s="1" t="s">
        <v>286</v>
      </c>
      <c r="I1607" s="1"/>
      <c r="J1607" s="1"/>
      <c r="K1607" s="1"/>
      <c r="L1607" s="1"/>
    </row>
    <row r="1608" spans="1:12" x14ac:dyDescent="0.25">
      <c r="A1608" s="1"/>
      <c r="B1608" s="1"/>
      <c r="C1608" s="1"/>
      <c r="D1608" s="1"/>
      <c r="E1608" s="1" t="s">
        <v>1077</v>
      </c>
      <c r="F1608" s="1" t="s">
        <v>188</v>
      </c>
      <c r="G1608" s="1" t="s">
        <v>217</v>
      </c>
      <c r="H1608" s="1" t="s">
        <v>78</v>
      </c>
      <c r="I1608" s="1"/>
      <c r="J1608" s="1"/>
      <c r="K1608" s="1"/>
      <c r="L1608" s="1"/>
    </row>
    <row r="1609" spans="1:12" x14ac:dyDescent="0.25">
      <c r="A1609" s="1"/>
      <c r="B1609" s="1"/>
      <c r="C1609" s="1"/>
      <c r="D1609" s="1"/>
      <c r="E1609" s="1" t="s">
        <v>1077</v>
      </c>
      <c r="F1609" s="1" t="s">
        <v>189</v>
      </c>
      <c r="G1609" s="1" t="s">
        <v>218</v>
      </c>
      <c r="H1609" s="1" t="s">
        <v>78</v>
      </c>
      <c r="I1609" s="1"/>
      <c r="J1609" s="1"/>
      <c r="K1609" s="1"/>
      <c r="L1609" s="1"/>
    </row>
    <row r="1610" spans="1:12" x14ac:dyDescent="0.25">
      <c r="A1610" s="1"/>
      <c r="B1610" s="1"/>
      <c r="C1610" s="1"/>
      <c r="D1610" s="1"/>
      <c r="E1610" s="1" t="s">
        <v>1077</v>
      </c>
      <c r="F1610" s="1" t="s">
        <v>190</v>
      </c>
      <c r="G1610" s="1" t="s">
        <v>219</v>
      </c>
      <c r="H1610" s="1" t="s">
        <v>97</v>
      </c>
      <c r="I1610" s="1"/>
      <c r="J1610" s="1"/>
      <c r="K1610" s="1"/>
      <c r="L1610" s="1"/>
    </row>
    <row r="1611" spans="1:12" x14ac:dyDescent="0.25">
      <c r="A1611" s="1"/>
      <c r="B1611" s="1"/>
      <c r="C1611" s="1"/>
      <c r="D1611" s="1"/>
      <c r="E1611" s="1" t="s">
        <v>1077</v>
      </c>
      <c r="F1611" s="1" t="s">
        <v>191</v>
      </c>
      <c r="G1611" s="1" t="s">
        <v>220</v>
      </c>
      <c r="H1611" s="1" t="s">
        <v>92</v>
      </c>
      <c r="I1611" s="1"/>
      <c r="J1611" s="1"/>
      <c r="K1611" s="1"/>
      <c r="L1611" s="1"/>
    </row>
    <row r="1612" spans="1:12" x14ac:dyDescent="0.25">
      <c r="A1612" s="1"/>
      <c r="B1612" s="1"/>
      <c r="C1612" s="1"/>
      <c r="D1612" s="1"/>
      <c r="E1612" s="1" t="s">
        <v>1077</v>
      </c>
      <c r="F1612" s="1" t="s">
        <v>192</v>
      </c>
      <c r="G1612" s="1" t="s">
        <v>221</v>
      </c>
      <c r="H1612" s="1" t="s">
        <v>92</v>
      </c>
      <c r="I1612" s="1"/>
      <c r="J1612" s="1"/>
      <c r="K1612" s="1"/>
      <c r="L1612" s="1"/>
    </row>
    <row r="1613" spans="1:12" x14ac:dyDescent="0.25">
      <c r="A1613" s="1"/>
      <c r="B1613" s="1"/>
      <c r="C1613" s="1"/>
      <c r="D1613" s="1"/>
      <c r="E1613" s="1" t="s">
        <v>1077</v>
      </c>
      <c r="F1613" s="1" t="s">
        <v>193</v>
      </c>
      <c r="G1613" s="1" t="s">
        <v>222</v>
      </c>
      <c r="H1613" s="1" t="s">
        <v>97</v>
      </c>
      <c r="I1613" s="1"/>
      <c r="J1613" s="1"/>
      <c r="K1613" s="1"/>
      <c r="L1613" s="1"/>
    </row>
    <row r="1614" spans="1:12" x14ac:dyDescent="0.25">
      <c r="A1614" s="1"/>
      <c r="B1614" s="1"/>
      <c r="C1614" s="1"/>
      <c r="D1614" s="1"/>
      <c r="E1614" s="1" t="s">
        <v>1077</v>
      </c>
      <c r="F1614" s="1"/>
      <c r="G1614" s="1"/>
      <c r="H1614" s="1"/>
      <c r="I1614" s="1" t="s">
        <v>1092</v>
      </c>
      <c r="J1614" s="1" t="s">
        <v>174</v>
      </c>
      <c r="K1614" s="1" t="s">
        <v>574</v>
      </c>
      <c r="L1614" s="1" t="s">
        <v>78</v>
      </c>
    </row>
    <row r="1615" spans="1:12" x14ac:dyDescent="0.25">
      <c r="A1615" s="1"/>
      <c r="B1615" s="1"/>
      <c r="C1615" s="1"/>
      <c r="D1615" s="1"/>
      <c r="E1615" s="1" t="s">
        <v>1077</v>
      </c>
      <c r="F1615" s="1"/>
      <c r="G1615" s="1"/>
      <c r="H1615" s="1"/>
      <c r="I1615" s="1" t="s">
        <v>1092</v>
      </c>
      <c r="J1615" s="1" t="s">
        <v>563</v>
      </c>
      <c r="K1615" s="1" t="s">
        <v>575</v>
      </c>
      <c r="L1615" s="1" t="s">
        <v>78</v>
      </c>
    </row>
    <row r="1616" spans="1:12" x14ac:dyDescent="0.25">
      <c r="A1616" s="1"/>
      <c r="B1616" s="1"/>
      <c r="C1616" s="1"/>
      <c r="D1616" s="1"/>
      <c r="E1616" s="1" t="s">
        <v>1077</v>
      </c>
      <c r="F1616" s="1"/>
      <c r="G1616" s="1"/>
      <c r="H1616" s="1"/>
      <c r="I1616" s="1" t="s">
        <v>1092</v>
      </c>
      <c r="J1616" s="1" t="s">
        <v>564</v>
      </c>
      <c r="K1616" s="1" t="s">
        <v>576</v>
      </c>
      <c r="L1616" s="1" t="s">
        <v>92</v>
      </c>
    </row>
    <row r="1617" spans="1:12" x14ac:dyDescent="0.25">
      <c r="A1617" s="1"/>
      <c r="B1617" s="1"/>
      <c r="C1617" s="1"/>
      <c r="D1617" s="1"/>
      <c r="E1617" s="1" t="s">
        <v>1077</v>
      </c>
      <c r="F1617" s="1"/>
      <c r="G1617" s="1"/>
      <c r="H1617" s="1"/>
      <c r="I1617" s="1" t="s">
        <v>1092</v>
      </c>
      <c r="J1617" s="1" t="s">
        <v>565</v>
      </c>
      <c r="K1617" s="1" t="s">
        <v>577</v>
      </c>
      <c r="L1617" s="1" t="s">
        <v>78</v>
      </c>
    </row>
    <row r="1618" spans="1:12" x14ac:dyDescent="0.25">
      <c r="A1618" s="1"/>
      <c r="B1618" s="1"/>
      <c r="C1618" s="1"/>
      <c r="D1618" s="1"/>
      <c r="E1618" s="1" t="s">
        <v>1077</v>
      </c>
      <c r="F1618" s="1"/>
      <c r="G1618" s="1"/>
      <c r="H1618" s="1"/>
      <c r="I1618" s="1" t="s">
        <v>1092</v>
      </c>
      <c r="J1618" s="1" t="s">
        <v>566</v>
      </c>
      <c r="K1618" s="1" t="s">
        <v>578</v>
      </c>
      <c r="L1618" s="1" t="s">
        <v>78</v>
      </c>
    </row>
    <row r="1619" spans="1:12" x14ac:dyDescent="0.25">
      <c r="A1619" s="1"/>
      <c r="B1619" s="1"/>
      <c r="C1619" s="1"/>
      <c r="D1619" s="1"/>
      <c r="E1619" s="1" t="s">
        <v>1077</v>
      </c>
      <c r="F1619" s="1"/>
      <c r="G1619" s="1"/>
      <c r="H1619" s="1"/>
      <c r="I1619" s="1" t="s">
        <v>1092</v>
      </c>
      <c r="J1619" s="1" t="s">
        <v>33</v>
      </c>
      <c r="K1619" s="1" t="s">
        <v>579</v>
      </c>
      <c r="L1619" s="1" t="s">
        <v>92</v>
      </c>
    </row>
    <row r="1620" spans="1:12" x14ac:dyDescent="0.25">
      <c r="A1620" s="1"/>
      <c r="B1620" s="1"/>
      <c r="C1620" s="1"/>
      <c r="D1620" s="1"/>
      <c r="E1620" s="1" t="s">
        <v>1077</v>
      </c>
      <c r="F1620" s="1"/>
      <c r="G1620" s="1"/>
      <c r="H1620" s="1"/>
      <c r="I1620" s="1" t="s">
        <v>1092</v>
      </c>
      <c r="J1620" s="1" t="s">
        <v>34</v>
      </c>
      <c r="K1620" s="1" t="s">
        <v>580</v>
      </c>
      <c r="L1620" s="1" t="s">
        <v>627</v>
      </c>
    </row>
    <row r="1621" spans="1:12" x14ac:dyDescent="0.25">
      <c r="A1621" s="1"/>
      <c r="B1621" s="1"/>
      <c r="C1621" s="1"/>
      <c r="D1621" s="1"/>
      <c r="E1621" s="1" t="s">
        <v>1077</v>
      </c>
      <c r="F1621" s="1"/>
      <c r="G1621" s="1"/>
      <c r="H1621" s="1"/>
      <c r="I1621" s="1" t="s">
        <v>1092</v>
      </c>
      <c r="J1621" s="1" t="s">
        <v>35</v>
      </c>
      <c r="K1621" s="1" t="s">
        <v>581</v>
      </c>
      <c r="L1621" s="1" t="s">
        <v>627</v>
      </c>
    </row>
    <row r="1622" spans="1:12" x14ac:dyDescent="0.25">
      <c r="A1622" s="1"/>
      <c r="B1622" s="1"/>
      <c r="C1622" s="1"/>
      <c r="D1622" s="1"/>
      <c r="E1622" s="1" t="s">
        <v>1077</v>
      </c>
      <c r="F1622" s="1"/>
      <c r="G1622" s="1"/>
      <c r="H1622" s="1"/>
      <c r="I1622" s="1" t="s">
        <v>1092</v>
      </c>
      <c r="J1622" s="1" t="s">
        <v>36</v>
      </c>
      <c r="K1622" s="1" t="s">
        <v>582</v>
      </c>
      <c r="L1622" s="1" t="s">
        <v>78</v>
      </c>
    </row>
    <row r="1623" spans="1:12" x14ac:dyDescent="0.25">
      <c r="A1623" s="1"/>
      <c r="B1623" s="1"/>
      <c r="C1623" s="1"/>
      <c r="D1623" s="1"/>
      <c r="E1623" s="1" t="s">
        <v>1077</v>
      </c>
      <c r="F1623" s="1"/>
      <c r="G1623" s="1"/>
      <c r="H1623" s="1"/>
      <c r="I1623" s="1" t="s">
        <v>1092</v>
      </c>
      <c r="J1623" s="1" t="s">
        <v>37</v>
      </c>
      <c r="K1623" s="1" t="s">
        <v>583</v>
      </c>
      <c r="L1623" s="1" t="s">
        <v>78</v>
      </c>
    </row>
    <row r="1624" spans="1:12" x14ac:dyDescent="0.25">
      <c r="A1624" s="1"/>
      <c r="B1624" s="1"/>
      <c r="C1624" s="1"/>
      <c r="D1624" s="1"/>
      <c r="E1624" s="1" t="s">
        <v>1077</v>
      </c>
      <c r="F1624" s="1"/>
      <c r="G1624" s="1"/>
      <c r="H1624" s="1"/>
      <c r="I1624" s="1" t="s">
        <v>1092</v>
      </c>
      <c r="J1624" s="1" t="s">
        <v>38</v>
      </c>
      <c r="K1624" s="1" t="s">
        <v>584</v>
      </c>
      <c r="L1624" s="1" t="s">
        <v>627</v>
      </c>
    </row>
    <row r="1625" spans="1:12" x14ac:dyDescent="0.25">
      <c r="A1625" s="1"/>
      <c r="B1625" s="1"/>
      <c r="C1625" s="1"/>
      <c r="D1625" s="1"/>
      <c r="E1625" s="1" t="s">
        <v>1077</v>
      </c>
      <c r="F1625" s="1"/>
      <c r="G1625" s="1"/>
      <c r="H1625" s="1"/>
      <c r="I1625" s="1" t="s">
        <v>1092</v>
      </c>
      <c r="J1625" s="1" t="s">
        <v>39</v>
      </c>
      <c r="K1625" s="1" t="s">
        <v>585</v>
      </c>
      <c r="L1625" s="1" t="s">
        <v>232</v>
      </c>
    </row>
    <row r="1626" spans="1:12" x14ac:dyDescent="0.25">
      <c r="A1626" s="1"/>
      <c r="B1626" s="1"/>
      <c r="C1626" s="1"/>
      <c r="D1626" s="1"/>
      <c r="E1626" s="1" t="s">
        <v>1077</v>
      </c>
      <c r="F1626" s="1"/>
      <c r="G1626" s="1"/>
      <c r="H1626" s="1"/>
      <c r="I1626" s="1" t="s">
        <v>1092</v>
      </c>
      <c r="J1626" s="1" t="s">
        <v>567</v>
      </c>
      <c r="K1626" s="1" t="s">
        <v>586</v>
      </c>
      <c r="L1626" s="1" t="s">
        <v>92</v>
      </c>
    </row>
    <row r="1627" spans="1:12" x14ac:dyDescent="0.25">
      <c r="A1627" s="1"/>
      <c r="B1627" s="1"/>
      <c r="C1627" s="1"/>
      <c r="D1627" s="1"/>
      <c r="E1627" s="1" t="s">
        <v>1077</v>
      </c>
      <c r="F1627" s="1"/>
      <c r="G1627" s="1"/>
      <c r="H1627" s="1"/>
      <c r="I1627" s="1" t="s">
        <v>1092</v>
      </c>
      <c r="J1627" s="1" t="s">
        <v>568</v>
      </c>
      <c r="K1627" s="1" t="s">
        <v>587</v>
      </c>
      <c r="L1627" s="1" t="s">
        <v>78</v>
      </c>
    </row>
    <row r="1628" spans="1:12" x14ac:dyDescent="0.25">
      <c r="A1628" s="1"/>
      <c r="B1628" s="1"/>
      <c r="C1628" s="1"/>
      <c r="D1628" s="1"/>
      <c r="E1628" s="1" t="s">
        <v>1077</v>
      </c>
      <c r="F1628" s="1"/>
      <c r="G1628" s="1"/>
      <c r="H1628" s="1"/>
      <c r="I1628" s="1" t="s">
        <v>1092</v>
      </c>
      <c r="J1628" s="1" t="s">
        <v>40</v>
      </c>
      <c r="K1628" s="1" t="s">
        <v>588</v>
      </c>
      <c r="L1628" s="1" t="s">
        <v>248</v>
      </c>
    </row>
    <row r="1629" spans="1:12" x14ac:dyDescent="0.25">
      <c r="A1629" s="1"/>
      <c r="B1629" s="1"/>
      <c r="C1629" s="1"/>
      <c r="D1629" s="1"/>
      <c r="E1629" s="1" t="s">
        <v>1077</v>
      </c>
      <c r="F1629" s="1"/>
      <c r="G1629" s="1"/>
      <c r="H1629" s="1"/>
      <c r="I1629" s="1" t="s">
        <v>1092</v>
      </c>
      <c r="J1629" s="1" t="s">
        <v>569</v>
      </c>
      <c r="K1629" s="1" t="s">
        <v>589</v>
      </c>
      <c r="L1629" s="1" t="s">
        <v>628</v>
      </c>
    </row>
    <row r="1630" spans="1:12" x14ac:dyDescent="0.25">
      <c r="A1630" s="1"/>
      <c r="B1630" s="1"/>
      <c r="C1630" s="1"/>
      <c r="D1630" s="1"/>
      <c r="E1630" s="1" t="s">
        <v>1077</v>
      </c>
      <c r="F1630" s="1"/>
      <c r="G1630" s="1"/>
      <c r="H1630" s="1"/>
      <c r="I1630" s="1" t="s">
        <v>1092</v>
      </c>
      <c r="J1630" s="1" t="s">
        <v>570</v>
      </c>
      <c r="K1630" s="1" t="s">
        <v>590</v>
      </c>
      <c r="L1630" s="1" t="s">
        <v>95</v>
      </c>
    </row>
    <row r="1631" spans="1:12" x14ac:dyDescent="0.25">
      <c r="A1631" s="1"/>
      <c r="B1631" s="1"/>
      <c r="C1631" s="1"/>
      <c r="D1631" s="1"/>
      <c r="E1631" s="1" t="s">
        <v>1077</v>
      </c>
      <c r="F1631" s="1"/>
      <c r="G1631" s="1"/>
      <c r="H1631" s="1"/>
      <c r="I1631" s="1" t="s">
        <v>1092</v>
      </c>
      <c r="J1631" s="1" t="s">
        <v>571</v>
      </c>
      <c r="K1631" s="1" t="s">
        <v>591</v>
      </c>
      <c r="L1631" s="1" t="s">
        <v>78</v>
      </c>
    </row>
    <row r="1632" spans="1:12" x14ac:dyDescent="0.25">
      <c r="A1632" s="1"/>
      <c r="B1632" s="1"/>
      <c r="C1632" s="1"/>
      <c r="D1632" s="1"/>
      <c r="E1632" s="1" t="s">
        <v>1077</v>
      </c>
      <c r="F1632" s="1"/>
      <c r="G1632" s="1"/>
      <c r="H1632" s="1"/>
      <c r="I1632" s="1" t="s">
        <v>1092</v>
      </c>
      <c r="J1632" s="1" t="s">
        <v>572</v>
      </c>
      <c r="K1632" s="1" t="s">
        <v>592</v>
      </c>
      <c r="L1632" s="1" t="s">
        <v>78</v>
      </c>
    </row>
    <row r="1633" spans="1:12" x14ac:dyDescent="0.25">
      <c r="A1633" s="1"/>
      <c r="B1633" s="1"/>
      <c r="C1633" s="1"/>
      <c r="D1633" s="1"/>
      <c r="E1633" s="1" t="s">
        <v>1077</v>
      </c>
      <c r="F1633" s="1"/>
      <c r="G1633" s="1"/>
      <c r="H1633" s="1"/>
      <c r="I1633" s="1" t="s">
        <v>1092</v>
      </c>
      <c r="J1633" s="1" t="s">
        <v>573</v>
      </c>
      <c r="K1633" s="1" t="s">
        <v>593</v>
      </c>
      <c r="L1633" s="1" t="s">
        <v>232</v>
      </c>
    </row>
    <row r="1634" spans="1:12" x14ac:dyDescent="0.25">
      <c r="A1634" s="1"/>
      <c r="B1634" s="1"/>
      <c r="C1634" s="1"/>
      <c r="D1634" s="1"/>
      <c r="E1634" s="1" t="s">
        <v>1077</v>
      </c>
      <c r="F1634" s="1"/>
      <c r="G1634" s="1"/>
      <c r="H1634" s="1"/>
      <c r="I1634" s="1" t="s">
        <v>1093</v>
      </c>
      <c r="J1634" s="1" t="s">
        <v>174</v>
      </c>
      <c r="K1634" s="1" t="s">
        <v>574</v>
      </c>
      <c r="L1634" s="1" t="s">
        <v>78</v>
      </c>
    </row>
    <row r="1635" spans="1:12" x14ac:dyDescent="0.25">
      <c r="A1635" s="1"/>
      <c r="B1635" s="1"/>
      <c r="C1635" s="1"/>
      <c r="D1635" s="1"/>
      <c r="E1635" s="1" t="s">
        <v>1077</v>
      </c>
      <c r="F1635" s="1"/>
      <c r="G1635" s="1"/>
      <c r="H1635" s="1"/>
      <c r="I1635" s="1" t="s">
        <v>1093</v>
      </c>
      <c r="J1635" s="1" t="s">
        <v>563</v>
      </c>
      <c r="K1635" s="1" t="s">
        <v>575</v>
      </c>
      <c r="L1635" s="1" t="s">
        <v>78</v>
      </c>
    </row>
    <row r="1636" spans="1:12" x14ac:dyDescent="0.25">
      <c r="A1636" s="1"/>
      <c r="B1636" s="1"/>
      <c r="C1636" s="1"/>
      <c r="D1636" s="1"/>
      <c r="E1636" s="1" t="s">
        <v>1077</v>
      </c>
      <c r="F1636" s="1"/>
      <c r="G1636" s="1"/>
      <c r="H1636" s="1"/>
      <c r="I1636" s="1" t="s">
        <v>1093</v>
      </c>
      <c r="J1636" s="1" t="s">
        <v>564</v>
      </c>
      <c r="K1636" s="1" t="s">
        <v>576</v>
      </c>
      <c r="L1636" s="1" t="s">
        <v>92</v>
      </c>
    </row>
    <row r="1637" spans="1:12" x14ac:dyDescent="0.25">
      <c r="A1637" s="1"/>
      <c r="B1637" s="1"/>
      <c r="C1637" s="1"/>
      <c r="D1637" s="1"/>
      <c r="E1637" s="1" t="s">
        <v>1077</v>
      </c>
      <c r="F1637" s="1"/>
      <c r="G1637" s="1"/>
      <c r="H1637" s="1"/>
      <c r="I1637" s="1" t="s">
        <v>1093</v>
      </c>
      <c r="J1637" s="1" t="s">
        <v>565</v>
      </c>
      <c r="K1637" s="1" t="s">
        <v>577</v>
      </c>
      <c r="L1637" s="1" t="s">
        <v>78</v>
      </c>
    </row>
    <row r="1638" spans="1:12" x14ac:dyDescent="0.25">
      <c r="A1638" s="1"/>
      <c r="B1638" s="1"/>
      <c r="C1638" s="1"/>
      <c r="D1638" s="1"/>
      <c r="E1638" s="1" t="s">
        <v>1077</v>
      </c>
      <c r="F1638" s="1"/>
      <c r="G1638" s="1"/>
      <c r="H1638" s="1"/>
      <c r="I1638" s="1" t="s">
        <v>1093</v>
      </c>
      <c r="J1638" s="1" t="s">
        <v>566</v>
      </c>
      <c r="K1638" s="1" t="s">
        <v>578</v>
      </c>
      <c r="L1638" s="1" t="s">
        <v>78</v>
      </c>
    </row>
    <row r="1639" spans="1:12" x14ac:dyDescent="0.25">
      <c r="A1639" s="1"/>
      <c r="B1639" s="1"/>
      <c r="C1639" s="1"/>
      <c r="D1639" s="1"/>
      <c r="E1639" s="1" t="s">
        <v>1077</v>
      </c>
      <c r="F1639" s="1"/>
      <c r="G1639" s="1"/>
      <c r="H1639" s="1"/>
      <c r="I1639" s="1" t="s">
        <v>1093</v>
      </c>
      <c r="J1639" s="1" t="s">
        <v>33</v>
      </c>
      <c r="K1639" s="1" t="s">
        <v>579</v>
      </c>
      <c r="L1639" s="1" t="s">
        <v>92</v>
      </c>
    </row>
    <row r="1640" spans="1:12" x14ac:dyDescent="0.25">
      <c r="A1640" s="1"/>
      <c r="B1640" s="1"/>
      <c r="C1640" s="1"/>
      <c r="D1640" s="1"/>
      <c r="E1640" s="1" t="s">
        <v>1077</v>
      </c>
      <c r="F1640" s="1"/>
      <c r="G1640" s="1"/>
      <c r="H1640" s="1"/>
      <c r="I1640" s="1" t="s">
        <v>1093</v>
      </c>
      <c r="J1640" s="1" t="s">
        <v>34</v>
      </c>
      <c r="K1640" s="1" t="s">
        <v>580</v>
      </c>
      <c r="L1640" s="1" t="s">
        <v>627</v>
      </c>
    </row>
    <row r="1641" spans="1:12" x14ac:dyDescent="0.25">
      <c r="A1641" s="1"/>
      <c r="B1641" s="1"/>
      <c r="C1641" s="1"/>
      <c r="D1641" s="1"/>
      <c r="E1641" s="1" t="s">
        <v>1077</v>
      </c>
      <c r="F1641" s="1"/>
      <c r="G1641" s="1"/>
      <c r="H1641" s="1"/>
      <c r="I1641" s="1" t="s">
        <v>1093</v>
      </c>
      <c r="J1641" s="1" t="s">
        <v>35</v>
      </c>
      <c r="K1641" s="1" t="s">
        <v>581</v>
      </c>
      <c r="L1641" s="1" t="s">
        <v>627</v>
      </c>
    </row>
    <row r="1642" spans="1:12" x14ac:dyDescent="0.25">
      <c r="A1642" s="1"/>
      <c r="B1642" s="1"/>
      <c r="C1642" s="1"/>
      <c r="D1642" s="1"/>
      <c r="E1642" s="1" t="s">
        <v>1077</v>
      </c>
      <c r="F1642" s="1"/>
      <c r="G1642" s="1"/>
      <c r="H1642" s="1"/>
      <c r="I1642" s="1" t="s">
        <v>1093</v>
      </c>
      <c r="J1642" s="1" t="s">
        <v>36</v>
      </c>
      <c r="K1642" s="1" t="s">
        <v>582</v>
      </c>
      <c r="L1642" s="1" t="s">
        <v>78</v>
      </c>
    </row>
    <row r="1643" spans="1:12" x14ac:dyDescent="0.25">
      <c r="A1643" s="1"/>
      <c r="B1643" s="1"/>
      <c r="C1643" s="1"/>
      <c r="D1643" s="1"/>
      <c r="E1643" s="1" t="s">
        <v>1077</v>
      </c>
      <c r="F1643" s="1"/>
      <c r="G1643" s="1"/>
      <c r="H1643" s="1"/>
      <c r="I1643" s="1" t="s">
        <v>1093</v>
      </c>
      <c r="J1643" s="1" t="s">
        <v>37</v>
      </c>
      <c r="K1643" s="1" t="s">
        <v>583</v>
      </c>
      <c r="L1643" s="1" t="s">
        <v>78</v>
      </c>
    </row>
    <row r="1644" spans="1:12" x14ac:dyDescent="0.25">
      <c r="A1644" s="1"/>
      <c r="B1644" s="1"/>
      <c r="C1644" s="1"/>
      <c r="D1644" s="1"/>
      <c r="E1644" s="1" t="s">
        <v>1077</v>
      </c>
      <c r="F1644" s="1"/>
      <c r="G1644" s="1"/>
      <c r="H1644" s="1"/>
      <c r="I1644" s="1" t="s">
        <v>1093</v>
      </c>
      <c r="J1644" s="1" t="s">
        <v>38</v>
      </c>
      <c r="K1644" s="1" t="s">
        <v>584</v>
      </c>
      <c r="L1644" s="1" t="s">
        <v>627</v>
      </c>
    </row>
    <row r="1645" spans="1:12" x14ac:dyDescent="0.25">
      <c r="A1645" s="1"/>
      <c r="B1645" s="1"/>
      <c r="C1645" s="1"/>
      <c r="D1645" s="1"/>
      <c r="E1645" s="1" t="s">
        <v>1077</v>
      </c>
      <c r="F1645" s="1"/>
      <c r="G1645" s="1"/>
      <c r="H1645" s="1"/>
      <c r="I1645" s="1" t="s">
        <v>1093</v>
      </c>
      <c r="J1645" s="1" t="s">
        <v>39</v>
      </c>
      <c r="K1645" s="1" t="s">
        <v>585</v>
      </c>
      <c r="L1645" s="1" t="s">
        <v>95</v>
      </c>
    </row>
    <row r="1646" spans="1:12" x14ac:dyDescent="0.25">
      <c r="A1646" s="1"/>
      <c r="B1646" s="1"/>
      <c r="C1646" s="1"/>
      <c r="D1646" s="1"/>
      <c r="E1646" s="1" t="s">
        <v>1077</v>
      </c>
      <c r="F1646" s="1"/>
      <c r="G1646" s="1"/>
      <c r="H1646" s="1"/>
      <c r="I1646" s="1" t="s">
        <v>1093</v>
      </c>
      <c r="J1646" s="1" t="s">
        <v>567</v>
      </c>
      <c r="K1646" s="1" t="s">
        <v>586</v>
      </c>
      <c r="L1646" s="1" t="s">
        <v>92</v>
      </c>
    </row>
    <row r="1647" spans="1:12" x14ac:dyDescent="0.25">
      <c r="A1647" s="1"/>
      <c r="B1647" s="1"/>
      <c r="C1647" s="1"/>
      <c r="D1647" s="1"/>
      <c r="E1647" s="1" t="s">
        <v>1077</v>
      </c>
      <c r="F1647" s="1"/>
      <c r="G1647" s="1"/>
      <c r="H1647" s="1"/>
      <c r="I1647" s="1" t="s">
        <v>1093</v>
      </c>
      <c r="J1647" s="1" t="s">
        <v>568</v>
      </c>
      <c r="K1647" s="1" t="s">
        <v>587</v>
      </c>
      <c r="L1647" s="1" t="s">
        <v>78</v>
      </c>
    </row>
    <row r="1648" spans="1:12" x14ac:dyDescent="0.25">
      <c r="A1648" s="1"/>
      <c r="B1648" s="1"/>
      <c r="C1648" s="1"/>
      <c r="D1648" s="1"/>
      <c r="E1648" s="1" t="s">
        <v>1077</v>
      </c>
      <c r="F1648" s="1"/>
      <c r="G1648" s="1"/>
      <c r="H1648" s="1"/>
      <c r="I1648" s="1" t="s">
        <v>1093</v>
      </c>
      <c r="J1648" s="1" t="s">
        <v>40</v>
      </c>
      <c r="K1648" s="1" t="s">
        <v>588</v>
      </c>
      <c r="L1648" s="1" t="s">
        <v>248</v>
      </c>
    </row>
    <row r="1649" spans="1:12" x14ac:dyDescent="0.25">
      <c r="A1649" s="1"/>
      <c r="B1649" s="1"/>
      <c r="C1649" s="1"/>
      <c r="D1649" s="1"/>
      <c r="E1649" s="1" t="s">
        <v>1077</v>
      </c>
      <c r="F1649" s="1"/>
      <c r="G1649" s="1"/>
      <c r="H1649" s="1"/>
      <c r="I1649" s="1" t="s">
        <v>1093</v>
      </c>
      <c r="J1649" s="1" t="s">
        <v>569</v>
      </c>
      <c r="K1649" s="1" t="s">
        <v>589</v>
      </c>
      <c r="L1649" s="1" t="s">
        <v>628</v>
      </c>
    </row>
    <row r="1650" spans="1:12" x14ac:dyDescent="0.25">
      <c r="A1650" s="1"/>
      <c r="B1650" s="1"/>
      <c r="C1650" s="1"/>
      <c r="D1650" s="1"/>
      <c r="E1650" s="1" t="s">
        <v>1077</v>
      </c>
      <c r="F1650" s="1"/>
      <c r="G1650" s="1"/>
      <c r="H1650" s="1"/>
      <c r="I1650" s="1" t="s">
        <v>1093</v>
      </c>
      <c r="J1650" s="1" t="s">
        <v>570</v>
      </c>
      <c r="K1650" s="1" t="s">
        <v>590</v>
      </c>
      <c r="L1650" s="1" t="s">
        <v>95</v>
      </c>
    </row>
    <row r="1651" spans="1:12" x14ac:dyDescent="0.25">
      <c r="A1651" s="1"/>
      <c r="B1651" s="1"/>
      <c r="C1651" s="1"/>
      <c r="D1651" s="1"/>
      <c r="E1651" s="1" t="s">
        <v>1077</v>
      </c>
      <c r="F1651" s="1"/>
      <c r="G1651" s="1"/>
      <c r="H1651" s="1"/>
      <c r="I1651" s="1" t="s">
        <v>1093</v>
      </c>
      <c r="J1651" s="1" t="s">
        <v>571</v>
      </c>
      <c r="K1651" s="1" t="s">
        <v>591</v>
      </c>
      <c r="L1651" s="1" t="s">
        <v>78</v>
      </c>
    </row>
    <row r="1652" spans="1:12" x14ac:dyDescent="0.25">
      <c r="A1652" s="1"/>
      <c r="B1652" s="1"/>
      <c r="C1652" s="1"/>
      <c r="D1652" s="1"/>
      <c r="E1652" s="1" t="s">
        <v>1077</v>
      </c>
      <c r="F1652" s="1"/>
      <c r="G1652" s="1"/>
      <c r="H1652" s="1"/>
      <c r="I1652" s="1" t="s">
        <v>1093</v>
      </c>
      <c r="J1652" s="1" t="s">
        <v>572</v>
      </c>
      <c r="K1652" s="1" t="s">
        <v>592</v>
      </c>
      <c r="L1652" s="1" t="s">
        <v>78</v>
      </c>
    </row>
    <row r="1653" spans="1:12" x14ac:dyDescent="0.25">
      <c r="A1653" s="1"/>
      <c r="B1653" s="1"/>
      <c r="C1653" s="1"/>
      <c r="D1653" s="1"/>
      <c r="E1653" s="1" t="s">
        <v>1077</v>
      </c>
      <c r="F1653" s="1"/>
      <c r="G1653" s="1"/>
      <c r="H1653" s="1"/>
      <c r="I1653" s="1" t="s">
        <v>1093</v>
      </c>
      <c r="J1653" s="1" t="s">
        <v>573</v>
      </c>
      <c r="K1653" s="1" t="s">
        <v>593</v>
      </c>
      <c r="L1653" s="1" t="s">
        <v>78</v>
      </c>
    </row>
    <row r="1654" spans="1:12" x14ac:dyDescent="0.25">
      <c r="A1654" s="1"/>
      <c r="B1654" s="1"/>
      <c r="C1654" s="1"/>
      <c r="D1654" s="1"/>
      <c r="E1654" s="1" t="s">
        <v>1077</v>
      </c>
      <c r="F1654" s="1"/>
      <c r="G1654" s="1"/>
      <c r="H1654" s="1"/>
      <c r="I1654" s="1" t="s">
        <v>1094</v>
      </c>
      <c r="J1654" s="1" t="s">
        <v>174</v>
      </c>
      <c r="K1654" s="1" t="s">
        <v>574</v>
      </c>
      <c r="L1654" s="1" t="s">
        <v>78</v>
      </c>
    </row>
    <row r="1655" spans="1:12" x14ac:dyDescent="0.25">
      <c r="A1655" s="1"/>
      <c r="B1655" s="1"/>
      <c r="C1655" s="1"/>
      <c r="D1655" s="1"/>
      <c r="E1655" s="1" t="s">
        <v>1077</v>
      </c>
      <c r="F1655" s="1"/>
      <c r="G1655" s="1"/>
      <c r="H1655" s="1"/>
      <c r="I1655" s="1" t="s">
        <v>1094</v>
      </c>
      <c r="J1655" s="1" t="s">
        <v>563</v>
      </c>
      <c r="K1655" s="1" t="s">
        <v>575</v>
      </c>
      <c r="L1655" s="1" t="s">
        <v>78</v>
      </c>
    </row>
    <row r="1656" spans="1:12" x14ac:dyDescent="0.25">
      <c r="A1656" s="1"/>
      <c r="B1656" s="1"/>
      <c r="C1656" s="1"/>
      <c r="D1656" s="1"/>
      <c r="E1656" s="1" t="s">
        <v>1077</v>
      </c>
      <c r="F1656" s="1"/>
      <c r="G1656" s="1"/>
      <c r="H1656" s="1"/>
      <c r="I1656" s="1" t="s">
        <v>1094</v>
      </c>
      <c r="J1656" s="1" t="s">
        <v>564</v>
      </c>
      <c r="K1656" s="1" t="s">
        <v>576</v>
      </c>
      <c r="L1656" s="1" t="s">
        <v>92</v>
      </c>
    </row>
    <row r="1657" spans="1:12" x14ac:dyDescent="0.25">
      <c r="A1657" s="1"/>
      <c r="B1657" s="1"/>
      <c r="C1657" s="1"/>
      <c r="D1657" s="1"/>
      <c r="E1657" s="1" t="s">
        <v>1077</v>
      </c>
      <c r="F1657" s="1"/>
      <c r="G1657" s="1"/>
      <c r="H1657" s="1"/>
      <c r="I1657" s="1" t="s">
        <v>1094</v>
      </c>
      <c r="J1657" s="1" t="s">
        <v>565</v>
      </c>
      <c r="K1657" s="1" t="s">
        <v>577</v>
      </c>
      <c r="L1657" s="1" t="s">
        <v>78</v>
      </c>
    </row>
    <row r="1658" spans="1:12" x14ac:dyDescent="0.25">
      <c r="A1658" s="1"/>
      <c r="B1658" s="1"/>
      <c r="C1658" s="1"/>
      <c r="D1658" s="1"/>
      <c r="E1658" s="1" t="s">
        <v>1077</v>
      </c>
      <c r="F1658" s="1"/>
      <c r="G1658" s="1"/>
      <c r="H1658" s="1"/>
      <c r="I1658" s="1" t="s">
        <v>1094</v>
      </c>
      <c r="J1658" s="1" t="s">
        <v>566</v>
      </c>
      <c r="K1658" s="1" t="s">
        <v>578</v>
      </c>
      <c r="L1658" s="1" t="s">
        <v>78</v>
      </c>
    </row>
    <row r="1659" spans="1:12" x14ac:dyDescent="0.25">
      <c r="A1659" s="1"/>
      <c r="B1659" s="1"/>
      <c r="C1659" s="1"/>
      <c r="D1659" s="1"/>
      <c r="E1659" s="1" t="s">
        <v>1077</v>
      </c>
      <c r="F1659" s="1"/>
      <c r="G1659" s="1"/>
      <c r="H1659" s="1"/>
      <c r="I1659" s="1" t="s">
        <v>1094</v>
      </c>
      <c r="J1659" s="1" t="s">
        <v>33</v>
      </c>
      <c r="K1659" s="1" t="s">
        <v>579</v>
      </c>
      <c r="L1659" s="1" t="s">
        <v>92</v>
      </c>
    </row>
    <row r="1660" spans="1:12" x14ac:dyDescent="0.25">
      <c r="A1660" s="1"/>
      <c r="B1660" s="1"/>
      <c r="C1660" s="1"/>
      <c r="D1660" s="1"/>
      <c r="E1660" s="1" t="s">
        <v>1077</v>
      </c>
      <c r="F1660" s="1"/>
      <c r="G1660" s="1"/>
      <c r="H1660" s="1"/>
      <c r="I1660" s="1" t="s">
        <v>1094</v>
      </c>
      <c r="J1660" s="1" t="s">
        <v>34</v>
      </c>
      <c r="K1660" s="1" t="s">
        <v>580</v>
      </c>
      <c r="L1660" s="1" t="s">
        <v>627</v>
      </c>
    </row>
    <row r="1661" spans="1:12" x14ac:dyDescent="0.25">
      <c r="A1661" s="1"/>
      <c r="B1661" s="1"/>
      <c r="C1661" s="1"/>
      <c r="D1661" s="1"/>
      <c r="E1661" s="1" t="s">
        <v>1077</v>
      </c>
      <c r="F1661" s="1"/>
      <c r="G1661" s="1"/>
      <c r="H1661" s="1"/>
      <c r="I1661" s="1" t="s">
        <v>1094</v>
      </c>
      <c r="J1661" s="1" t="s">
        <v>35</v>
      </c>
      <c r="K1661" s="1" t="s">
        <v>581</v>
      </c>
      <c r="L1661" s="1" t="s">
        <v>627</v>
      </c>
    </row>
    <row r="1662" spans="1:12" x14ac:dyDescent="0.25">
      <c r="A1662" s="1"/>
      <c r="B1662" s="1"/>
      <c r="C1662" s="1"/>
      <c r="D1662" s="1"/>
      <c r="E1662" s="1" t="s">
        <v>1077</v>
      </c>
      <c r="F1662" s="1"/>
      <c r="G1662" s="1"/>
      <c r="H1662" s="1"/>
      <c r="I1662" s="1" t="s">
        <v>1094</v>
      </c>
      <c r="J1662" s="1" t="s">
        <v>36</v>
      </c>
      <c r="K1662" s="1" t="s">
        <v>582</v>
      </c>
      <c r="L1662" s="1" t="s">
        <v>78</v>
      </c>
    </row>
    <row r="1663" spans="1:12" x14ac:dyDescent="0.25">
      <c r="A1663" s="1"/>
      <c r="B1663" s="1"/>
      <c r="C1663" s="1"/>
      <c r="D1663" s="1"/>
      <c r="E1663" s="1" t="s">
        <v>1077</v>
      </c>
      <c r="F1663" s="1"/>
      <c r="G1663" s="1"/>
      <c r="H1663" s="1"/>
      <c r="I1663" s="1" t="s">
        <v>1094</v>
      </c>
      <c r="J1663" s="1" t="s">
        <v>37</v>
      </c>
      <c r="K1663" s="1" t="s">
        <v>583</v>
      </c>
      <c r="L1663" s="1" t="s">
        <v>78</v>
      </c>
    </row>
    <row r="1664" spans="1:12" x14ac:dyDescent="0.25">
      <c r="A1664" s="1"/>
      <c r="B1664" s="1"/>
      <c r="C1664" s="1"/>
      <c r="D1664" s="1"/>
      <c r="E1664" s="1" t="s">
        <v>1077</v>
      </c>
      <c r="F1664" s="1"/>
      <c r="G1664" s="1"/>
      <c r="H1664" s="1"/>
      <c r="I1664" s="1" t="s">
        <v>1094</v>
      </c>
      <c r="J1664" s="1" t="s">
        <v>38</v>
      </c>
      <c r="K1664" s="1" t="s">
        <v>584</v>
      </c>
      <c r="L1664" s="1" t="s">
        <v>627</v>
      </c>
    </row>
    <row r="1665" spans="1:12" x14ac:dyDescent="0.25">
      <c r="A1665" s="1"/>
      <c r="B1665" s="1"/>
      <c r="C1665" s="1"/>
      <c r="D1665" s="1"/>
      <c r="E1665" s="1" t="s">
        <v>1077</v>
      </c>
      <c r="F1665" s="1"/>
      <c r="G1665" s="1"/>
      <c r="H1665" s="1"/>
      <c r="I1665" s="1" t="s">
        <v>1094</v>
      </c>
      <c r="J1665" s="1" t="s">
        <v>39</v>
      </c>
      <c r="K1665" s="1" t="s">
        <v>585</v>
      </c>
      <c r="L1665" s="1" t="s">
        <v>95</v>
      </c>
    </row>
    <row r="1666" spans="1:12" x14ac:dyDescent="0.25">
      <c r="A1666" s="1"/>
      <c r="B1666" s="1"/>
      <c r="C1666" s="1"/>
      <c r="D1666" s="1"/>
      <c r="E1666" s="1" t="s">
        <v>1077</v>
      </c>
      <c r="F1666" s="1"/>
      <c r="G1666" s="1"/>
      <c r="H1666" s="1"/>
      <c r="I1666" s="1" t="s">
        <v>1094</v>
      </c>
      <c r="J1666" s="1" t="s">
        <v>567</v>
      </c>
      <c r="K1666" s="1" t="s">
        <v>586</v>
      </c>
      <c r="L1666" s="1" t="s">
        <v>92</v>
      </c>
    </row>
    <row r="1667" spans="1:12" x14ac:dyDescent="0.25">
      <c r="A1667" s="1"/>
      <c r="B1667" s="1"/>
      <c r="C1667" s="1"/>
      <c r="D1667" s="1"/>
      <c r="E1667" s="1" t="s">
        <v>1077</v>
      </c>
      <c r="F1667" s="1"/>
      <c r="G1667" s="1"/>
      <c r="H1667" s="1"/>
      <c r="I1667" s="1" t="s">
        <v>1094</v>
      </c>
      <c r="J1667" s="1" t="s">
        <v>568</v>
      </c>
      <c r="K1667" s="1" t="s">
        <v>587</v>
      </c>
      <c r="L1667" s="1" t="s">
        <v>78</v>
      </c>
    </row>
    <row r="1668" spans="1:12" x14ac:dyDescent="0.25">
      <c r="A1668" s="1"/>
      <c r="B1668" s="1"/>
      <c r="C1668" s="1"/>
      <c r="D1668" s="1"/>
      <c r="E1668" s="1" t="s">
        <v>1077</v>
      </c>
      <c r="F1668" s="1"/>
      <c r="G1668" s="1"/>
      <c r="H1668" s="1"/>
      <c r="I1668" s="1" t="s">
        <v>1094</v>
      </c>
      <c r="J1668" s="1" t="s">
        <v>40</v>
      </c>
      <c r="K1668" s="1" t="s">
        <v>588</v>
      </c>
      <c r="L1668" s="1" t="s">
        <v>248</v>
      </c>
    </row>
    <row r="1669" spans="1:12" x14ac:dyDescent="0.25">
      <c r="A1669" s="1"/>
      <c r="B1669" s="1"/>
      <c r="C1669" s="1"/>
      <c r="D1669" s="1"/>
      <c r="E1669" s="1" t="s">
        <v>1077</v>
      </c>
      <c r="F1669" s="1"/>
      <c r="G1669" s="1"/>
      <c r="H1669" s="1"/>
      <c r="I1669" s="1" t="s">
        <v>1094</v>
      </c>
      <c r="J1669" s="1" t="s">
        <v>569</v>
      </c>
      <c r="K1669" s="1" t="s">
        <v>589</v>
      </c>
      <c r="L1669" s="1" t="s">
        <v>628</v>
      </c>
    </row>
    <row r="1670" spans="1:12" x14ac:dyDescent="0.25">
      <c r="A1670" s="1"/>
      <c r="B1670" s="1"/>
      <c r="C1670" s="1"/>
      <c r="D1670" s="1"/>
      <c r="E1670" s="1" t="s">
        <v>1077</v>
      </c>
      <c r="F1670" s="1"/>
      <c r="G1670" s="1"/>
      <c r="H1670" s="1"/>
      <c r="I1670" s="1" t="s">
        <v>1094</v>
      </c>
      <c r="J1670" s="1" t="s">
        <v>570</v>
      </c>
      <c r="K1670" s="1" t="s">
        <v>590</v>
      </c>
      <c r="L1670" s="1" t="s">
        <v>95</v>
      </c>
    </row>
    <row r="1671" spans="1:12" x14ac:dyDescent="0.25">
      <c r="A1671" s="1"/>
      <c r="B1671" s="1"/>
      <c r="C1671" s="1"/>
      <c r="D1671" s="1"/>
      <c r="E1671" s="1" t="s">
        <v>1077</v>
      </c>
      <c r="F1671" s="1"/>
      <c r="G1671" s="1"/>
      <c r="H1671" s="1"/>
      <c r="I1671" s="1" t="s">
        <v>1094</v>
      </c>
      <c r="J1671" s="1" t="s">
        <v>571</v>
      </c>
      <c r="K1671" s="1" t="s">
        <v>591</v>
      </c>
      <c r="L1671" s="1" t="s">
        <v>78</v>
      </c>
    </row>
    <row r="1672" spans="1:12" x14ac:dyDescent="0.25">
      <c r="A1672" s="1"/>
      <c r="B1672" s="1"/>
      <c r="C1672" s="1"/>
      <c r="D1672" s="1"/>
      <c r="E1672" s="1" t="s">
        <v>1077</v>
      </c>
      <c r="F1672" s="1"/>
      <c r="G1672" s="1"/>
      <c r="H1672" s="1"/>
      <c r="I1672" s="1" t="s">
        <v>1094</v>
      </c>
      <c r="J1672" s="1" t="s">
        <v>572</v>
      </c>
      <c r="K1672" s="1" t="s">
        <v>592</v>
      </c>
      <c r="L1672" s="1" t="s">
        <v>78</v>
      </c>
    </row>
    <row r="1673" spans="1:12" x14ac:dyDescent="0.25">
      <c r="A1673" s="1"/>
      <c r="B1673" s="1"/>
      <c r="C1673" s="1"/>
      <c r="D1673" s="1"/>
      <c r="E1673" s="1" t="s">
        <v>1077</v>
      </c>
      <c r="F1673" s="1"/>
      <c r="G1673" s="1"/>
      <c r="H1673" s="1"/>
      <c r="I1673" s="1" t="s">
        <v>1094</v>
      </c>
      <c r="J1673" s="1" t="s">
        <v>573</v>
      </c>
      <c r="K1673" s="1" t="s">
        <v>593</v>
      </c>
      <c r="L1673" s="1" t="s">
        <v>78</v>
      </c>
    </row>
    <row r="1674" spans="1:12" x14ac:dyDescent="0.25">
      <c r="A1674" s="1"/>
      <c r="B1674" s="1"/>
      <c r="C1674" s="1"/>
      <c r="D1674" s="1"/>
      <c r="E1674" s="1" t="s">
        <v>1077</v>
      </c>
      <c r="F1674" s="1"/>
      <c r="G1674" s="1"/>
      <c r="H1674" s="1"/>
      <c r="I1674" s="1" t="s">
        <v>1095</v>
      </c>
      <c r="J1674" s="1" t="s">
        <v>174</v>
      </c>
      <c r="K1674" s="1" t="s">
        <v>574</v>
      </c>
      <c r="L1674" s="1" t="s">
        <v>78</v>
      </c>
    </row>
    <row r="1675" spans="1:12" x14ac:dyDescent="0.25">
      <c r="A1675" s="1"/>
      <c r="B1675" s="1"/>
      <c r="C1675" s="1"/>
      <c r="D1675" s="1"/>
      <c r="E1675" s="1" t="s">
        <v>1077</v>
      </c>
      <c r="F1675" s="1"/>
      <c r="G1675" s="1"/>
      <c r="H1675" s="1"/>
      <c r="I1675" s="1" t="s">
        <v>1095</v>
      </c>
      <c r="J1675" s="1" t="s">
        <v>563</v>
      </c>
      <c r="K1675" s="1" t="s">
        <v>575</v>
      </c>
      <c r="L1675" s="1" t="s">
        <v>78</v>
      </c>
    </row>
    <row r="1676" spans="1:12" x14ac:dyDescent="0.25">
      <c r="A1676" s="1"/>
      <c r="B1676" s="1"/>
      <c r="C1676" s="1"/>
      <c r="D1676" s="1"/>
      <c r="E1676" s="1" t="s">
        <v>1077</v>
      </c>
      <c r="F1676" s="1"/>
      <c r="G1676" s="1"/>
      <c r="H1676" s="1"/>
      <c r="I1676" s="1" t="s">
        <v>1095</v>
      </c>
      <c r="J1676" s="1" t="s">
        <v>564</v>
      </c>
      <c r="K1676" s="1" t="s">
        <v>576</v>
      </c>
      <c r="L1676" s="1" t="s">
        <v>92</v>
      </c>
    </row>
    <row r="1677" spans="1:12" x14ac:dyDescent="0.25">
      <c r="A1677" s="1"/>
      <c r="B1677" s="1"/>
      <c r="C1677" s="1"/>
      <c r="D1677" s="1"/>
      <c r="E1677" s="1" t="s">
        <v>1077</v>
      </c>
      <c r="F1677" s="1"/>
      <c r="G1677" s="1"/>
      <c r="H1677" s="1"/>
      <c r="I1677" s="1" t="s">
        <v>1095</v>
      </c>
      <c r="J1677" s="1" t="s">
        <v>565</v>
      </c>
      <c r="K1677" s="1" t="s">
        <v>577</v>
      </c>
      <c r="L1677" s="1" t="s">
        <v>78</v>
      </c>
    </row>
    <row r="1678" spans="1:12" x14ac:dyDescent="0.25">
      <c r="A1678" s="1"/>
      <c r="B1678" s="1"/>
      <c r="C1678" s="1"/>
      <c r="D1678" s="1"/>
      <c r="E1678" s="1" t="s">
        <v>1077</v>
      </c>
      <c r="F1678" s="1"/>
      <c r="G1678" s="1"/>
      <c r="H1678" s="1"/>
      <c r="I1678" s="1" t="s">
        <v>1095</v>
      </c>
      <c r="J1678" s="1" t="s">
        <v>566</v>
      </c>
      <c r="K1678" s="1" t="s">
        <v>578</v>
      </c>
      <c r="L1678" s="1" t="s">
        <v>78</v>
      </c>
    </row>
    <row r="1679" spans="1:12" x14ac:dyDescent="0.25">
      <c r="A1679" s="1"/>
      <c r="B1679" s="1"/>
      <c r="C1679" s="1"/>
      <c r="D1679" s="1"/>
      <c r="E1679" s="1" t="s">
        <v>1077</v>
      </c>
      <c r="F1679" s="1"/>
      <c r="G1679" s="1"/>
      <c r="H1679" s="1"/>
      <c r="I1679" s="1" t="s">
        <v>1095</v>
      </c>
      <c r="J1679" s="1" t="s">
        <v>33</v>
      </c>
      <c r="K1679" s="1" t="s">
        <v>579</v>
      </c>
      <c r="L1679" s="1" t="s">
        <v>92</v>
      </c>
    </row>
    <row r="1680" spans="1:12" x14ac:dyDescent="0.25">
      <c r="A1680" s="1"/>
      <c r="B1680" s="1"/>
      <c r="C1680" s="1"/>
      <c r="D1680" s="1"/>
      <c r="E1680" s="1" t="s">
        <v>1077</v>
      </c>
      <c r="F1680" s="1"/>
      <c r="G1680" s="1"/>
      <c r="H1680" s="1"/>
      <c r="I1680" s="1" t="s">
        <v>1095</v>
      </c>
      <c r="J1680" s="1" t="s">
        <v>34</v>
      </c>
      <c r="K1680" s="1" t="s">
        <v>580</v>
      </c>
      <c r="L1680" s="1" t="s">
        <v>627</v>
      </c>
    </row>
    <row r="1681" spans="1:12" x14ac:dyDescent="0.25">
      <c r="A1681" s="1"/>
      <c r="B1681" s="1"/>
      <c r="C1681" s="1"/>
      <c r="D1681" s="1"/>
      <c r="E1681" s="1" t="s">
        <v>1077</v>
      </c>
      <c r="F1681" s="1"/>
      <c r="G1681" s="1"/>
      <c r="H1681" s="1"/>
      <c r="I1681" s="1" t="s">
        <v>1095</v>
      </c>
      <c r="J1681" s="1" t="s">
        <v>35</v>
      </c>
      <c r="K1681" s="1" t="s">
        <v>581</v>
      </c>
      <c r="L1681" s="1" t="s">
        <v>627</v>
      </c>
    </row>
    <row r="1682" spans="1:12" x14ac:dyDescent="0.25">
      <c r="A1682" s="1"/>
      <c r="B1682" s="1"/>
      <c r="C1682" s="1"/>
      <c r="D1682" s="1"/>
      <c r="E1682" s="1" t="s">
        <v>1077</v>
      </c>
      <c r="F1682" s="1"/>
      <c r="G1682" s="1"/>
      <c r="H1682" s="1"/>
      <c r="I1682" s="1" t="s">
        <v>1095</v>
      </c>
      <c r="J1682" s="1" t="s">
        <v>36</v>
      </c>
      <c r="K1682" s="1" t="s">
        <v>582</v>
      </c>
      <c r="L1682" s="1" t="s">
        <v>78</v>
      </c>
    </row>
    <row r="1683" spans="1:12" x14ac:dyDescent="0.25">
      <c r="A1683" s="1"/>
      <c r="B1683" s="1"/>
      <c r="C1683" s="1"/>
      <c r="D1683" s="1"/>
      <c r="E1683" s="1" t="s">
        <v>1077</v>
      </c>
      <c r="F1683" s="1"/>
      <c r="G1683" s="1"/>
      <c r="H1683" s="1"/>
      <c r="I1683" s="1" t="s">
        <v>1095</v>
      </c>
      <c r="J1683" s="1" t="s">
        <v>37</v>
      </c>
      <c r="K1683" s="1" t="s">
        <v>583</v>
      </c>
      <c r="L1683" s="1" t="s">
        <v>78</v>
      </c>
    </row>
    <row r="1684" spans="1:12" x14ac:dyDescent="0.25">
      <c r="A1684" s="1"/>
      <c r="B1684" s="1"/>
      <c r="C1684" s="1"/>
      <c r="D1684" s="1"/>
      <c r="E1684" s="1" t="s">
        <v>1077</v>
      </c>
      <c r="F1684" s="1"/>
      <c r="G1684" s="1"/>
      <c r="H1684" s="1"/>
      <c r="I1684" s="1" t="s">
        <v>1095</v>
      </c>
      <c r="J1684" s="1" t="s">
        <v>38</v>
      </c>
      <c r="K1684" s="1" t="s">
        <v>584</v>
      </c>
      <c r="L1684" s="1" t="s">
        <v>627</v>
      </c>
    </row>
    <row r="1685" spans="1:12" x14ac:dyDescent="0.25">
      <c r="A1685" s="1"/>
      <c r="B1685" s="1"/>
      <c r="C1685" s="1"/>
      <c r="D1685" s="1"/>
      <c r="E1685" s="1" t="s">
        <v>1077</v>
      </c>
      <c r="F1685" s="1"/>
      <c r="G1685" s="1"/>
      <c r="H1685" s="1"/>
      <c r="I1685" s="1" t="s">
        <v>1095</v>
      </c>
      <c r="J1685" s="1" t="s">
        <v>39</v>
      </c>
      <c r="K1685" s="1" t="s">
        <v>585</v>
      </c>
      <c r="L1685" s="1" t="s">
        <v>95</v>
      </c>
    </row>
    <row r="1686" spans="1:12" x14ac:dyDescent="0.25">
      <c r="A1686" s="1"/>
      <c r="B1686" s="1"/>
      <c r="C1686" s="1"/>
      <c r="D1686" s="1"/>
      <c r="E1686" s="1" t="s">
        <v>1077</v>
      </c>
      <c r="F1686" s="1"/>
      <c r="G1686" s="1"/>
      <c r="H1686" s="1"/>
      <c r="I1686" s="1" t="s">
        <v>1095</v>
      </c>
      <c r="J1686" s="1" t="s">
        <v>567</v>
      </c>
      <c r="K1686" s="1" t="s">
        <v>586</v>
      </c>
      <c r="L1686" s="1" t="s">
        <v>92</v>
      </c>
    </row>
    <row r="1687" spans="1:12" x14ac:dyDescent="0.25">
      <c r="A1687" s="1"/>
      <c r="B1687" s="1"/>
      <c r="C1687" s="1"/>
      <c r="D1687" s="1"/>
      <c r="E1687" s="1" t="s">
        <v>1077</v>
      </c>
      <c r="F1687" s="1"/>
      <c r="G1687" s="1"/>
      <c r="H1687" s="1"/>
      <c r="I1687" s="1" t="s">
        <v>1095</v>
      </c>
      <c r="J1687" s="1" t="s">
        <v>568</v>
      </c>
      <c r="K1687" s="1" t="s">
        <v>587</v>
      </c>
      <c r="L1687" s="1" t="s">
        <v>78</v>
      </c>
    </row>
    <row r="1688" spans="1:12" x14ac:dyDescent="0.25">
      <c r="A1688" s="1"/>
      <c r="B1688" s="1"/>
      <c r="C1688" s="1"/>
      <c r="D1688" s="1"/>
      <c r="E1688" s="1" t="s">
        <v>1077</v>
      </c>
      <c r="F1688" s="1"/>
      <c r="G1688" s="1"/>
      <c r="H1688" s="1"/>
      <c r="I1688" s="1" t="s">
        <v>1095</v>
      </c>
      <c r="J1688" s="1" t="s">
        <v>40</v>
      </c>
      <c r="K1688" s="1" t="s">
        <v>588</v>
      </c>
      <c r="L1688" s="1" t="s">
        <v>248</v>
      </c>
    </row>
    <row r="1689" spans="1:12" x14ac:dyDescent="0.25">
      <c r="A1689" s="1"/>
      <c r="B1689" s="1"/>
      <c r="C1689" s="1"/>
      <c r="D1689" s="1"/>
      <c r="E1689" s="1" t="s">
        <v>1077</v>
      </c>
      <c r="F1689" s="1"/>
      <c r="G1689" s="1"/>
      <c r="H1689" s="1"/>
      <c r="I1689" s="1" t="s">
        <v>1095</v>
      </c>
      <c r="J1689" s="1" t="s">
        <v>569</v>
      </c>
      <c r="K1689" s="1" t="s">
        <v>589</v>
      </c>
      <c r="L1689" s="1" t="s">
        <v>628</v>
      </c>
    </row>
    <row r="1690" spans="1:12" x14ac:dyDescent="0.25">
      <c r="A1690" s="1"/>
      <c r="B1690" s="1"/>
      <c r="C1690" s="1"/>
      <c r="D1690" s="1"/>
      <c r="E1690" s="1" t="s">
        <v>1077</v>
      </c>
      <c r="F1690" s="1"/>
      <c r="G1690" s="1"/>
      <c r="H1690" s="1"/>
      <c r="I1690" s="1" t="s">
        <v>1095</v>
      </c>
      <c r="J1690" s="1" t="s">
        <v>570</v>
      </c>
      <c r="K1690" s="1" t="s">
        <v>590</v>
      </c>
      <c r="L1690" s="1" t="s">
        <v>95</v>
      </c>
    </row>
    <row r="1691" spans="1:12" x14ac:dyDescent="0.25">
      <c r="A1691" s="1"/>
      <c r="B1691" s="1"/>
      <c r="C1691" s="1"/>
      <c r="D1691" s="1"/>
      <c r="E1691" s="1" t="s">
        <v>1077</v>
      </c>
      <c r="F1691" s="1"/>
      <c r="G1691" s="1"/>
      <c r="H1691" s="1"/>
      <c r="I1691" s="1" t="s">
        <v>1095</v>
      </c>
      <c r="J1691" s="1" t="s">
        <v>571</v>
      </c>
      <c r="K1691" s="1" t="s">
        <v>591</v>
      </c>
      <c r="L1691" s="1" t="s">
        <v>78</v>
      </c>
    </row>
    <row r="1692" spans="1:12" x14ac:dyDescent="0.25">
      <c r="A1692" s="1"/>
      <c r="B1692" s="1"/>
      <c r="C1692" s="1"/>
      <c r="D1692" s="1"/>
      <c r="E1692" s="1" t="s">
        <v>1077</v>
      </c>
      <c r="F1692" s="1"/>
      <c r="G1692" s="1"/>
      <c r="H1692" s="1"/>
      <c r="I1692" s="1" t="s">
        <v>1095</v>
      </c>
      <c r="J1692" s="1" t="s">
        <v>572</v>
      </c>
      <c r="K1692" s="1" t="s">
        <v>592</v>
      </c>
      <c r="L1692" s="1" t="s">
        <v>78</v>
      </c>
    </row>
    <row r="1693" spans="1:12" x14ac:dyDescent="0.25">
      <c r="A1693" s="1"/>
      <c r="B1693" s="1"/>
      <c r="C1693" s="1"/>
      <c r="D1693" s="1"/>
      <c r="E1693" s="1" t="s">
        <v>1077</v>
      </c>
      <c r="F1693" s="1"/>
      <c r="G1693" s="1"/>
      <c r="H1693" s="1"/>
      <c r="I1693" s="1" t="s">
        <v>1095</v>
      </c>
      <c r="J1693" s="1" t="s">
        <v>573</v>
      </c>
      <c r="K1693" s="1" t="s">
        <v>593</v>
      </c>
      <c r="L1693" s="1" t="s">
        <v>78</v>
      </c>
    </row>
    <row r="1694" spans="1:12" x14ac:dyDescent="0.25">
      <c r="A1694" s="1"/>
      <c r="B1694" s="1"/>
      <c r="C1694" s="1"/>
      <c r="D1694" s="1"/>
      <c r="E1694" s="1" t="s">
        <v>1077</v>
      </c>
      <c r="F1694" s="1"/>
      <c r="G1694" s="1"/>
      <c r="H1694" s="1"/>
      <c r="I1694" s="1" t="s">
        <v>1096</v>
      </c>
      <c r="J1694" s="1" t="s">
        <v>174</v>
      </c>
      <c r="K1694" s="1" t="s">
        <v>574</v>
      </c>
      <c r="L1694" s="1" t="s">
        <v>78</v>
      </c>
    </row>
    <row r="1695" spans="1:12" x14ac:dyDescent="0.25">
      <c r="A1695" s="1"/>
      <c r="B1695" s="1"/>
      <c r="C1695" s="1"/>
      <c r="D1695" s="1"/>
      <c r="E1695" s="1" t="s">
        <v>1077</v>
      </c>
      <c r="F1695" s="1"/>
      <c r="G1695" s="1"/>
      <c r="H1695" s="1"/>
      <c r="I1695" s="1" t="s">
        <v>1096</v>
      </c>
      <c r="J1695" s="1" t="s">
        <v>563</v>
      </c>
      <c r="K1695" s="1" t="s">
        <v>575</v>
      </c>
      <c r="L1695" s="1" t="s">
        <v>78</v>
      </c>
    </row>
    <row r="1696" spans="1:12" x14ac:dyDescent="0.25">
      <c r="A1696" s="1"/>
      <c r="B1696" s="1"/>
      <c r="C1696" s="1"/>
      <c r="D1696" s="1"/>
      <c r="E1696" s="1" t="s">
        <v>1077</v>
      </c>
      <c r="F1696" s="1"/>
      <c r="G1696" s="1"/>
      <c r="H1696" s="1"/>
      <c r="I1696" s="1" t="s">
        <v>1096</v>
      </c>
      <c r="J1696" s="1" t="s">
        <v>564</v>
      </c>
      <c r="K1696" s="1" t="s">
        <v>576</v>
      </c>
      <c r="L1696" s="1" t="s">
        <v>92</v>
      </c>
    </row>
    <row r="1697" spans="1:12" x14ac:dyDescent="0.25">
      <c r="A1697" s="1"/>
      <c r="B1697" s="1"/>
      <c r="C1697" s="1"/>
      <c r="D1697" s="1"/>
      <c r="E1697" s="1" t="s">
        <v>1077</v>
      </c>
      <c r="F1697" s="1"/>
      <c r="G1697" s="1"/>
      <c r="H1697" s="1"/>
      <c r="I1697" s="1" t="s">
        <v>1096</v>
      </c>
      <c r="J1697" s="1" t="s">
        <v>565</v>
      </c>
      <c r="K1697" s="1" t="s">
        <v>577</v>
      </c>
      <c r="L1697" s="1" t="s">
        <v>78</v>
      </c>
    </row>
    <row r="1698" spans="1:12" x14ac:dyDescent="0.25">
      <c r="A1698" s="1"/>
      <c r="B1698" s="1"/>
      <c r="C1698" s="1"/>
      <c r="D1698" s="1"/>
      <c r="E1698" s="1" t="s">
        <v>1077</v>
      </c>
      <c r="F1698" s="1"/>
      <c r="G1698" s="1"/>
      <c r="H1698" s="1"/>
      <c r="I1698" s="1" t="s">
        <v>1096</v>
      </c>
      <c r="J1698" s="1" t="s">
        <v>566</v>
      </c>
      <c r="K1698" s="1" t="s">
        <v>578</v>
      </c>
      <c r="L1698" s="1" t="s">
        <v>78</v>
      </c>
    </row>
    <row r="1699" spans="1:12" x14ac:dyDescent="0.25">
      <c r="A1699" s="1"/>
      <c r="B1699" s="1"/>
      <c r="C1699" s="1"/>
      <c r="D1699" s="1"/>
      <c r="E1699" s="1" t="s">
        <v>1077</v>
      </c>
      <c r="F1699" s="1"/>
      <c r="G1699" s="1"/>
      <c r="H1699" s="1"/>
      <c r="I1699" s="1" t="s">
        <v>1096</v>
      </c>
      <c r="J1699" s="1" t="s">
        <v>33</v>
      </c>
      <c r="K1699" s="1" t="s">
        <v>579</v>
      </c>
      <c r="L1699" s="1" t="s">
        <v>92</v>
      </c>
    </row>
    <row r="1700" spans="1:12" x14ac:dyDescent="0.25">
      <c r="A1700" s="1"/>
      <c r="B1700" s="1"/>
      <c r="C1700" s="1"/>
      <c r="D1700" s="1"/>
      <c r="E1700" s="1" t="s">
        <v>1077</v>
      </c>
      <c r="F1700" s="1"/>
      <c r="G1700" s="1"/>
      <c r="H1700" s="1"/>
      <c r="I1700" s="1" t="s">
        <v>1096</v>
      </c>
      <c r="J1700" s="1" t="s">
        <v>34</v>
      </c>
      <c r="K1700" s="1" t="s">
        <v>580</v>
      </c>
      <c r="L1700" s="1" t="s">
        <v>627</v>
      </c>
    </row>
    <row r="1701" spans="1:12" x14ac:dyDescent="0.25">
      <c r="A1701" s="1"/>
      <c r="B1701" s="1"/>
      <c r="C1701" s="1"/>
      <c r="D1701" s="1"/>
      <c r="E1701" s="1" t="s">
        <v>1077</v>
      </c>
      <c r="F1701" s="1"/>
      <c r="G1701" s="1"/>
      <c r="H1701" s="1"/>
      <c r="I1701" s="1" t="s">
        <v>1096</v>
      </c>
      <c r="J1701" s="1" t="s">
        <v>35</v>
      </c>
      <c r="K1701" s="1" t="s">
        <v>581</v>
      </c>
      <c r="L1701" s="1" t="s">
        <v>627</v>
      </c>
    </row>
    <row r="1702" spans="1:12" x14ac:dyDescent="0.25">
      <c r="A1702" s="1"/>
      <c r="B1702" s="1"/>
      <c r="C1702" s="1"/>
      <c r="D1702" s="1"/>
      <c r="E1702" s="1" t="s">
        <v>1077</v>
      </c>
      <c r="F1702" s="1"/>
      <c r="G1702" s="1"/>
      <c r="H1702" s="1"/>
      <c r="I1702" s="1" t="s">
        <v>1096</v>
      </c>
      <c r="J1702" s="1" t="s">
        <v>36</v>
      </c>
      <c r="K1702" s="1" t="s">
        <v>582</v>
      </c>
      <c r="L1702" s="1" t="s">
        <v>78</v>
      </c>
    </row>
    <row r="1703" spans="1:12" x14ac:dyDescent="0.25">
      <c r="A1703" s="1"/>
      <c r="B1703" s="1"/>
      <c r="C1703" s="1"/>
      <c r="D1703" s="1"/>
      <c r="E1703" s="1" t="s">
        <v>1077</v>
      </c>
      <c r="F1703" s="1"/>
      <c r="G1703" s="1"/>
      <c r="H1703" s="1"/>
      <c r="I1703" s="1" t="s">
        <v>1096</v>
      </c>
      <c r="J1703" s="1" t="s">
        <v>37</v>
      </c>
      <c r="K1703" s="1" t="s">
        <v>583</v>
      </c>
      <c r="L1703" s="1" t="s">
        <v>78</v>
      </c>
    </row>
    <row r="1704" spans="1:12" x14ac:dyDescent="0.25">
      <c r="A1704" s="1"/>
      <c r="B1704" s="1"/>
      <c r="C1704" s="1"/>
      <c r="D1704" s="1"/>
      <c r="E1704" s="1" t="s">
        <v>1077</v>
      </c>
      <c r="F1704" s="1"/>
      <c r="G1704" s="1"/>
      <c r="H1704" s="1"/>
      <c r="I1704" s="1" t="s">
        <v>1096</v>
      </c>
      <c r="J1704" s="1" t="s">
        <v>38</v>
      </c>
      <c r="K1704" s="1" t="s">
        <v>584</v>
      </c>
      <c r="L1704" s="1" t="s">
        <v>627</v>
      </c>
    </row>
    <row r="1705" spans="1:12" x14ac:dyDescent="0.25">
      <c r="A1705" s="1"/>
      <c r="B1705" s="1"/>
      <c r="C1705" s="1"/>
      <c r="D1705" s="1"/>
      <c r="E1705" s="1" t="s">
        <v>1077</v>
      </c>
      <c r="F1705" s="1"/>
      <c r="G1705" s="1"/>
      <c r="H1705" s="1"/>
      <c r="I1705" s="1" t="s">
        <v>1096</v>
      </c>
      <c r="J1705" s="1" t="s">
        <v>39</v>
      </c>
      <c r="K1705" s="1" t="s">
        <v>585</v>
      </c>
      <c r="L1705" s="1" t="s">
        <v>95</v>
      </c>
    </row>
    <row r="1706" spans="1:12" x14ac:dyDescent="0.25">
      <c r="A1706" s="1"/>
      <c r="B1706" s="1"/>
      <c r="C1706" s="1"/>
      <c r="D1706" s="1"/>
      <c r="E1706" s="1" t="s">
        <v>1077</v>
      </c>
      <c r="F1706" s="1"/>
      <c r="G1706" s="1"/>
      <c r="H1706" s="1"/>
      <c r="I1706" s="1" t="s">
        <v>1096</v>
      </c>
      <c r="J1706" s="1" t="s">
        <v>567</v>
      </c>
      <c r="K1706" s="1" t="s">
        <v>586</v>
      </c>
      <c r="L1706" s="1" t="s">
        <v>92</v>
      </c>
    </row>
    <row r="1707" spans="1:12" x14ac:dyDescent="0.25">
      <c r="A1707" s="1"/>
      <c r="B1707" s="1"/>
      <c r="C1707" s="1"/>
      <c r="D1707" s="1"/>
      <c r="E1707" s="1" t="s">
        <v>1077</v>
      </c>
      <c r="F1707" s="1"/>
      <c r="G1707" s="1"/>
      <c r="H1707" s="1"/>
      <c r="I1707" s="1" t="s">
        <v>1096</v>
      </c>
      <c r="J1707" s="1" t="s">
        <v>568</v>
      </c>
      <c r="K1707" s="1" t="s">
        <v>587</v>
      </c>
      <c r="L1707" s="1" t="s">
        <v>78</v>
      </c>
    </row>
    <row r="1708" spans="1:12" x14ac:dyDescent="0.25">
      <c r="A1708" s="1"/>
      <c r="B1708" s="1"/>
      <c r="C1708" s="1"/>
      <c r="D1708" s="1"/>
      <c r="E1708" s="1" t="s">
        <v>1077</v>
      </c>
      <c r="F1708" s="1"/>
      <c r="G1708" s="1"/>
      <c r="H1708" s="1"/>
      <c r="I1708" s="1" t="s">
        <v>1096</v>
      </c>
      <c r="J1708" s="1" t="s">
        <v>40</v>
      </c>
      <c r="K1708" s="1" t="s">
        <v>588</v>
      </c>
      <c r="L1708" s="1" t="s">
        <v>248</v>
      </c>
    </row>
    <row r="1709" spans="1:12" x14ac:dyDescent="0.25">
      <c r="A1709" s="1"/>
      <c r="B1709" s="1"/>
      <c r="C1709" s="1"/>
      <c r="D1709" s="1"/>
      <c r="E1709" s="1" t="s">
        <v>1077</v>
      </c>
      <c r="F1709" s="1"/>
      <c r="G1709" s="1"/>
      <c r="H1709" s="1"/>
      <c r="I1709" s="1" t="s">
        <v>1096</v>
      </c>
      <c r="J1709" s="1" t="s">
        <v>569</v>
      </c>
      <c r="K1709" s="1" t="s">
        <v>589</v>
      </c>
      <c r="L1709" s="1" t="s">
        <v>628</v>
      </c>
    </row>
    <row r="1710" spans="1:12" x14ac:dyDescent="0.25">
      <c r="A1710" s="1"/>
      <c r="B1710" s="1"/>
      <c r="C1710" s="1"/>
      <c r="D1710" s="1"/>
      <c r="E1710" s="1" t="s">
        <v>1077</v>
      </c>
      <c r="F1710" s="1"/>
      <c r="G1710" s="1"/>
      <c r="H1710" s="1"/>
      <c r="I1710" s="1" t="s">
        <v>1096</v>
      </c>
      <c r="J1710" s="1" t="s">
        <v>570</v>
      </c>
      <c r="K1710" s="1" t="s">
        <v>590</v>
      </c>
      <c r="L1710" s="1" t="s">
        <v>95</v>
      </c>
    </row>
    <row r="1711" spans="1:12" x14ac:dyDescent="0.25">
      <c r="A1711" s="1"/>
      <c r="B1711" s="1"/>
      <c r="C1711" s="1"/>
      <c r="D1711" s="1"/>
      <c r="E1711" s="1" t="s">
        <v>1077</v>
      </c>
      <c r="F1711" s="1"/>
      <c r="G1711" s="1"/>
      <c r="H1711" s="1"/>
      <c r="I1711" s="1" t="s">
        <v>1096</v>
      </c>
      <c r="J1711" s="1" t="s">
        <v>571</v>
      </c>
      <c r="K1711" s="1" t="s">
        <v>591</v>
      </c>
      <c r="L1711" s="1" t="s">
        <v>78</v>
      </c>
    </row>
    <row r="1712" spans="1:12" x14ac:dyDescent="0.25">
      <c r="A1712" s="1"/>
      <c r="B1712" s="1"/>
      <c r="C1712" s="1"/>
      <c r="D1712" s="1"/>
      <c r="E1712" s="1" t="s">
        <v>1077</v>
      </c>
      <c r="F1712" s="1"/>
      <c r="G1712" s="1"/>
      <c r="H1712" s="1"/>
      <c r="I1712" s="1" t="s">
        <v>1096</v>
      </c>
      <c r="J1712" s="1" t="s">
        <v>572</v>
      </c>
      <c r="K1712" s="1" t="s">
        <v>592</v>
      </c>
      <c r="L1712" s="1" t="s">
        <v>78</v>
      </c>
    </row>
    <row r="1713" spans="1:12" x14ac:dyDescent="0.25">
      <c r="A1713" s="1"/>
      <c r="B1713" s="1"/>
      <c r="C1713" s="1"/>
      <c r="D1713" s="1"/>
      <c r="E1713" s="1" t="s">
        <v>1077</v>
      </c>
      <c r="F1713" s="1"/>
      <c r="G1713" s="1"/>
      <c r="H1713" s="1"/>
      <c r="I1713" s="1" t="s">
        <v>1096</v>
      </c>
      <c r="J1713" s="1" t="s">
        <v>573</v>
      </c>
      <c r="K1713" s="1" t="s">
        <v>593</v>
      </c>
      <c r="L1713" s="1" t="s">
        <v>78</v>
      </c>
    </row>
    <row r="1714" spans="1:12" x14ac:dyDescent="0.25">
      <c r="A1714" s="1" t="s">
        <v>491</v>
      </c>
      <c r="B1714" s="1" t="s">
        <v>174</v>
      </c>
      <c r="C1714" s="1" t="s">
        <v>574</v>
      </c>
      <c r="D1714" s="1" t="s">
        <v>78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 t="s">
        <v>491</v>
      </c>
      <c r="B1715" s="1" t="s">
        <v>563</v>
      </c>
      <c r="C1715" s="1" t="s">
        <v>575</v>
      </c>
      <c r="D1715" s="1" t="s">
        <v>78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 t="s">
        <v>491</v>
      </c>
      <c r="B1716" s="1" t="s">
        <v>564</v>
      </c>
      <c r="C1716" s="1" t="s">
        <v>576</v>
      </c>
      <c r="D1716" s="1" t="s">
        <v>92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 t="s">
        <v>491</v>
      </c>
      <c r="B1717" s="1" t="s">
        <v>565</v>
      </c>
      <c r="C1717" s="1" t="s">
        <v>577</v>
      </c>
      <c r="D1717" s="1" t="s">
        <v>78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 t="s">
        <v>491</v>
      </c>
      <c r="B1718" s="1" t="s">
        <v>566</v>
      </c>
      <c r="C1718" s="1" t="s">
        <v>578</v>
      </c>
      <c r="D1718" s="1" t="s">
        <v>78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491</v>
      </c>
      <c r="B1719" s="1" t="s">
        <v>33</v>
      </c>
      <c r="C1719" s="1" t="s">
        <v>579</v>
      </c>
      <c r="D1719" s="1" t="s">
        <v>92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 t="s">
        <v>491</v>
      </c>
      <c r="B1720" s="1" t="s">
        <v>34</v>
      </c>
      <c r="C1720" s="1" t="s">
        <v>580</v>
      </c>
      <c r="D1720" s="1" t="s">
        <v>92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 t="s">
        <v>491</v>
      </c>
      <c r="B1721" s="1" t="s">
        <v>35</v>
      </c>
      <c r="C1721" s="1" t="s">
        <v>581</v>
      </c>
      <c r="D1721" s="1" t="s">
        <v>92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 t="s">
        <v>491</v>
      </c>
      <c r="B1722" s="1" t="s">
        <v>36</v>
      </c>
      <c r="C1722" s="1" t="s">
        <v>582</v>
      </c>
      <c r="D1722" s="1" t="s">
        <v>95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 t="s">
        <v>491</v>
      </c>
      <c r="B1723" s="1" t="s">
        <v>37</v>
      </c>
      <c r="C1723" s="1" t="s">
        <v>583</v>
      </c>
      <c r="D1723" s="1" t="s">
        <v>95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 t="s">
        <v>491</v>
      </c>
      <c r="B1724" s="1" t="s">
        <v>38</v>
      </c>
      <c r="C1724" s="1" t="s">
        <v>584</v>
      </c>
      <c r="D1724" s="1" t="s">
        <v>92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491</v>
      </c>
      <c r="B1725" s="1" t="s">
        <v>39</v>
      </c>
      <c r="C1725" s="1" t="s">
        <v>585</v>
      </c>
      <c r="D1725" s="1" t="s">
        <v>78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491</v>
      </c>
      <c r="B1726" s="1" t="s">
        <v>567</v>
      </c>
      <c r="C1726" s="1" t="s">
        <v>586</v>
      </c>
      <c r="D1726" s="1" t="s">
        <v>92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491</v>
      </c>
      <c r="B1727" s="1" t="s">
        <v>568</v>
      </c>
      <c r="C1727" s="1" t="s">
        <v>587</v>
      </c>
      <c r="D1727" s="1" t="s">
        <v>95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 t="s">
        <v>491</v>
      </c>
      <c r="B1728" s="1" t="s">
        <v>40</v>
      </c>
      <c r="C1728" s="1" t="s">
        <v>588</v>
      </c>
      <c r="D1728" s="1" t="s">
        <v>92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 t="s">
        <v>491</v>
      </c>
      <c r="B1729" s="1" t="s">
        <v>569</v>
      </c>
      <c r="C1729" s="1" t="s">
        <v>589</v>
      </c>
      <c r="D1729" s="1" t="s">
        <v>246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491</v>
      </c>
      <c r="B1730" s="1" t="s">
        <v>570</v>
      </c>
      <c r="C1730" s="1" t="s">
        <v>590</v>
      </c>
      <c r="D1730" s="1" t="s">
        <v>95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491</v>
      </c>
      <c r="B1731" s="1" t="s">
        <v>571</v>
      </c>
      <c r="C1731" s="1" t="s">
        <v>591</v>
      </c>
      <c r="D1731" s="1" t="s">
        <v>246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491</v>
      </c>
      <c r="B1732" s="1" t="s">
        <v>572</v>
      </c>
      <c r="C1732" s="1" t="s">
        <v>592</v>
      </c>
      <c r="D1732" s="1" t="s">
        <v>95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491</v>
      </c>
      <c r="B1733" s="1" t="s">
        <v>573</v>
      </c>
      <c r="C1733" s="1" t="s">
        <v>593</v>
      </c>
      <c r="D1733" s="1" t="s">
        <v>78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492</v>
      </c>
      <c r="B1734" s="1" t="s">
        <v>174</v>
      </c>
      <c r="C1734" s="1" t="s">
        <v>574</v>
      </c>
      <c r="D1734" s="1" t="s">
        <v>78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492</v>
      </c>
      <c r="B1735" s="1" t="s">
        <v>563</v>
      </c>
      <c r="C1735" s="1" t="s">
        <v>575</v>
      </c>
      <c r="D1735" s="1" t="s">
        <v>78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 t="s">
        <v>492</v>
      </c>
      <c r="B1736" s="1" t="s">
        <v>564</v>
      </c>
      <c r="C1736" s="1" t="s">
        <v>576</v>
      </c>
      <c r="D1736" s="1" t="s">
        <v>92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 t="s">
        <v>492</v>
      </c>
      <c r="B1737" s="1" t="s">
        <v>565</v>
      </c>
      <c r="C1737" s="1" t="s">
        <v>577</v>
      </c>
      <c r="D1737" s="1" t="s">
        <v>78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 t="s">
        <v>492</v>
      </c>
      <c r="B1738" s="1" t="s">
        <v>566</v>
      </c>
      <c r="C1738" s="1" t="s">
        <v>578</v>
      </c>
      <c r="D1738" s="1" t="s">
        <v>78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492</v>
      </c>
      <c r="B1739" s="1" t="s">
        <v>33</v>
      </c>
      <c r="C1739" s="1" t="s">
        <v>579</v>
      </c>
      <c r="D1739" s="1" t="s">
        <v>92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 t="s">
        <v>492</v>
      </c>
      <c r="B1740" s="1" t="s">
        <v>34</v>
      </c>
      <c r="C1740" s="1" t="s">
        <v>580</v>
      </c>
      <c r="D1740" s="1" t="s">
        <v>627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 t="s">
        <v>492</v>
      </c>
      <c r="B1741" s="1" t="s">
        <v>35</v>
      </c>
      <c r="C1741" s="1" t="s">
        <v>581</v>
      </c>
      <c r="D1741" s="1" t="s">
        <v>627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 t="s">
        <v>492</v>
      </c>
      <c r="B1742" s="1" t="s">
        <v>36</v>
      </c>
      <c r="C1742" s="1" t="s">
        <v>582</v>
      </c>
      <c r="D1742" s="1" t="s">
        <v>78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 t="s">
        <v>492</v>
      </c>
      <c r="B1743" s="1" t="s">
        <v>37</v>
      </c>
      <c r="C1743" s="1" t="s">
        <v>583</v>
      </c>
      <c r="D1743" s="1" t="s">
        <v>78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 t="s">
        <v>492</v>
      </c>
      <c r="B1744" s="1" t="s">
        <v>38</v>
      </c>
      <c r="C1744" s="1" t="s">
        <v>584</v>
      </c>
      <c r="D1744" s="1" t="s">
        <v>627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 t="s">
        <v>492</v>
      </c>
      <c r="B1745" s="1" t="s">
        <v>39</v>
      </c>
      <c r="C1745" s="1" t="s">
        <v>585</v>
      </c>
      <c r="D1745" s="1" t="s">
        <v>78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 t="s">
        <v>492</v>
      </c>
      <c r="B1746" s="1" t="s">
        <v>567</v>
      </c>
      <c r="C1746" s="1" t="s">
        <v>586</v>
      </c>
      <c r="D1746" s="1" t="s">
        <v>92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492</v>
      </c>
      <c r="B1747" s="1" t="s">
        <v>568</v>
      </c>
      <c r="C1747" s="1" t="s">
        <v>587</v>
      </c>
      <c r="D1747" s="1" t="s">
        <v>95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 t="s">
        <v>492</v>
      </c>
      <c r="B1748" s="1" t="s">
        <v>40</v>
      </c>
      <c r="C1748" s="1" t="s">
        <v>588</v>
      </c>
      <c r="D1748" s="1" t="s">
        <v>92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 t="s">
        <v>492</v>
      </c>
      <c r="B1749" s="1" t="s">
        <v>569</v>
      </c>
      <c r="C1749" s="1" t="s">
        <v>589</v>
      </c>
      <c r="D1749" s="1" t="s">
        <v>246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 t="s">
        <v>492</v>
      </c>
      <c r="B1750" s="1" t="s">
        <v>570</v>
      </c>
      <c r="C1750" s="1" t="s">
        <v>590</v>
      </c>
      <c r="D1750" s="1" t="s">
        <v>95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 t="s">
        <v>492</v>
      </c>
      <c r="B1751" s="1" t="s">
        <v>571</v>
      </c>
      <c r="C1751" s="1" t="s">
        <v>591</v>
      </c>
      <c r="D1751" s="1" t="s">
        <v>246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 t="s">
        <v>492</v>
      </c>
      <c r="B1752" s="1" t="s">
        <v>572</v>
      </c>
      <c r="C1752" s="1" t="s">
        <v>592</v>
      </c>
      <c r="D1752" s="1" t="s">
        <v>95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 t="s">
        <v>492</v>
      </c>
      <c r="B1753" s="1" t="s">
        <v>573</v>
      </c>
      <c r="C1753" s="1" t="s">
        <v>593</v>
      </c>
      <c r="D1753" s="1" t="s">
        <v>78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493</v>
      </c>
      <c r="B1754" s="1" t="s">
        <v>174</v>
      </c>
      <c r="C1754" s="1" t="s">
        <v>574</v>
      </c>
      <c r="D1754" s="1" t="s">
        <v>78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 t="s">
        <v>493</v>
      </c>
      <c r="B1755" s="1" t="s">
        <v>563</v>
      </c>
      <c r="C1755" s="1" t="s">
        <v>575</v>
      </c>
      <c r="D1755" s="1" t="s">
        <v>78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 t="s">
        <v>493</v>
      </c>
      <c r="B1756" s="1" t="s">
        <v>564</v>
      </c>
      <c r="C1756" s="1" t="s">
        <v>576</v>
      </c>
      <c r="D1756" s="1" t="s">
        <v>92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 t="s">
        <v>493</v>
      </c>
      <c r="B1757" s="1" t="s">
        <v>565</v>
      </c>
      <c r="C1757" s="1" t="s">
        <v>577</v>
      </c>
      <c r="D1757" s="1" t="s">
        <v>78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 t="s">
        <v>493</v>
      </c>
      <c r="B1758" s="1" t="s">
        <v>566</v>
      </c>
      <c r="C1758" s="1" t="s">
        <v>578</v>
      </c>
      <c r="D1758" s="1" t="s">
        <v>78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493</v>
      </c>
      <c r="B1759" s="1" t="s">
        <v>33</v>
      </c>
      <c r="C1759" s="1" t="s">
        <v>579</v>
      </c>
      <c r="D1759" s="1" t="s">
        <v>92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 t="s">
        <v>493</v>
      </c>
      <c r="B1760" s="1" t="s">
        <v>34</v>
      </c>
      <c r="C1760" s="1" t="s">
        <v>580</v>
      </c>
      <c r="D1760" s="1" t="s">
        <v>627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 t="s">
        <v>493</v>
      </c>
      <c r="B1761" s="1" t="s">
        <v>35</v>
      </c>
      <c r="C1761" s="1" t="s">
        <v>581</v>
      </c>
      <c r="D1761" s="1" t="s">
        <v>627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 t="s">
        <v>493</v>
      </c>
      <c r="B1762" s="1" t="s">
        <v>36</v>
      </c>
      <c r="C1762" s="1" t="s">
        <v>582</v>
      </c>
      <c r="D1762" s="1" t="s">
        <v>78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 t="s">
        <v>493</v>
      </c>
      <c r="B1763" s="1" t="s">
        <v>37</v>
      </c>
      <c r="C1763" s="1" t="s">
        <v>583</v>
      </c>
      <c r="D1763" s="1" t="s">
        <v>78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 t="s">
        <v>493</v>
      </c>
      <c r="B1764" s="1" t="s">
        <v>38</v>
      </c>
      <c r="C1764" s="1" t="s">
        <v>584</v>
      </c>
      <c r="D1764" s="1" t="s">
        <v>627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 t="s">
        <v>493</v>
      </c>
      <c r="B1765" s="1" t="s">
        <v>39</v>
      </c>
      <c r="C1765" s="1" t="s">
        <v>585</v>
      </c>
      <c r="D1765" s="1" t="s">
        <v>78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 t="s">
        <v>493</v>
      </c>
      <c r="B1766" s="1" t="s">
        <v>567</v>
      </c>
      <c r="C1766" s="1" t="s">
        <v>586</v>
      </c>
      <c r="D1766" s="1" t="s">
        <v>92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493</v>
      </c>
      <c r="B1767" s="1" t="s">
        <v>568</v>
      </c>
      <c r="C1767" s="1" t="s">
        <v>587</v>
      </c>
      <c r="D1767" s="1" t="s">
        <v>95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 t="s">
        <v>493</v>
      </c>
      <c r="B1768" s="1" t="s">
        <v>40</v>
      </c>
      <c r="C1768" s="1" t="s">
        <v>588</v>
      </c>
      <c r="D1768" s="1" t="s">
        <v>92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 t="s">
        <v>493</v>
      </c>
      <c r="B1769" s="1" t="s">
        <v>569</v>
      </c>
      <c r="C1769" s="1" t="s">
        <v>589</v>
      </c>
      <c r="D1769" s="1" t="s">
        <v>246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 t="s">
        <v>493</v>
      </c>
      <c r="B1770" s="1" t="s">
        <v>570</v>
      </c>
      <c r="C1770" s="1" t="s">
        <v>590</v>
      </c>
      <c r="D1770" s="1" t="s">
        <v>95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 t="s">
        <v>493</v>
      </c>
      <c r="B1771" s="1" t="s">
        <v>571</v>
      </c>
      <c r="C1771" s="1" t="s">
        <v>591</v>
      </c>
      <c r="D1771" s="1" t="s">
        <v>246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 t="s">
        <v>493</v>
      </c>
      <c r="B1772" s="1" t="s">
        <v>572</v>
      </c>
      <c r="C1772" s="1" t="s">
        <v>592</v>
      </c>
      <c r="D1772" s="1" t="s">
        <v>95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 t="s">
        <v>493</v>
      </c>
      <c r="B1773" s="1" t="s">
        <v>573</v>
      </c>
      <c r="C1773" s="1" t="s">
        <v>593</v>
      </c>
      <c r="D1773" s="1" t="s">
        <v>78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494</v>
      </c>
      <c r="B1774" s="1" t="s">
        <v>174</v>
      </c>
      <c r="C1774" s="1" t="s">
        <v>574</v>
      </c>
      <c r="D1774" s="1" t="s">
        <v>78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 t="s">
        <v>494</v>
      </c>
      <c r="B1775" s="1" t="s">
        <v>563</v>
      </c>
      <c r="C1775" s="1" t="s">
        <v>575</v>
      </c>
      <c r="D1775" s="1" t="s">
        <v>78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 t="s">
        <v>494</v>
      </c>
      <c r="B1776" s="1" t="s">
        <v>564</v>
      </c>
      <c r="C1776" s="1" t="s">
        <v>576</v>
      </c>
      <c r="D1776" s="1" t="s">
        <v>92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 t="s">
        <v>494</v>
      </c>
      <c r="B1777" s="1" t="s">
        <v>565</v>
      </c>
      <c r="C1777" s="1" t="s">
        <v>577</v>
      </c>
      <c r="D1777" s="1" t="s">
        <v>78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 t="s">
        <v>494</v>
      </c>
      <c r="B1778" s="1" t="s">
        <v>566</v>
      </c>
      <c r="C1778" s="1" t="s">
        <v>578</v>
      </c>
      <c r="D1778" s="1" t="s">
        <v>78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 t="s">
        <v>494</v>
      </c>
      <c r="B1779" s="1" t="s">
        <v>33</v>
      </c>
      <c r="C1779" s="1" t="s">
        <v>579</v>
      </c>
      <c r="D1779" s="1" t="s">
        <v>92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 t="s">
        <v>494</v>
      </c>
      <c r="B1780" s="1" t="s">
        <v>34</v>
      </c>
      <c r="C1780" s="1" t="s">
        <v>580</v>
      </c>
      <c r="D1780" s="1" t="s">
        <v>92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 t="s">
        <v>494</v>
      </c>
      <c r="B1781" s="1" t="s">
        <v>35</v>
      </c>
      <c r="C1781" s="1" t="s">
        <v>581</v>
      </c>
      <c r="D1781" s="1" t="s">
        <v>92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 t="s">
        <v>494</v>
      </c>
      <c r="B1782" s="1" t="s">
        <v>36</v>
      </c>
      <c r="C1782" s="1" t="s">
        <v>582</v>
      </c>
      <c r="D1782" s="1" t="s">
        <v>95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 t="s">
        <v>494</v>
      </c>
      <c r="B1783" s="1" t="s">
        <v>37</v>
      </c>
      <c r="C1783" s="1" t="s">
        <v>583</v>
      </c>
      <c r="D1783" s="1" t="s">
        <v>95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 t="s">
        <v>494</v>
      </c>
      <c r="B1784" s="1" t="s">
        <v>38</v>
      </c>
      <c r="C1784" s="1" t="s">
        <v>584</v>
      </c>
      <c r="D1784" s="1" t="s">
        <v>92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 t="s">
        <v>494</v>
      </c>
      <c r="B1785" s="1" t="s">
        <v>39</v>
      </c>
      <c r="C1785" s="1" t="s">
        <v>585</v>
      </c>
      <c r="D1785" s="1" t="s">
        <v>78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 t="s">
        <v>494</v>
      </c>
      <c r="B1786" s="1" t="s">
        <v>567</v>
      </c>
      <c r="C1786" s="1" t="s">
        <v>586</v>
      </c>
      <c r="D1786" s="1" t="s">
        <v>92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 t="s">
        <v>494</v>
      </c>
      <c r="B1787" s="1" t="s">
        <v>568</v>
      </c>
      <c r="C1787" s="1" t="s">
        <v>587</v>
      </c>
      <c r="D1787" s="1" t="s">
        <v>95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 t="s">
        <v>494</v>
      </c>
      <c r="B1788" s="1" t="s">
        <v>40</v>
      </c>
      <c r="C1788" s="1" t="s">
        <v>588</v>
      </c>
      <c r="D1788" s="1" t="s">
        <v>92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 t="s">
        <v>494</v>
      </c>
      <c r="B1789" s="1" t="s">
        <v>569</v>
      </c>
      <c r="C1789" s="1" t="s">
        <v>589</v>
      </c>
      <c r="D1789" s="1" t="s">
        <v>246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 t="s">
        <v>494</v>
      </c>
      <c r="B1790" s="1" t="s">
        <v>570</v>
      </c>
      <c r="C1790" s="1" t="s">
        <v>590</v>
      </c>
      <c r="D1790" s="1" t="s">
        <v>95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 t="s">
        <v>494</v>
      </c>
      <c r="B1791" s="1" t="s">
        <v>571</v>
      </c>
      <c r="C1791" s="1" t="s">
        <v>591</v>
      </c>
      <c r="D1791" s="1" t="s">
        <v>246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 t="s">
        <v>494</v>
      </c>
      <c r="B1792" s="1" t="s">
        <v>572</v>
      </c>
      <c r="C1792" s="1" t="s">
        <v>592</v>
      </c>
      <c r="D1792" s="1" t="s">
        <v>95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 t="s">
        <v>494</v>
      </c>
      <c r="B1793" s="1" t="s">
        <v>573</v>
      </c>
      <c r="C1793" s="1" t="s">
        <v>593</v>
      </c>
      <c r="D1793" s="1" t="s">
        <v>95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 t="s">
        <v>495</v>
      </c>
      <c r="B1794" s="1" t="s">
        <v>174</v>
      </c>
      <c r="C1794" s="1" t="s">
        <v>574</v>
      </c>
      <c r="D1794" s="1" t="s">
        <v>95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 t="s">
        <v>495</v>
      </c>
      <c r="B1795" s="1" t="s">
        <v>563</v>
      </c>
      <c r="C1795" s="1" t="s">
        <v>575</v>
      </c>
      <c r="D1795" s="1" t="s">
        <v>78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5">
      <c r="A1796" s="1" t="s">
        <v>495</v>
      </c>
      <c r="B1796" s="1" t="s">
        <v>564</v>
      </c>
      <c r="C1796" s="1" t="s">
        <v>576</v>
      </c>
      <c r="D1796" s="1" t="s">
        <v>141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495</v>
      </c>
      <c r="B1797" s="1" t="s">
        <v>565</v>
      </c>
      <c r="C1797" s="1" t="s">
        <v>577</v>
      </c>
      <c r="D1797" s="1" t="s">
        <v>223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495</v>
      </c>
      <c r="B1798" s="1" t="s">
        <v>566</v>
      </c>
      <c r="C1798" s="1" t="s">
        <v>578</v>
      </c>
      <c r="D1798" s="1" t="s">
        <v>78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495</v>
      </c>
      <c r="B1799" s="1" t="s">
        <v>33</v>
      </c>
      <c r="C1799" s="1" t="s">
        <v>579</v>
      </c>
      <c r="D1799" s="1" t="s">
        <v>836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5">
      <c r="A1800" s="1" t="s">
        <v>495</v>
      </c>
      <c r="B1800" s="1" t="s">
        <v>34</v>
      </c>
      <c r="C1800" s="1" t="s">
        <v>580</v>
      </c>
      <c r="D1800" s="1" t="s">
        <v>837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5">
      <c r="A1801" s="1" t="s">
        <v>495</v>
      </c>
      <c r="B1801" s="1" t="s">
        <v>35</v>
      </c>
      <c r="C1801" s="1" t="s">
        <v>581</v>
      </c>
      <c r="D1801" s="1" t="s">
        <v>838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495</v>
      </c>
      <c r="B1802" s="1" t="s">
        <v>36</v>
      </c>
      <c r="C1802" s="1" t="s">
        <v>582</v>
      </c>
      <c r="D1802" s="1" t="s">
        <v>258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495</v>
      </c>
      <c r="B1803" s="1" t="s">
        <v>37</v>
      </c>
      <c r="C1803" s="1" t="s">
        <v>583</v>
      </c>
      <c r="D1803" s="1" t="s">
        <v>227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495</v>
      </c>
      <c r="B1804" s="1" t="s">
        <v>38</v>
      </c>
      <c r="C1804" s="1" t="s">
        <v>584</v>
      </c>
      <c r="D1804" s="1" t="s">
        <v>839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495</v>
      </c>
      <c r="B1805" s="1" t="s">
        <v>39</v>
      </c>
      <c r="C1805" s="1" t="s">
        <v>585</v>
      </c>
      <c r="D1805" s="1" t="s">
        <v>233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495</v>
      </c>
      <c r="B1806" s="1" t="s">
        <v>567</v>
      </c>
      <c r="C1806" s="1" t="s">
        <v>586</v>
      </c>
      <c r="D1806" s="1" t="s">
        <v>92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495</v>
      </c>
      <c r="B1807" s="1" t="s">
        <v>568</v>
      </c>
      <c r="C1807" s="1" t="s">
        <v>587</v>
      </c>
      <c r="D1807" s="1" t="s">
        <v>95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5">
      <c r="A1808" s="1" t="s">
        <v>495</v>
      </c>
      <c r="B1808" s="1" t="s">
        <v>40</v>
      </c>
      <c r="C1808" s="1" t="s">
        <v>588</v>
      </c>
      <c r="D1808" s="1" t="s">
        <v>840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5">
      <c r="A1809" s="1" t="s">
        <v>495</v>
      </c>
      <c r="B1809" s="1" t="s">
        <v>569</v>
      </c>
      <c r="C1809" s="1" t="s">
        <v>589</v>
      </c>
      <c r="D1809" s="1" t="s">
        <v>95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5">
      <c r="A1810" s="1" t="s">
        <v>495</v>
      </c>
      <c r="B1810" s="1" t="s">
        <v>570</v>
      </c>
      <c r="C1810" s="1" t="s">
        <v>590</v>
      </c>
      <c r="D1810" s="1" t="s">
        <v>223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5">
      <c r="A1811" s="1" t="s">
        <v>495</v>
      </c>
      <c r="B1811" s="1" t="s">
        <v>571</v>
      </c>
      <c r="C1811" s="1" t="s">
        <v>591</v>
      </c>
      <c r="D1811" s="1" t="s">
        <v>145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5">
      <c r="A1812" s="1" t="s">
        <v>495</v>
      </c>
      <c r="B1812" s="1" t="s">
        <v>572</v>
      </c>
      <c r="C1812" s="1" t="s">
        <v>592</v>
      </c>
      <c r="D1812" s="1" t="s">
        <v>95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5">
      <c r="A1813" s="1" t="s">
        <v>495</v>
      </c>
      <c r="B1813" s="1" t="s">
        <v>573</v>
      </c>
      <c r="C1813" s="1" t="s">
        <v>593</v>
      </c>
      <c r="D1813" s="1" t="s">
        <v>223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 t="s">
        <v>435</v>
      </c>
      <c r="B1814" s="1" t="s">
        <v>33</v>
      </c>
      <c r="C1814" s="1" t="s">
        <v>579</v>
      </c>
      <c r="D1814" s="1" t="s">
        <v>92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5">
      <c r="A1815" s="1" t="s">
        <v>435</v>
      </c>
      <c r="B1815" s="1" t="s">
        <v>34</v>
      </c>
      <c r="C1815" s="1" t="s">
        <v>580</v>
      </c>
      <c r="D1815" s="1" t="s">
        <v>627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5">
      <c r="A1816" s="1" t="s">
        <v>435</v>
      </c>
      <c r="B1816" s="1" t="s">
        <v>35</v>
      </c>
      <c r="C1816" s="1" t="s">
        <v>581</v>
      </c>
      <c r="D1816" s="1" t="s">
        <v>627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5">
      <c r="A1817" s="1" t="s">
        <v>435</v>
      </c>
      <c r="B1817" s="1" t="s">
        <v>36</v>
      </c>
      <c r="C1817" s="1" t="s">
        <v>582</v>
      </c>
      <c r="D1817" s="1" t="s">
        <v>78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5">
      <c r="A1818" s="1" t="s">
        <v>435</v>
      </c>
      <c r="B1818" s="1" t="s">
        <v>37</v>
      </c>
      <c r="C1818" s="1" t="s">
        <v>583</v>
      </c>
      <c r="D1818" s="1" t="s">
        <v>78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 t="s">
        <v>435</v>
      </c>
      <c r="B1819" s="1" t="s">
        <v>38</v>
      </c>
      <c r="C1819" s="1" t="s">
        <v>584</v>
      </c>
      <c r="D1819" s="1" t="s">
        <v>627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 t="s">
        <v>435</v>
      </c>
      <c r="B1820" s="1" t="s">
        <v>39</v>
      </c>
      <c r="C1820" s="1" t="s">
        <v>585</v>
      </c>
      <c r="D1820" s="1" t="s">
        <v>78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5">
      <c r="A1821" s="1" t="s">
        <v>435</v>
      </c>
      <c r="B1821" s="1" t="s">
        <v>567</v>
      </c>
      <c r="C1821" s="1" t="s">
        <v>586</v>
      </c>
      <c r="D1821" s="1" t="s">
        <v>92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5">
      <c r="A1822" s="1" t="s">
        <v>435</v>
      </c>
      <c r="B1822" s="1" t="s">
        <v>568</v>
      </c>
      <c r="C1822" s="1" t="s">
        <v>587</v>
      </c>
      <c r="D1822" s="1" t="s">
        <v>95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5">
      <c r="A1823" s="1" t="s">
        <v>435</v>
      </c>
      <c r="B1823" s="1" t="s">
        <v>40</v>
      </c>
      <c r="C1823" s="1" t="s">
        <v>588</v>
      </c>
      <c r="D1823" s="1" t="s">
        <v>92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5">
      <c r="A1824" s="1" t="s">
        <v>435</v>
      </c>
      <c r="B1824" s="1" t="s">
        <v>569</v>
      </c>
      <c r="C1824" s="1" t="s">
        <v>589</v>
      </c>
      <c r="D1824" s="1" t="s">
        <v>246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 t="s">
        <v>435</v>
      </c>
      <c r="B1825" s="1" t="s">
        <v>571</v>
      </c>
      <c r="C1825" s="1" t="s">
        <v>591</v>
      </c>
      <c r="D1825" s="1" t="s">
        <v>246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5">
      <c r="A1826" s="1" t="s">
        <v>435</v>
      </c>
      <c r="B1826" s="1" t="s">
        <v>572</v>
      </c>
      <c r="C1826" s="1" t="s">
        <v>592</v>
      </c>
      <c r="D1826" s="1" t="s">
        <v>95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 t="s">
        <v>496</v>
      </c>
      <c r="B1827" s="1" t="s">
        <v>174</v>
      </c>
      <c r="C1827" s="1" t="s">
        <v>574</v>
      </c>
      <c r="D1827" s="1" t="s">
        <v>78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 t="s">
        <v>496</v>
      </c>
      <c r="B1828" s="1" t="s">
        <v>563</v>
      </c>
      <c r="C1828" s="1" t="s">
        <v>575</v>
      </c>
      <c r="D1828" s="1" t="s">
        <v>78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5">
      <c r="A1829" s="1" t="s">
        <v>496</v>
      </c>
      <c r="B1829" s="1" t="s">
        <v>564</v>
      </c>
      <c r="C1829" s="1" t="s">
        <v>576</v>
      </c>
      <c r="D1829" s="1" t="s">
        <v>92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5">
      <c r="A1830" s="1" t="s">
        <v>496</v>
      </c>
      <c r="B1830" s="1" t="s">
        <v>565</v>
      </c>
      <c r="C1830" s="1" t="s">
        <v>577</v>
      </c>
      <c r="D1830" s="1" t="s">
        <v>78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5">
      <c r="A1831" s="1" t="s">
        <v>496</v>
      </c>
      <c r="B1831" s="1" t="s">
        <v>566</v>
      </c>
      <c r="C1831" s="1" t="s">
        <v>578</v>
      </c>
      <c r="D1831" s="1" t="s">
        <v>78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5">
      <c r="A1832" s="1" t="s">
        <v>496</v>
      </c>
      <c r="B1832" s="1" t="s">
        <v>33</v>
      </c>
      <c r="C1832" s="1" t="s">
        <v>579</v>
      </c>
      <c r="D1832" s="1" t="s">
        <v>92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5">
      <c r="A1833" s="1" t="s">
        <v>496</v>
      </c>
      <c r="B1833" s="1" t="s">
        <v>34</v>
      </c>
      <c r="C1833" s="1" t="s">
        <v>580</v>
      </c>
      <c r="D1833" s="1" t="s">
        <v>627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5">
      <c r="A1834" s="1" t="s">
        <v>496</v>
      </c>
      <c r="B1834" s="1" t="s">
        <v>35</v>
      </c>
      <c r="C1834" s="1" t="s">
        <v>581</v>
      </c>
      <c r="D1834" s="1" t="s">
        <v>627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5">
      <c r="A1835" s="1" t="s">
        <v>496</v>
      </c>
      <c r="B1835" s="1" t="s">
        <v>36</v>
      </c>
      <c r="C1835" s="1" t="s">
        <v>582</v>
      </c>
      <c r="D1835" s="1" t="s">
        <v>78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5">
      <c r="A1836" s="1" t="s">
        <v>496</v>
      </c>
      <c r="B1836" s="1" t="s">
        <v>37</v>
      </c>
      <c r="C1836" s="1" t="s">
        <v>583</v>
      </c>
      <c r="D1836" s="1" t="s">
        <v>78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5">
      <c r="A1837" s="1" t="s">
        <v>496</v>
      </c>
      <c r="B1837" s="1" t="s">
        <v>38</v>
      </c>
      <c r="C1837" s="1" t="s">
        <v>584</v>
      </c>
      <c r="D1837" s="1" t="s">
        <v>627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5">
      <c r="A1838" s="1" t="s">
        <v>496</v>
      </c>
      <c r="B1838" s="1" t="s">
        <v>39</v>
      </c>
      <c r="C1838" s="1" t="s">
        <v>585</v>
      </c>
      <c r="D1838" s="1" t="s">
        <v>78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5">
      <c r="A1839" s="1" t="s">
        <v>496</v>
      </c>
      <c r="B1839" s="1" t="s">
        <v>567</v>
      </c>
      <c r="C1839" s="1" t="s">
        <v>586</v>
      </c>
      <c r="D1839" s="1" t="s">
        <v>92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5">
      <c r="A1840" s="1" t="s">
        <v>496</v>
      </c>
      <c r="B1840" s="1" t="s">
        <v>568</v>
      </c>
      <c r="C1840" s="1" t="s">
        <v>587</v>
      </c>
      <c r="D1840" s="1" t="s">
        <v>78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5">
      <c r="A1841" s="1" t="s">
        <v>496</v>
      </c>
      <c r="B1841" s="1" t="s">
        <v>40</v>
      </c>
      <c r="C1841" s="1" t="s">
        <v>588</v>
      </c>
      <c r="D1841" s="1" t="s">
        <v>92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5">
      <c r="A1842" s="1" t="s">
        <v>496</v>
      </c>
      <c r="B1842" s="1" t="s">
        <v>569</v>
      </c>
      <c r="C1842" s="1" t="s">
        <v>589</v>
      </c>
      <c r="D1842" s="1" t="s">
        <v>246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5">
      <c r="A1843" s="1" t="s">
        <v>496</v>
      </c>
      <c r="B1843" s="1" t="s">
        <v>570</v>
      </c>
      <c r="C1843" s="1" t="s">
        <v>590</v>
      </c>
      <c r="D1843" s="1" t="s">
        <v>95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5">
      <c r="A1844" s="1" t="s">
        <v>496</v>
      </c>
      <c r="B1844" s="1" t="s">
        <v>571</v>
      </c>
      <c r="C1844" s="1" t="s">
        <v>591</v>
      </c>
      <c r="D1844" s="1" t="s">
        <v>246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5">
      <c r="A1845" s="1" t="s">
        <v>496</v>
      </c>
      <c r="B1845" s="1" t="s">
        <v>572</v>
      </c>
      <c r="C1845" s="1" t="s">
        <v>592</v>
      </c>
      <c r="D1845" s="1" t="s">
        <v>78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5">
      <c r="A1846" s="1" t="s">
        <v>496</v>
      </c>
      <c r="B1846" s="1" t="s">
        <v>573</v>
      </c>
      <c r="C1846" s="1" t="s">
        <v>593</v>
      </c>
      <c r="D1846" s="1" t="s">
        <v>78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5">
      <c r="A1847" s="1" t="s">
        <v>497</v>
      </c>
      <c r="B1847" s="1" t="s">
        <v>174</v>
      </c>
      <c r="C1847" s="1" t="s">
        <v>574</v>
      </c>
      <c r="D1847" s="1" t="s">
        <v>78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5">
      <c r="A1848" s="1" t="s">
        <v>497</v>
      </c>
      <c r="B1848" s="1" t="s">
        <v>563</v>
      </c>
      <c r="C1848" s="1" t="s">
        <v>575</v>
      </c>
      <c r="D1848" s="1" t="s">
        <v>78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5">
      <c r="A1849" s="1" t="s">
        <v>497</v>
      </c>
      <c r="B1849" s="1" t="s">
        <v>564</v>
      </c>
      <c r="C1849" s="1" t="s">
        <v>576</v>
      </c>
      <c r="D1849" s="1" t="s">
        <v>92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5">
      <c r="A1850" s="1" t="s">
        <v>497</v>
      </c>
      <c r="B1850" s="1" t="s">
        <v>565</v>
      </c>
      <c r="C1850" s="1" t="s">
        <v>577</v>
      </c>
      <c r="D1850" s="1" t="s">
        <v>78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5">
      <c r="A1851" s="1" t="s">
        <v>497</v>
      </c>
      <c r="B1851" s="1" t="s">
        <v>566</v>
      </c>
      <c r="C1851" s="1" t="s">
        <v>578</v>
      </c>
      <c r="D1851" s="1" t="s">
        <v>78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5">
      <c r="A1852" s="1" t="s">
        <v>497</v>
      </c>
      <c r="B1852" s="1" t="s">
        <v>33</v>
      </c>
      <c r="C1852" s="1" t="s">
        <v>579</v>
      </c>
      <c r="D1852" s="1" t="s">
        <v>92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5">
      <c r="A1853" s="1" t="s">
        <v>497</v>
      </c>
      <c r="B1853" s="1" t="s">
        <v>34</v>
      </c>
      <c r="C1853" s="1" t="s">
        <v>580</v>
      </c>
      <c r="D1853" s="1" t="s">
        <v>92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5">
      <c r="A1854" s="1" t="s">
        <v>497</v>
      </c>
      <c r="B1854" s="1" t="s">
        <v>35</v>
      </c>
      <c r="C1854" s="1" t="s">
        <v>581</v>
      </c>
      <c r="D1854" s="1" t="s">
        <v>92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5">
      <c r="A1855" s="1" t="s">
        <v>497</v>
      </c>
      <c r="B1855" s="1" t="s">
        <v>36</v>
      </c>
      <c r="C1855" s="1" t="s">
        <v>582</v>
      </c>
      <c r="D1855" s="1" t="s">
        <v>95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5">
      <c r="A1856" s="1" t="s">
        <v>497</v>
      </c>
      <c r="B1856" s="1" t="s">
        <v>37</v>
      </c>
      <c r="C1856" s="1" t="s">
        <v>583</v>
      </c>
      <c r="D1856" s="1" t="s">
        <v>95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5">
      <c r="A1857" s="1" t="s">
        <v>497</v>
      </c>
      <c r="B1857" s="1" t="s">
        <v>38</v>
      </c>
      <c r="C1857" s="1" t="s">
        <v>584</v>
      </c>
      <c r="D1857" s="1" t="s">
        <v>92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5">
      <c r="A1858" s="1" t="s">
        <v>497</v>
      </c>
      <c r="B1858" s="1" t="s">
        <v>39</v>
      </c>
      <c r="C1858" s="1" t="s">
        <v>585</v>
      </c>
      <c r="D1858" s="1" t="s">
        <v>78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5">
      <c r="A1859" s="1" t="s">
        <v>497</v>
      </c>
      <c r="B1859" s="1" t="s">
        <v>567</v>
      </c>
      <c r="C1859" s="1" t="s">
        <v>586</v>
      </c>
      <c r="D1859" s="1" t="s">
        <v>92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5">
      <c r="A1860" s="1" t="s">
        <v>497</v>
      </c>
      <c r="B1860" s="1" t="s">
        <v>568</v>
      </c>
      <c r="C1860" s="1" t="s">
        <v>587</v>
      </c>
      <c r="D1860" s="1" t="s">
        <v>78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5">
      <c r="A1861" s="1" t="s">
        <v>497</v>
      </c>
      <c r="B1861" s="1" t="s">
        <v>40</v>
      </c>
      <c r="C1861" s="1" t="s">
        <v>588</v>
      </c>
      <c r="D1861" s="1" t="s">
        <v>92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5">
      <c r="A1862" s="1" t="s">
        <v>497</v>
      </c>
      <c r="B1862" s="1" t="s">
        <v>569</v>
      </c>
      <c r="C1862" s="1" t="s">
        <v>589</v>
      </c>
      <c r="D1862" s="1" t="s">
        <v>246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5">
      <c r="A1863" s="1" t="s">
        <v>497</v>
      </c>
      <c r="B1863" s="1" t="s">
        <v>570</v>
      </c>
      <c r="C1863" s="1" t="s">
        <v>590</v>
      </c>
      <c r="D1863" s="1" t="s">
        <v>95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5">
      <c r="A1864" s="1" t="s">
        <v>497</v>
      </c>
      <c r="B1864" s="1" t="s">
        <v>571</v>
      </c>
      <c r="C1864" s="1" t="s">
        <v>591</v>
      </c>
      <c r="D1864" s="1" t="s">
        <v>246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5">
      <c r="A1865" s="1" t="s">
        <v>497</v>
      </c>
      <c r="B1865" s="1" t="s">
        <v>572</v>
      </c>
      <c r="C1865" s="1" t="s">
        <v>592</v>
      </c>
      <c r="D1865" s="1" t="s">
        <v>78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5">
      <c r="A1866" s="1" t="s">
        <v>497</v>
      </c>
      <c r="B1866" s="1" t="s">
        <v>573</v>
      </c>
      <c r="C1866" s="1" t="s">
        <v>593</v>
      </c>
      <c r="D1866" s="1" t="s">
        <v>95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5">
      <c r="A1867" s="1" t="s">
        <v>498</v>
      </c>
      <c r="B1867" s="1" t="s">
        <v>174</v>
      </c>
      <c r="C1867" s="1" t="s">
        <v>574</v>
      </c>
      <c r="D1867" s="1" t="s">
        <v>78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5">
      <c r="A1868" s="1" t="s">
        <v>498</v>
      </c>
      <c r="B1868" s="1" t="s">
        <v>563</v>
      </c>
      <c r="C1868" s="1" t="s">
        <v>575</v>
      </c>
      <c r="D1868" s="1" t="s">
        <v>78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498</v>
      </c>
      <c r="B1869" s="1" t="s">
        <v>564</v>
      </c>
      <c r="C1869" s="1" t="s">
        <v>576</v>
      </c>
      <c r="D1869" s="1" t="s">
        <v>92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498</v>
      </c>
      <c r="B1870" s="1" t="s">
        <v>565</v>
      </c>
      <c r="C1870" s="1" t="s">
        <v>577</v>
      </c>
      <c r="D1870" s="1" t="s">
        <v>78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498</v>
      </c>
      <c r="B1871" s="1" t="s">
        <v>566</v>
      </c>
      <c r="C1871" s="1" t="s">
        <v>578</v>
      </c>
      <c r="D1871" s="1" t="s">
        <v>78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5">
      <c r="A1872" s="1" t="s">
        <v>498</v>
      </c>
      <c r="B1872" s="1" t="s">
        <v>33</v>
      </c>
      <c r="C1872" s="1" t="s">
        <v>579</v>
      </c>
      <c r="D1872" s="1" t="s">
        <v>92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5">
      <c r="A1873" s="1" t="s">
        <v>498</v>
      </c>
      <c r="B1873" s="1" t="s">
        <v>34</v>
      </c>
      <c r="C1873" s="1" t="s">
        <v>580</v>
      </c>
      <c r="D1873" s="1" t="s">
        <v>92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498</v>
      </c>
      <c r="B1874" s="1" t="s">
        <v>35</v>
      </c>
      <c r="C1874" s="1" t="s">
        <v>581</v>
      </c>
      <c r="D1874" s="1" t="s">
        <v>92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498</v>
      </c>
      <c r="B1875" s="1" t="s">
        <v>36</v>
      </c>
      <c r="C1875" s="1" t="s">
        <v>582</v>
      </c>
      <c r="D1875" s="1" t="s">
        <v>95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498</v>
      </c>
      <c r="B1876" s="1" t="s">
        <v>37</v>
      </c>
      <c r="C1876" s="1" t="s">
        <v>583</v>
      </c>
      <c r="D1876" s="1" t="s">
        <v>95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498</v>
      </c>
      <c r="B1877" s="1" t="s">
        <v>38</v>
      </c>
      <c r="C1877" s="1" t="s">
        <v>584</v>
      </c>
      <c r="D1877" s="1" t="s">
        <v>92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498</v>
      </c>
      <c r="B1878" s="1" t="s">
        <v>39</v>
      </c>
      <c r="C1878" s="1" t="s">
        <v>585</v>
      </c>
      <c r="D1878" s="1" t="s">
        <v>78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5">
      <c r="A1879" s="1" t="s">
        <v>498</v>
      </c>
      <c r="B1879" s="1" t="s">
        <v>567</v>
      </c>
      <c r="C1879" s="1" t="s">
        <v>586</v>
      </c>
      <c r="D1879" s="1" t="s">
        <v>92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5">
      <c r="A1880" s="1" t="s">
        <v>498</v>
      </c>
      <c r="B1880" s="1" t="s">
        <v>568</v>
      </c>
      <c r="C1880" s="1" t="s">
        <v>587</v>
      </c>
      <c r="D1880" s="1" t="s">
        <v>78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5">
      <c r="A1881" s="1" t="s">
        <v>498</v>
      </c>
      <c r="B1881" s="1" t="s">
        <v>40</v>
      </c>
      <c r="C1881" s="1" t="s">
        <v>588</v>
      </c>
      <c r="D1881" s="1" t="s">
        <v>92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5">
      <c r="A1882" s="1" t="s">
        <v>498</v>
      </c>
      <c r="B1882" s="1" t="s">
        <v>569</v>
      </c>
      <c r="C1882" s="1" t="s">
        <v>589</v>
      </c>
      <c r="D1882" s="1" t="s">
        <v>246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5">
      <c r="A1883" s="1" t="s">
        <v>498</v>
      </c>
      <c r="B1883" s="1" t="s">
        <v>570</v>
      </c>
      <c r="C1883" s="1" t="s">
        <v>590</v>
      </c>
      <c r="D1883" s="1" t="s">
        <v>95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5">
      <c r="A1884" s="1" t="s">
        <v>498</v>
      </c>
      <c r="B1884" s="1" t="s">
        <v>571</v>
      </c>
      <c r="C1884" s="1" t="s">
        <v>591</v>
      </c>
      <c r="D1884" s="1" t="s">
        <v>246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5">
      <c r="A1885" s="1" t="s">
        <v>498</v>
      </c>
      <c r="B1885" s="1" t="s">
        <v>572</v>
      </c>
      <c r="C1885" s="1" t="s">
        <v>592</v>
      </c>
      <c r="D1885" s="1" t="s">
        <v>78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5">
      <c r="A1886" s="1" t="s">
        <v>498</v>
      </c>
      <c r="B1886" s="1" t="s">
        <v>573</v>
      </c>
      <c r="C1886" s="1" t="s">
        <v>593</v>
      </c>
      <c r="D1886" s="1" t="s">
        <v>78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5">
      <c r="A1887" s="1" t="s">
        <v>499</v>
      </c>
      <c r="B1887" s="1" t="s">
        <v>174</v>
      </c>
      <c r="C1887" s="1" t="s">
        <v>574</v>
      </c>
      <c r="D1887" s="1" t="s">
        <v>78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5">
      <c r="A1888" s="1" t="s">
        <v>499</v>
      </c>
      <c r="B1888" s="1" t="s">
        <v>563</v>
      </c>
      <c r="C1888" s="1" t="s">
        <v>575</v>
      </c>
      <c r="D1888" s="1" t="s">
        <v>78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5">
      <c r="A1889" s="1" t="s">
        <v>499</v>
      </c>
      <c r="B1889" s="1" t="s">
        <v>564</v>
      </c>
      <c r="C1889" s="1" t="s">
        <v>576</v>
      </c>
      <c r="D1889" s="1" t="s">
        <v>92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5">
      <c r="A1890" s="1" t="s">
        <v>499</v>
      </c>
      <c r="B1890" s="1" t="s">
        <v>565</v>
      </c>
      <c r="C1890" s="1" t="s">
        <v>577</v>
      </c>
      <c r="D1890" s="1" t="s">
        <v>78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5">
      <c r="A1891" s="1" t="s">
        <v>499</v>
      </c>
      <c r="B1891" s="1" t="s">
        <v>566</v>
      </c>
      <c r="C1891" s="1" t="s">
        <v>578</v>
      </c>
      <c r="D1891" s="1" t="s">
        <v>78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5">
      <c r="A1892" s="1" t="s">
        <v>499</v>
      </c>
      <c r="B1892" s="1" t="s">
        <v>33</v>
      </c>
      <c r="C1892" s="1" t="s">
        <v>579</v>
      </c>
      <c r="D1892" s="1" t="s">
        <v>92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5">
      <c r="A1893" s="1" t="s">
        <v>499</v>
      </c>
      <c r="B1893" s="1" t="s">
        <v>34</v>
      </c>
      <c r="C1893" s="1" t="s">
        <v>580</v>
      </c>
      <c r="D1893" s="1" t="s">
        <v>92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5">
      <c r="A1894" s="1" t="s">
        <v>499</v>
      </c>
      <c r="B1894" s="1" t="s">
        <v>35</v>
      </c>
      <c r="C1894" s="1" t="s">
        <v>581</v>
      </c>
      <c r="D1894" s="1" t="s">
        <v>92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5">
      <c r="A1895" s="1" t="s">
        <v>499</v>
      </c>
      <c r="B1895" s="1" t="s">
        <v>36</v>
      </c>
      <c r="C1895" s="1" t="s">
        <v>582</v>
      </c>
      <c r="D1895" s="1" t="s">
        <v>95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5">
      <c r="A1896" s="1" t="s">
        <v>499</v>
      </c>
      <c r="B1896" s="1" t="s">
        <v>37</v>
      </c>
      <c r="C1896" s="1" t="s">
        <v>583</v>
      </c>
      <c r="D1896" s="1" t="s">
        <v>95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5">
      <c r="A1897" s="1" t="s">
        <v>499</v>
      </c>
      <c r="B1897" s="1" t="s">
        <v>38</v>
      </c>
      <c r="C1897" s="1" t="s">
        <v>584</v>
      </c>
      <c r="D1897" s="1" t="s">
        <v>92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5">
      <c r="A1898" s="1" t="s">
        <v>499</v>
      </c>
      <c r="B1898" s="1" t="s">
        <v>39</v>
      </c>
      <c r="C1898" s="1" t="s">
        <v>585</v>
      </c>
      <c r="D1898" s="1" t="s">
        <v>78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5">
      <c r="A1899" s="1" t="s">
        <v>499</v>
      </c>
      <c r="B1899" s="1" t="s">
        <v>567</v>
      </c>
      <c r="C1899" s="1" t="s">
        <v>586</v>
      </c>
      <c r="D1899" s="1" t="s">
        <v>92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5">
      <c r="A1900" s="1" t="s">
        <v>499</v>
      </c>
      <c r="B1900" s="1" t="s">
        <v>568</v>
      </c>
      <c r="C1900" s="1" t="s">
        <v>587</v>
      </c>
      <c r="D1900" s="1" t="s">
        <v>78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5">
      <c r="A1901" s="1" t="s">
        <v>499</v>
      </c>
      <c r="B1901" s="1" t="s">
        <v>40</v>
      </c>
      <c r="C1901" s="1" t="s">
        <v>588</v>
      </c>
      <c r="D1901" s="1" t="s">
        <v>92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5">
      <c r="A1902" s="1" t="s">
        <v>499</v>
      </c>
      <c r="B1902" s="1" t="s">
        <v>569</v>
      </c>
      <c r="C1902" s="1" t="s">
        <v>589</v>
      </c>
      <c r="D1902" s="1" t="s">
        <v>246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5">
      <c r="A1903" s="1" t="s">
        <v>499</v>
      </c>
      <c r="B1903" s="1" t="s">
        <v>570</v>
      </c>
      <c r="C1903" s="1" t="s">
        <v>590</v>
      </c>
      <c r="D1903" s="1" t="s">
        <v>95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5">
      <c r="A1904" s="1" t="s">
        <v>499</v>
      </c>
      <c r="B1904" s="1" t="s">
        <v>571</v>
      </c>
      <c r="C1904" s="1" t="s">
        <v>591</v>
      </c>
      <c r="D1904" s="1" t="s">
        <v>246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1" t="s">
        <v>499</v>
      </c>
      <c r="B1905" s="1" t="s">
        <v>572</v>
      </c>
      <c r="C1905" s="1" t="s">
        <v>592</v>
      </c>
      <c r="D1905" s="1" t="s">
        <v>78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5">
      <c r="A1906" s="1" t="s">
        <v>499</v>
      </c>
      <c r="B1906" s="1" t="s">
        <v>573</v>
      </c>
      <c r="C1906" s="1" t="s">
        <v>593</v>
      </c>
      <c r="D1906" s="1" t="s">
        <v>78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1" t="s">
        <v>500</v>
      </c>
      <c r="B1907" s="1" t="s">
        <v>174</v>
      </c>
      <c r="C1907" s="1" t="s">
        <v>574</v>
      </c>
      <c r="D1907" s="1" t="s">
        <v>78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5">
      <c r="A1908" s="1" t="s">
        <v>500</v>
      </c>
      <c r="B1908" s="1" t="s">
        <v>563</v>
      </c>
      <c r="C1908" s="1" t="s">
        <v>575</v>
      </c>
      <c r="D1908" s="1" t="s">
        <v>78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5">
      <c r="A1909" s="1" t="s">
        <v>500</v>
      </c>
      <c r="B1909" s="1" t="s">
        <v>564</v>
      </c>
      <c r="C1909" s="1" t="s">
        <v>576</v>
      </c>
      <c r="D1909" s="1" t="s">
        <v>92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5">
      <c r="A1910" s="1" t="s">
        <v>500</v>
      </c>
      <c r="B1910" s="1" t="s">
        <v>565</v>
      </c>
      <c r="C1910" s="1" t="s">
        <v>577</v>
      </c>
      <c r="D1910" s="1" t="s">
        <v>78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5">
      <c r="A1911" s="1" t="s">
        <v>500</v>
      </c>
      <c r="B1911" s="1" t="s">
        <v>566</v>
      </c>
      <c r="C1911" s="1" t="s">
        <v>578</v>
      </c>
      <c r="D1911" s="1" t="s">
        <v>78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5">
      <c r="A1912" s="1" t="s">
        <v>500</v>
      </c>
      <c r="B1912" s="1" t="s">
        <v>33</v>
      </c>
      <c r="C1912" s="1" t="s">
        <v>579</v>
      </c>
      <c r="D1912" s="1" t="s">
        <v>92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5">
      <c r="A1913" s="1" t="s">
        <v>500</v>
      </c>
      <c r="B1913" s="1" t="s">
        <v>34</v>
      </c>
      <c r="C1913" s="1" t="s">
        <v>580</v>
      </c>
      <c r="D1913" s="1" t="s">
        <v>92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5">
      <c r="A1914" s="1" t="s">
        <v>500</v>
      </c>
      <c r="B1914" s="1" t="s">
        <v>35</v>
      </c>
      <c r="C1914" s="1" t="s">
        <v>581</v>
      </c>
      <c r="D1914" s="1" t="s">
        <v>92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5">
      <c r="A1915" s="1" t="s">
        <v>500</v>
      </c>
      <c r="B1915" s="1" t="s">
        <v>36</v>
      </c>
      <c r="C1915" s="1" t="s">
        <v>582</v>
      </c>
      <c r="D1915" s="1" t="s">
        <v>95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5">
      <c r="A1916" s="1" t="s">
        <v>500</v>
      </c>
      <c r="B1916" s="1" t="s">
        <v>37</v>
      </c>
      <c r="C1916" s="1" t="s">
        <v>583</v>
      </c>
      <c r="D1916" s="1" t="s">
        <v>95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5">
      <c r="A1917" s="1" t="s">
        <v>500</v>
      </c>
      <c r="B1917" s="1" t="s">
        <v>38</v>
      </c>
      <c r="C1917" s="1" t="s">
        <v>584</v>
      </c>
      <c r="D1917" s="1" t="s">
        <v>92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5">
      <c r="A1918" s="1" t="s">
        <v>500</v>
      </c>
      <c r="B1918" s="1" t="s">
        <v>39</v>
      </c>
      <c r="C1918" s="1" t="s">
        <v>585</v>
      </c>
      <c r="D1918" s="1" t="s">
        <v>78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5">
      <c r="A1919" s="1" t="s">
        <v>500</v>
      </c>
      <c r="B1919" s="1" t="s">
        <v>567</v>
      </c>
      <c r="C1919" s="1" t="s">
        <v>586</v>
      </c>
      <c r="D1919" s="1" t="s">
        <v>92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5">
      <c r="A1920" s="1" t="s">
        <v>500</v>
      </c>
      <c r="B1920" s="1" t="s">
        <v>568</v>
      </c>
      <c r="C1920" s="1" t="s">
        <v>587</v>
      </c>
      <c r="D1920" s="1" t="s">
        <v>78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5">
      <c r="A1921" s="1" t="s">
        <v>500</v>
      </c>
      <c r="B1921" s="1" t="s">
        <v>40</v>
      </c>
      <c r="C1921" s="1" t="s">
        <v>588</v>
      </c>
      <c r="D1921" s="1" t="s">
        <v>92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5">
      <c r="A1922" s="1" t="s">
        <v>500</v>
      </c>
      <c r="B1922" s="1" t="s">
        <v>569</v>
      </c>
      <c r="C1922" s="1" t="s">
        <v>589</v>
      </c>
      <c r="D1922" s="1" t="s">
        <v>246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5">
      <c r="A1923" s="1" t="s">
        <v>500</v>
      </c>
      <c r="B1923" s="1" t="s">
        <v>570</v>
      </c>
      <c r="C1923" s="1" t="s">
        <v>590</v>
      </c>
      <c r="D1923" s="1" t="s">
        <v>95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5">
      <c r="A1924" s="1" t="s">
        <v>500</v>
      </c>
      <c r="B1924" s="1" t="s">
        <v>571</v>
      </c>
      <c r="C1924" s="1" t="s">
        <v>591</v>
      </c>
      <c r="D1924" s="1" t="s">
        <v>246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1" t="s">
        <v>500</v>
      </c>
      <c r="B1925" s="1" t="s">
        <v>572</v>
      </c>
      <c r="C1925" s="1" t="s">
        <v>592</v>
      </c>
      <c r="D1925" s="1" t="s">
        <v>78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5">
      <c r="A1926" s="1" t="s">
        <v>500</v>
      </c>
      <c r="B1926" s="1" t="s">
        <v>573</v>
      </c>
      <c r="C1926" s="1" t="s">
        <v>593</v>
      </c>
      <c r="D1926" s="1" t="s">
        <v>78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5">
      <c r="A1927" s="1" t="s">
        <v>501</v>
      </c>
      <c r="B1927" s="1" t="s">
        <v>174</v>
      </c>
      <c r="C1927" s="1" t="s">
        <v>574</v>
      </c>
      <c r="D1927" s="1" t="s">
        <v>78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5">
      <c r="A1928" s="1" t="s">
        <v>501</v>
      </c>
      <c r="B1928" s="1" t="s">
        <v>563</v>
      </c>
      <c r="C1928" s="1" t="s">
        <v>575</v>
      </c>
      <c r="D1928" s="1" t="s">
        <v>78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5">
      <c r="A1929" s="1" t="s">
        <v>501</v>
      </c>
      <c r="B1929" s="1" t="s">
        <v>564</v>
      </c>
      <c r="C1929" s="1" t="s">
        <v>576</v>
      </c>
      <c r="D1929" s="1" t="s">
        <v>92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5">
      <c r="A1930" s="1" t="s">
        <v>501</v>
      </c>
      <c r="B1930" s="1" t="s">
        <v>565</v>
      </c>
      <c r="C1930" s="1" t="s">
        <v>577</v>
      </c>
      <c r="D1930" s="1" t="s">
        <v>78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5">
      <c r="A1931" s="1" t="s">
        <v>501</v>
      </c>
      <c r="B1931" s="1" t="s">
        <v>566</v>
      </c>
      <c r="C1931" s="1" t="s">
        <v>578</v>
      </c>
      <c r="D1931" s="1" t="s">
        <v>78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5">
      <c r="A1932" s="1" t="s">
        <v>501</v>
      </c>
      <c r="B1932" s="1" t="s">
        <v>33</v>
      </c>
      <c r="C1932" s="1" t="s">
        <v>579</v>
      </c>
      <c r="D1932" s="1" t="s">
        <v>92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5">
      <c r="A1933" s="1" t="s">
        <v>501</v>
      </c>
      <c r="B1933" s="1" t="s">
        <v>34</v>
      </c>
      <c r="C1933" s="1" t="s">
        <v>580</v>
      </c>
      <c r="D1933" s="1" t="s">
        <v>92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5">
      <c r="A1934" s="1" t="s">
        <v>501</v>
      </c>
      <c r="B1934" s="1" t="s">
        <v>35</v>
      </c>
      <c r="C1934" s="1" t="s">
        <v>581</v>
      </c>
      <c r="D1934" s="1" t="s">
        <v>92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5">
      <c r="A1935" s="1" t="s">
        <v>501</v>
      </c>
      <c r="B1935" s="1" t="s">
        <v>36</v>
      </c>
      <c r="C1935" s="1" t="s">
        <v>582</v>
      </c>
      <c r="D1935" s="1" t="s">
        <v>95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5">
      <c r="A1936" s="1" t="s">
        <v>501</v>
      </c>
      <c r="B1936" s="1" t="s">
        <v>37</v>
      </c>
      <c r="C1936" s="1" t="s">
        <v>583</v>
      </c>
      <c r="D1936" s="1" t="s">
        <v>95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5">
      <c r="A1937" s="1" t="s">
        <v>501</v>
      </c>
      <c r="B1937" s="1" t="s">
        <v>38</v>
      </c>
      <c r="C1937" s="1" t="s">
        <v>584</v>
      </c>
      <c r="D1937" s="1" t="s">
        <v>92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5">
      <c r="A1938" s="1" t="s">
        <v>501</v>
      </c>
      <c r="B1938" s="1" t="s">
        <v>39</v>
      </c>
      <c r="C1938" s="1" t="s">
        <v>585</v>
      </c>
      <c r="D1938" s="1" t="s">
        <v>78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5">
      <c r="A1939" s="1" t="s">
        <v>501</v>
      </c>
      <c r="B1939" s="1" t="s">
        <v>567</v>
      </c>
      <c r="C1939" s="1" t="s">
        <v>586</v>
      </c>
      <c r="D1939" s="1" t="s">
        <v>92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25">
      <c r="A1940" s="1" t="s">
        <v>501</v>
      </c>
      <c r="B1940" s="1" t="s">
        <v>568</v>
      </c>
      <c r="C1940" s="1" t="s">
        <v>587</v>
      </c>
      <c r="D1940" s="1" t="s">
        <v>78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501</v>
      </c>
      <c r="B1941" s="1" t="s">
        <v>40</v>
      </c>
      <c r="C1941" s="1" t="s">
        <v>588</v>
      </c>
      <c r="D1941" s="1" t="s">
        <v>92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501</v>
      </c>
      <c r="B1942" s="1" t="s">
        <v>569</v>
      </c>
      <c r="C1942" s="1" t="s">
        <v>589</v>
      </c>
      <c r="D1942" s="1" t="s">
        <v>246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501</v>
      </c>
      <c r="B1943" s="1" t="s">
        <v>570</v>
      </c>
      <c r="C1943" s="1" t="s">
        <v>590</v>
      </c>
      <c r="D1943" s="1" t="s">
        <v>95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25">
      <c r="A1944" s="1" t="s">
        <v>501</v>
      </c>
      <c r="B1944" s="1" t="s">
        <v>571</v>
      </c>
      <c r="C1944" s="1" t="s">
        <v>591</v>
      </c>
      <c r="D1944" s="1" t="s">
        <v>246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25">
      <c r="A1945" s="1" t="s">
        <v>501</v>
      </c>
      <c r="B1945" s="1" t="s">
        <v>572</v>
      </c>
      <c r="C1945" s="1" t="s">
        <v>592</v>
      </c>
      <c r="D1945" s="1" t="s">
        <v>78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501</v>
      </c>
      <c r="B1946" s="1" t="s">
        <v>573</v>
      </c>
      <c r="C1946" s="1" t="s">
        <v>593</v>
      </c>
      <c r="D1946" s="1" t="s">
        <v>78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502</v>
      </c>
      <c r="B1947" s="1" t="s">
        <v>174</v>
      </c>
      <c r="C1947" s="1" t="s">
        <v>574</v>
      </c>
      <c r="D1947" s="1" t="s">
        <v>78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502</v>
      </c>
      <c r="B1948" s="1" t="s">
        <v>563</v>
      </c>
      <c r="C1948" s="1" t="s">
        <v>575</v>
      </c>
      <c r="D1948" s="1" t="s">
        <v>78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502</v>
      </c>
      <c r="B1949" s="1" t="s">
        <v>564</v>
      </c>
      <c r="C1949" s="1" t="s">
        <v>576</v>
      </c>
      <c r="D1949" s="1" t="s">
        <v>92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502</v>
      </c>
      <c r="B1950" s="1" t="s">
        <v>565</v>
      </c>
      <c r="C1950" s="1" t="s">
        <v>577</v>
      </c>
      <c r="D1950" s="1" t="s">
        <v>78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502</v>
      </c>
      <c r="B1951" s="1" t="s">
        <v>566</v>
      </c>
      <c r="C1951" s="1" t="s">
        <v>578</v>
      </c>
      <c r="D1951" s="1" t="s">
        <v>78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25">
      <c r="A1952" s="1" t="s">
        <v>502</v>
      </c>
      <c r="B1952" s="1" t="s">
        <v>33</v>
      </c>
      <c r="C1952" s="1" t="s">
        <v>579</v>
      </c>
      <c r="D1952" s="1" t="s">
        <v>92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25">
      <c r="A1953" s="1" t="s">
        <v>502</v>
      </c>
      <c r="B1953" s="1" t="s">
        <v>34</v>
      </c>
      <c r="C1953" s="1" t="s">
        <v>580</v>
      </c>
      <c r="D1953" s="1" t="s">
        <v>92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25">
      <c r="A1954" s="1" t="s">
        <v>502</v>
      </c>
      <c r="B1954" s="1" t="s">
        <v>35</v>
      </c>
      <c r="C1954" s="1" t="s">
        <v>581</v>
      </c>
      <c r="D1954" s="1" t="s">
        <v>92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25">
      <c r="A1955" s="1" t="s">
        <v>502</v>
      </c>
      <c r="B1955" s="1" t="s">
        <v>36</v>
      </c>
      <c r="C1955" s="1" t="s">
        <v>582</v>
      </c>
      <c r="D1955" s="1" t="s">
        <v>95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25">
      <c r="A1956" s="1" t="s">
        <v>502</v>
      </c>
      <c r="B1956" s="1" t="s">
        <v>37</v>
      </c>
      <c r="C1956" s="1" t="s">
        <v>583</v>
      </c>
      <c r="D1956" s="1" t="s">
        <v>95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25">
      <c r="A1957" s="1" t="s">
        <v>502</v>
      </c>
      <c r="B1957" s="1" t="s">
        <v>38</v>
      </c>
      <c r="C1957" s="1" t="s">
        <v>584</v>
      </c>
      <c r="D1957" s="1" t="s">
        <v>92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25">
      <c r="A1958" s="1" t="s">
        <v>502</v>
      </c>
      <c r="B1958" s="1" t="s">
        <v>39</v>
      </c>
      <c r="C1958" s="1" t="s">
        <v>585</v>
      </c>
      <c r="D1958" s="1" t="s">
        <v>78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25">
      <c r="A1959" s="1" t="s">
        <v>502</v>
      </c>
      <c r="B1959" s="1" t="s">
        <v>567</v>
      </c>
      <c r="C1959" s="1" t="s">
        <v>586</v>
      </c>
      <c r="D1959" s="1" t="s">
        <v>92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25">
      <c r="A1960" s="1" t="s">
        <v>502</v>
      </c>
      <c r="B1960" s="1" t="s">
        <v>568</v>
      </c>
      <c r="C1960" s="1" t="s">
        <v>587</v>
      </c>
      <c r="D1960" s="1" t="s">
        <v>78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25">
      <c r="A1961" s="1" t="s">
        <v>502</v>
      </c>
      <c r="B1961" s="1" t="s">
        <v>40</v>
      </c>
      <c r="C1961" s="1" t="s">
        <v>588</v>
      </c>
      <c r="D1961" s="1" t="s">
        <v>92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25">
      <c r="A1962" s="1" t="s">
        <v>502</v>
      </c>
      <c r="B1962" s="1" t="s">
        <v>569</v>
      </c>
      <c r="C1962" s="1" t="s">
        <v>589</v>
      </c>
      <c r="D1962" s="1" t="s">
        <v>246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25">
      <c r="A1963" s="1" t="s">
        <v>502</v>
      </c>
      <c r="B1963" s="1" t="s">
        <v>570</v>
      </c>
      <c r="C1963" s="1" t="s">
        <v>590</v>
      </c>
      <c r="D1963" s="1" t="s">
        <v>95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25">
      <c r="A1964" s="1" t="s">
        <v>502</v>
      </c>
      <c r="B1964" s="1" t="s">
        <v>571</v>
      </c>
      <c r="C1964" s="1" t="s">
        <v>591</v>
      </c>
      <c r="D1964" s="1" t="s">
        <v>246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25">
      <c r="A1965" s="1" t="s">
        <v>502</v>
      </c>
      <c r="B1965" s="1" t="s">
        <v>572</v>
      </c>
      <c r="C1965" s="1" t="s">
        <v>592</v>
      </c>
      <c r="D1965" s="1" t="s">
        <v>78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25">
      <c r="A1966" s="1" t="s">
        <v>502</v>
      </c>
      <c r="B1966" s="1" t="s">
        <v>573</v>
      </c>
      <c r="C1966" s="1" t="s">
        <v>593</v>
      </c>
      <c r="D1966" s="1" t="s">
        <v>95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25">
      <c r="A1967" s="1" t="s">
        <v>503</v>
      </c>
      <c r="B1967" s="1" t="s">
        <v>174</v>
      </c>
      <c r="C1967" s="1" t="s">
        <v>574</v>
      </c>
      <c r="D1967" s="1" t="s">
        <v>78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25">
      <c r="A1968" s="1" t="s">
        <v>503</v>
      </c>
      <c r="B1968" s="1" t="s">
        <v>563</v>
      </c>
      <c r="C1968" s="1" t="s">
        <v>575</v>
      </c>
      <c r="D1968" s="1" t="s">
        <v>78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25">
      <c r="A1969" s="1" t="s">
        <v>503</v>
      </c>
      <c r="B1969" s="1" t="s">
        <v>564</v>
      </c>
      <c r="C1969" s="1" t="s">
        <v>576</v>
      </c>
      <c r="D1969" s="1" t="s">
        <v>92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25">
      <c r="A1970" s="1" t="s">
        <v>503</v>
      </c>
      <c r="B1970" s="1" t="s">
        <v>565</v>
      </c>
      <c r="C1970" s="1" t="s">
        <v>577</v>
      </c>
      <c r="D1970" s="1" t="s">
        <v>78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25">
      <c r="A1971" s="1" t="s">
        <v>503</v>
      </c>
      <c r="B1971" s="1" t="s">
        <v>566</v>
      </c>
      <c r="C1971" s="1" t="s">
        <v>578</v>
      </c>
      <c r="D1971" s="1" t="s">
        <v>78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25">
      <c r="A1972" s="1" t="s">
        <v>503</v>
      </c>
      <c r="B1972" s="1" t="s">
        <v>33</v>
      </c>
      <c r="C1972" s="1" t="s">
        <v>579</v>
      </c>
      <c r="D1972" s="1" t="s">
        <v>92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25">
      <c r="A1973" s="1" t="s">
        <v>503</v>
      </c>
      <c r="B1973" s="1" t="s">
        <v>34</v>
      </c>
      <c r="C1973" s="1" t="s">
        <v>580</v>
      </c>
      <c r="D1973" s="1" t="s">
        <v>92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25">
      <c r="A1974" s="1" t="s">
        <v>503</v>
      </c>
      <c r="B1974" s="1" t="s">
        <v>35</v>
      </c>
      <c r="C1974" s="1" t="s">
        <v>581</v>
      </c>
      <c r="D1974" s="1" t="s">
        <v>92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25">
      <c r="A1975" s="1" t="s">
        <v>503</v>
      </c>
      <c r="B1975" s="1" t="s">
        <v>36</v>
      </c>
      <c r="C1975" s="1" t="s">
        <v>582</v>
      </c>
      <c r="D1975" s="1" t="s">
        <v>95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25">
      <c r="A1976" s="1" t="s">
        <v>503</v>
      </c>
      <c r="B1976" s="1" t="s">
        <v>37</v>
      </c>
      <c r="C1976" s="1" t="s">
        <v>583</v>
      </c>
      <c r="D1976" s="1" t="s">
        <v>95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25">
      <c r="A1977" s="1" t="s">
        <v>503</v>
      </c>
      <c r="B1977" s="1" t="s">
        <v>38</v>
      </c>
      <c r="C1977" s="1" t="s">
        <v>584</v>
      </c>
      <c r="D1977" s="1" t="s">
        <v>92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25">
      <c r="A1978" s="1" t="s">
        <v>503</v>
      </c>
      <c r="B1978" s="1" t="s">
        <v>39</v>
      </c>
      <c r="C1978" s="1" t="s">
        <v>585</v>
      </c>
      <c r="D1978" s="1" t="s">
        <v>78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25">
      <c r="A1979" s="1" t="s">
        <v>503</v>
      </c>
      <c r="B1979" s="1" t="s">
        <v>567</v>
      </c>
      <c r="C1979" s="1" t="s">
        <v>586</v>
      </c>
      <c r="D1979" s="1" t="s">
        <v>92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25">
      <c r="A1980" s="1" t="s">
        <v>503</v>
      </c>
      <c r="B1980" s="1" t="s">
        <v>568</v>
      </c>
      <c r="C1980" s="1" t="s">
        <v>587</v>
      </c>
      <c r="D1980" s="1" t="s">
        <v>78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25">
      <c r="A1981" s="1" t="s">
        <v>503</v>
      </c>
      <c r="B1981" s="1" t="s">
        <v>40</v>
      </c>
      <c r="C1981" s="1" t="s">
        <v>588</v>
      </c>
      <c r="D1981" s="1" t="s">
        <v>92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25">
      <c r="A1982" s="1" t="s">
        <v>503</v>
      </c>
      <c r="B1982" s="1" t="s">
        <v>569</v>
      </c>
      <c r="C1982" s="1" t="s">
        <v>589</v>
      </c>
      <c r="D1982" s="1" t="s">
        <v>246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25">
      <c r="A1983" s="1" t="s">
        <v>503</v>
      </c>
      <c r="B1983" s="1" t="s">
        <v>570</v>
      </c>
      <c r="C1983" s="1" t="s">
        <v>590</v>
      </c>
      <c r="D1983" s="1" t="s">
        <v>95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25">
      <c r="A1984" s="1" t="s">
        <v>503</v>
      </c>
      <c r="B1984" s="1" t="s">
        <v>571</v>
      </c>
      <c r="C1984" s="1" t="s">
        <v>591</v>
      </c>
      <c r="D1984" s="1" t="s">
        <v>246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25">
      <c r="A1985" s="1" t="s">
        <v>503</v>
      </c>
      <c r="B1985" s="1" t="s">
        <v>572</v>
      </c>
      <c r="C1985" s="1" t="s">
        <v>592</v>
      </c>
      <c r="D1985" s="1" t="s">
        <v>78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25">
      <c r="A1986" s="1" t="s">
        <v>503</v>
      </c>
      <c r="B1986" s="1" t="s">
        <v>573</v>
      </c>
      <c r="C1986" s="1" t="s">
        <v>593</v>
      </c>
      <c r="D1986" s="1" t="s">
        <v>78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25">
      <c r="A1987" s="1" t="s">
        <v>504</v>
      </c>
      <c r="B1987" s="1" t="s">
        <v>174</v>
      </c>
      <c r="C1987" s="1" t="s">
        <v>574</v>
      </c>
      <c r="D1987" s="1" t="s">
        <v>78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25">
      <c r="A1988" s="1" t="s">
        <v>504</v>
      </c>
      <c r="B1988" s="1" t="s">
        <v>563</v>
      </c>
      <c r="C1988" s="1" t="s">
        <v>575</v>
      </c>
      <c r="D1988" s="1" t="s">
        <v>78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25">
      <c r="A1989" s="1" t="s">
        <v>504</v>
      </c>
      <c r="B1989" s="1" t="s">
        <v>564</v>
      </c>
      <c r="C1989" s="1" t="s">
        <v>576</v>
      </c>
      <c r="D1989" s="1" t="s">
        <v>92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25">
      <c r="A1990" s="1" t="s">
        <v>504</v>
      </c>
      <c r="B1990" s="1" t="s">
        <v>565</v>
      </c>
      <c r="C1990" s="1" t="s">
        <v>577</v>
      </c>
      <c r="D1990" s="1" t="s">
        <v>78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25">
      <c r="A1991" s="1" t="s">
        <v>504</v>
      </c>
      <c r="B1991" s="1" t="s">
        <v>566</v>
      </c>
      <c r="C1991" s="1" t="s">
        <v>578</v>
      </c>
      <c r="D1991" s="1" t="s">
        <v>78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25">
      <c r="A1992" s="1" t="s">
        <v>504</v>
      </c>
      <c r="B1992" s="1" t="s">
        <v>33</v>
      </c>
      <c r="C1992" s="1" t="s">
        <v>579</v>
      </c>
      <c r="D1992" s="1" t="s">
        <v>92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25">
      <c r="A1993" s="1" t="s">
        <v>504</v>
      </c>
      <c r="B1993" s="1" t="s">
        <v>34</v>
      </c>
      <c r="C1993" s="1" t="s">
        <v>580</v>
      </c>
      <c r="D1993" s="1" t="s">
        <v>92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25">
      <c r="A1994" s="1" t="s">
        <v>504</v>
      </c>
      <c r="B1994" s="1" t="s">
        <v>35</v>
      </c>
      <c r="C1994" s="1" t="s">
        <v>581</v>
      </c>
      <c r="D1994" s="1" t="s">
        <v>92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25">
      <c r="A1995" s="1" t="s">
        <v>504</v>
      </c>
      <c r="B1995" s="1" t="s">
        <v>36</v>
      </c>
      <c r="C1995" s="1" t="s">
        <v>582</v>
      </c>
      <c r="D1995" s="1" t="s">
        <v>95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25">
      <c r="A1996" s="1" t="s">
        <v>504</v>
      </c>
      <c r="B1996" s="1" t="s">
        <v>37</v>
      </c>
      <c r="C1996" s="1" t="s">
        <v>583</v>
      </c>
      <c r="D1996" s="1" t="s">
        <v>95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25">
      <c r="A1997" s="1" t="s">
        <v>504</v>
      </c>
      <c r="B1997" s="1" t="s">
        <v>38</v>
      </c>
      <c r="C1997" s="1" t="s">
        <v>584</v>
      </c>
      <c r="D1997" s="1" t="s">
        <v>92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25">
      <c r="A1998" s="1" t="s">
        <v>504</v>
      </c>
      <c r="B1998" s="1" t="s">
        <v>39</v>
      </c>
      <c r="C1998" s="1" t="s">
        <v>585</v>
      </c>
      <c r="D1998" s="1" t="s">
        <v>78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25">
      <c r="A1999" s="1" t="s">
        <v>504</v>
      </c>
      <c r="B1999" s="1" t="s">
        <v>567</v>
      </c>
      <c r="C1999" s="1" t="s">
        <v>586</v>
      </c>
      <c r="D1999" s="1" t="s">
        <v>92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25">
      <c r="A2000" s="1" t="s">
        <v>504</v>
      </c>
      <c r="B2000" s="1" t="s">
        <v>568</v>
      </c>
      <c r="C2000" s="1" t="s">
        <v>587</v>
      </c>
      <c r="D2000" s="1" t="s">
        <v>78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25">
      <c r="A2001" s="1" t="s">
        <v>504</v>
      </c>
      <c r="B2001" s="1" t="s">
        <v>40</v>
      </c>
      <c r="C2001" s="1" t="s">
        <v>588</v>
      </c>
      <c r="D2001" s="1" t="s">
        <v>92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25">
      <c r="A2002" s="1" t="s">
        <v>504</v>
      </c>
      <c r="B2002" s="1" t="s">
        <v>569</v>
      </c>
      <c r="C2002" s="1" t="s">
        <v>589</v>
      </c>
      <c r="D2002" s="1" t="s">
        <v>246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25">
      <c r="A2003" s="1" t="s">
        <v>504</v>
      </c>
      <c r="B2003" s="1" t="s">
        <v>570</v>
      </c>
      <c r="C2003" s="1" t="s">
        <v>590</v>
      </c>
      <c r="D2003" s="1" t="s">
        <v>95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25">
      <c r="A2004" s="1" t="s">
        <v>504</v>
      </c>
      <c r="B2004" s="1" t="s">
        <v>571</v>
      </c>
      <c r="C2004" s="1" t="s">
        <v>591</v>
      </c>
      <c r="D2004" s="1" t="s">
        <v>246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25">
      <c r="A2005" s="1" t="s">
        <v>504</v>
      </c>
      <c r="B2005" s="1" t="s">
        <v>572</v>
      </c>
      <c r="C2005" s="1" t="s">
        <v>592</v>
      </c>
      <c r="D2005" s="1" t="s">
        <v>78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25">
      <c r="A2006" s="1" t="s">
        <v>504</v>
      </c>
      <c r="B2006" s="1" t="s">
        <v>573</v>
      </c>
      <c r="C2006" s="1" t="s">
        <v>593</v>
      </c>
      <c r="D2006" s="1" t="s">
        <v>78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25">
      <c r="A2007" s="1" t="s">
        <v>505</v>
      </c>
      <c r="B2007" s="1" t="s">
        <v>174</v>
      </c>
      <c r="C2007" s="1" t="s">
        <v>574</v>
      </c>
      <c r="D2007" s="1" t="s">
        <v>78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25">
      <c r="A2008" s="1" t="s">
        <v>505</v>
      </c>
      <c r="B2008" s="1" t="s">
        <v>563</v>
      </c>
      <c r="C2008" s="1" t="s">
        <v>575</v>
      </c>
      <c r="D2008" s="1" t="s">
        <v>78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25">
      <c r="A2009" s="1" t="s">
        <v>505</v>
      </c>
      <c r="B2009" s="1" t="s">
        <v>564</v>
      </c>
      <c r="C2009" s="1" t="s">
        <v>576</v>
      </c>
      <c r="D2009" s="1" t="s">
        <v>92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25">
      <c r="A2010" s="1" t="s">
        <v>505</v>
      </c>
      <c r="B2010" s="1" t="s">
        <v>565</v>
      </c>
      <c r="C2010" s="1" t="s">
        <v>577</v>
      </c>
      <c r="D2010" s="1" t="s">
        <v>78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25">
      <c r="A2011" s="1" t="s">
        <v>505</v>
      </c>
      <c r="B2011" s="1" t="s">
        <v>566</v>
      </c>
      <c r="C2011" s="1" t="s">
        <v>578</v>
      </c>
      <c r="D2011" s="1" t="s">
        <v>78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25">
      <c r="A2012" s="1" t="s">
        <v>505</v>
      </c>
      <c r="B2012" s="1" t="s">
        <v>33</v>
      </c>
      <c r="C2012" s="1" t="s">
        <v>579</v>
      </c>
      <c r="D2012" s="1" t="s">
        <v>92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5">
      <c r="A2013" s="1" t="s">
        <v>505</v>
      </c>
      <c r="B2013" s="1" t="s">
        <v>34</v>
      </c>
      <c r="C2013" s="1" t="s">
        <v>580</v>
      </c>
      <c r="D2013" s="1" t="s">
        <v>92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505</v>
      </c>
      <c r="B2014" s="1" t="s">
        <v>35</v>
      </c>
      <c r="C2014" s="1" t="s">
        <v>581</v>
      </c>
      <c r="D2014" s="1" t="s">
        <v>92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5">
      <c r="A2015" s="1" t="s">
        <v>505</v>
      </c>
      <c r="B2015" s="1" t="s">
        <v>36</v>
      </c>
      <c r="C2015" s="1" t="s">
        <v>582</v>
      </c>
      <c r="D2015" s="1" t="s">
        <v>95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25">
      <c r="A2016" s="1" t="s">
        <v>505</v>
      </c>
      <c r="B2016" s="1" t="s">
        <v>37</v>
      </c>
      <c r="C2016" s="1" t="s">
        <v>583</v>
      </c>
      <c r="D2016" s="1" t="s">
        <v>95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25">
      <c r="A2017" s="1" t="s">
        <v>505</v>
      </c>
      <c r="B2017" s="1" t="s">
        <v>38</v>
      </c>
      <c r="C2017" s="1" t="s">
        <v>584</v>
      </c>
      <c r="D2017" s="1" t="s">
        <v>92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5">
      <c r="A2018" s="1" t="s">
        <v>505</v>
      </c>
      <c r="B2018" s="1" t="s">
        <v>39</v>
      </c>
      <c r="C2018" s="1" t="s">
        <v>585</v>
      </c>
      <c r="D2018" s="1" t="s">
        <v>78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505</v>
      </c>
      <c r="B2019" s="1" t="s">
        <v>567</v>
      </c>
      <c r="C2019" s="1" t="s">
        <v>586</v>
      </c>
      <c r="D2019" s="1" t="s">
        <v>92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505</v>
      </c>
      <c r="B2020" s="1" t="s">
        <v>568</v>
      </c>
      <c r="C2020" s="1" t="s">
        <v>587</v>
      </c>
      <c r="D2020" s="1" t="s">
        <v>78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505</v>
      </c>
      <c r="B2021" s="1" t="s">
        <v>40</v>
      </c>
      <c r="C2021" s="1" t="s">
        <v>588</v>
      </c>
      <c r="D2021" s="1" t="s">
        <v>92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505</v>
      </c>
      <c r="B2022" s="1" t="s">
        <v>569</v>
      </c>
      <c r="C2022" s="1" t="s">
        <v>589</v>
      </c>
      <c r="D2022" s="1" t="s">
        <v>246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5">
      <c r="A2023" s="1" t="s">
        <v>505</v>
      </c>
      <c r="B2023" s="1" t="s">
        <v>570</v>
      </c>
      <c r="C2023" s="1" t="s">
        <v>590</v>
      </c>
      <c r="D2023" s="1" t="s">
        <v>95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25">
      <c r="A2024" s="1" t="s">
        <v>505</v>
      </c>
      <c r="B2024" s="1" t="s">
        <v>571</v>
      </c>
      <c r="C2024" s="1" t="s">
        <v>591</v>
      </c>
      <c r="D2024" s="1" t="s">
        <v>246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25">
      <c r="A2025" s="1" t="s">
        <v>505</v>
      </c>
      <c r="B2025" s="1" t="s">
        <v>572</v>
      </c>
      <c r="C2025" s="1" t="s">
        <v>592</v>
      </c>
      <c r="D2025" s="1" t="s">
        <v>78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25">
      <c r="A2026" s="1" t="s">
        <v>505</v>
      </c>
      <c r="B2026" s="1" t="s">
        <v>573</v>
      </c>
      <c r="C2026" s="1" t="s">
        <v>593</v>
      </c>
      <c r="D2026" s="1" t="s">
        <v>78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25">
      <c r="A2027" s="1" t="s">
        <v>506</v>
      </c>
      <c r="B2027" s="1" t="s">
        <v>174</v>
      </c>
      <c r="C2027" s="1" t="s">
        <v>574</v>
      </c>
      <c r="D2027" s="1" t="s">
        <v>78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25">
      <c r="A2028" s="1" t="s">
        <v>506</v>
      </c>
      <c r="B2028" s="1" t="s">
        <v>563</v>
      </c>
      <c r="C2028" s="1" t="s">
        <v>575</v>
      </c>
      <c r="D2028" s="1" t="s">
        <v>78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25">
      <c r="A2029" s="1" t="s">
        <v>506</v>
      </c>
      <c r="B2029" s="1" t="s">
        <v>564</v>
      </c>
      <c r="C2029" s="1" t="s">
        <v>576</v>
      </c>
      <c r="D2029" s="1" t="s">
        <v>92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25">
      <c r="A2030" s="1" t="s">
        <v>506</v>
      </c>
      <c r="B2030" s="1" t="s">
        <v>565</v>
      </c>
      <c r="C2030" s="1" t="s">
        <v>577</v>
      </c>
      <c r="D2030" s="1" t="s">
        <v>78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25">
      <c r="A2031" s="1" t="s">
        <v>506</v>
      </c>
      <c r="B2031" s="1" t="s">
        <v>566</v>
      </c>
      <c r="C2031" s="1" t="s">
        <v>578</v>
      </c>
      <c r="D2031" s="1" t="s">
        <v>78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25">
      <c r="A2032" s="1" t="s">
        <v>506</v>
      </c>
      <c r="B2032" s="1" t="s">
        <v>33</v>
      </c>
      <c r="C2032" s="1" t="s">
        <v>579</v>
      </c>
      <c r="D2032" s="1" t="s">
        <v>92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25">
      <c r="A2033" s="1" t="s">
        <v>506</v>
      </c>
      <c r="B2033" s="1" t="s">
        <v>34</v>
      </c>
      <c r="C2033" s="1" t="s">
        <v>580</v>
      </c>
      <c r="D2033" s="1" t="s">
        <v>92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25">
      <c r="A2034" s="1" t="s">
        <v>506</v>
      </c>
      <c r="B2034" s="1" t="s">
        <v>35</v>
      </c>
      <c r="C2034" s="1" t="s">
        <v>581</v>
      </c>
      <c r="D2034" s="1" t="s">
        <v>92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25">
      <c r="A2035" s="1" t="s">
        <v>506</v>
      </c>
      <c r="B2035" s="1" t="s">
        <v>36</v>
      </c>
      <c r="C2035" s="1" t="s">
        <v>582</v>
      </c>
      <c r="D2035" s="1" t="s">
        <v>95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25">
      <c r="A2036" s="1" t="s">
        <v>506</v>
      </c>
      <c r="B2036" s="1" t="s">
        <v>37</v>
      </c>
      <c r="C2036" s="1" t="s">
        <v>583</v>
      </c>
      <c r="D2036" s="1" t="s">
        <v>95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25">
      <c r="A2037" s="1" t="s">
        <v>506</v>
      </c>
      <c r="B2037" s="1" t="s">
        <v>38</v>
      </c>
      <c r="C2037" s="1" t="s">
        <v>584</v>
      </c>
      <c r="D2037" s="1" t="s">
        <v>92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25">
      <c r="A2038" s="1" t="s">
        <v>506</v>
      </c>
      <c r="B2038" s="1" t="s">
        <v>39</v>
      </c>
      <c r="C2038" s="1" t="s">
        <v>585</v>
      </c>
      <c r="D2038" s="1" t="s">
        <v>78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25">
      <c r="A2039" s="1" t="s">
        <v>506</v>
      </c>
      <c r="B2039" s="1" t="s">
        <v>567</v>
      </c>
      <c r="C2039" s="1" t="s">
        <v>586</v>
      </c>
      <c r="D2039" s="1" t="s">
        <v>92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25">
      <c r="A2040" s="1" t="s">
        <v>506</v>
      </c>
      <c r="B2040" s="1" t="s">
        <v>568</v>
      </c>
      <c r="C2040" s="1" t="s">
        <v>587</v>
      </c>
      <c r="D2040" s="1" t="s">
        <v>78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25">
      <c r="A2041" s="1" t="s">
        <v>506</v>
      </c>
      <c r="B2041" s="1" t="s">
        <v>40</v>
      </c>
      <c r="C2041" s="1" t="s">
        <v>588</v>
      </c>
      <c r="D2041" s="1" t="s">
        <v>92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25">
      <c r="A2042" s="1" t="s">
        <v>506</v>
      </c>
      <c r="B2042" s="1" t="s">
        <v>569</v>
      </c>
      <c r="C2042" s="1" t="s">
        <v>589</v>
      </c>
      <c r="D2042" s="1" t="s">
        <v>246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25">
      <c r="A2043" s="1" t="s">
        <v>506</v>
      </c>
      <c r="B2043" s="1" t="s">
        <v>570</v>
      </c>
      <c r="C2043" s="1" t="s">
        <v>590</v>
      </c>
      <c r="D2043" s="1" t="s">
        <v>95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25">
      <c r="A2044" s="1" t="s">
        <v>506</v>
      </c>
      <c r="B2044" s="1" t="s">
        <v>571</v>
      </c>
      <c r="C2044" s="1" t="s">
        <v>591</v>
      </c>
      <c r="D2044" s="1" t="s">
        <v>246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25">
      <c r="A2045" s="1" t="s">
        <v>506</v>
      </c>
      <c r="B2045" s="1" t="s">
        <v>572</v>
      </c>
      <c r="C2045" s="1" t="s">
        <v>592</v>
      </c>
      <c r="D2045" s="1" t="s">
        <v>78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25">
      <c r="A2046" s="1" t="s">
        <v>506</v>
      </c>
      <c r="B2046" s="1" t="s">
        <v>573</v>
      </c>
      <c r="C2046" s="1" t="s">
        <v>593</v>
      </c>
      <c r="D2046" s="1" t="s">
        <v>78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25">
      <c r="A2047" s="1" t="s">
        <v>507</v>
      </c>
      <c r="B2047" s="1" t="s">
        <v>174</v>
      </c>
      <c r="C2047" s="1" t="s">
        <v>574</v>
      </c>
      <c r="D2047" s="1" t="s">
        <v>78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25">
      <c r="A2048" s="1" t="s">
        <v>507</v>
      </c>
      <c r="B2048" s="1" t="s">
        <v>563</v>
      </c>
      <c r="C2048" s="1" t="s">
        <v>575</v>
      </c>
      <c r="D2048" s="1" t="s">
        <v>78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25">
      <c r="A2049" s="1" t="s">
        <v>507</v>
      </c>
      <c r="B2049" s="1" t="s">
        <v>564</v>
      </c>
      <c r="C2049" s="1" t="s">
        <v>576</v>
      </c>
      <c r="D2049" s="1" t="s">
        <v>92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25">
      <c r="A2050" s="1" t="s">
        <v>507</v>
      </c>
      <c r="B2050" s="1" t="s">
        <v>565</v>
      </c>
      <c r="C2050" s="1" t="s">
        <v>577</v>
      </c>
      <c r="D2050" s="1" t="s">
        <v>78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25">
      <c r="A2051" s="1" t="s">
        <v>507</v>
      </c>
      <c r="B2051" s="1" t="s">
        <v>566</v>
      </c>
      <c r="C2051" s="1" t="s">
        <v>578</v>
      </c>
      <c r="D2051" s="1" t="s">
        <v>78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25">
      <c r="A2052" s="1" t="s">
        <v>507</v>
      </c>
      <c r="B2052" s="1" t="s">
        <v>33</v>
      </c>
      <c r="C2052" s="1" t="s">
        <v>579</v>
      </c>
      <c r="D2052" s="1" t="s">
        <v>92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25">
      <c r="A2053" s="1" t="s">
        <v>507</v>
      </c>
      <c r="B2053" s="1" t="s">
        <v>34</v>
      </c>
      <c r="C2053" s="1" t="s">
        <v>580</v>
      </c>
      <c r="D2053" s="1" t="s">
        <v>92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25">
      <c r="A2054" s="1" t="s">
        <v>507</v>
      </c>
      <c r="B2054" s="1" t="s">
        <v>35</v>
      </c>
      <c r="C2054" s="1" t="s">
        <v>581</v>
      </c>
      <c r="D2054" s="1" t="s">
        <v>92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25">
      <c r="A2055" s="1" t="s">
        <v>507</v>
      </c>
      <c r="B2055" s="1" t="s">
        <v>36</v>
      </c>
      <c r="C2055" s="1" t="s">
        <v>582</v>
      </c>
      <c r="D2055" s="1" t="s">
        <v>95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25">
      <c r="A2056" s="1" t="s">
        <v>507</v>
      </c>
      <c r="B2056" s="1" t="s">
        <v>37</v>
      </c>
      <c r="C2056" s="1" t="s">
        <v>583</v>
      </c>
      <c r="D2056" s="1" t="s">
        <v>95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25">
      <c r="A2057" s="1" t="s">
        <v>507</v>
      </c>
      <c r="B2057" s="1" t="s">
        <v>38</v>
      </c>
      <c r="C2057" s="1" t="s">
        <v>584</v>
      </c>
      <c r="D2057" s="1" t="s">
        <v>92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25">
      <c r="A2058" s="1" t="s">
        <v>507</v>
      </c>
      <c r="B2058" s="1" t="s">
        <v>39</v>
      </c>
      <c r="C2058" s="1" t="s">
        <v>585</v>
      </c>
      <c r="D2058" s="1" t="s">
        <v>78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25">
      <c r="A2059" s="1" t="s">
        <v>507</v>
      </c>
      <c r="B2059" s="1" t="s">
        <v>567</v>
      </c>
      <c r="C2059" s="1" t="s">
        <v>586</v>
      </c>
      <c r="D2059" s="1" t="s">
        <v>92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25">
      <c r="A2060" s="1" t="s">
        <v>507</v>
      </c>
      <c r="B2060" s="1" t="s">
        <v>568</v>
      </c>
      <c r="C2060" s="1" t="s">
        <v>587</v>
      </c>
      <c r="D2060" s="1" t="s">
        <v>78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25">
      <c r="A2061" s="1" t="s">
        <v>507</v>
      </c>
      <c r="B2061" s="1" t="s">
        <v>40</v>
      </c>
      <c r="C2061" s="1" t="s">
        <v>588</v>
      </c>
      <c r="D2061" s="1" t="s">
        <v>92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25">
      <c r="A2062" s="1" t="s">
        <v>507</v>
      </c>
      <c r="B2062" s="1" t="s">
        <v>569</v>
      </c>
      <c r="C2062" s="1" t="s">
        <v>589</v>
      </c>
      <c r="D2062" s="1" t="s">
        <v>246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25">
      <c r="A2063" s="1" t="s">
        <v>507</v>
      </c>
      <c r="B2063" s="1" t="s">
        <v>570</v>
      </c>
      <c r="C2063" s="1" t="s">
        <v>590</v>
      </c>
      <c r="D2063" s="1" t="s">
        <v>95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25">
      <c r="A2064" s="1" t="s">
        <v>507</v>
      </c>
      <c r="B2064" s="1" t="s">
        <v>571</v>
      </c>
      <c r="C2064" s="1" t="s">
        <v>591</v>
      </c>
      <c r="D2064" s="1" t="s">
        <v>246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25">
      <c r="A2065" s="1" t="s">
        <v>507</v>
      </c>
      <c r="B2065" s="1" t="s">
        <v>572</v>
      </c>
      <c r="C2065" s="1" t="s">
        <v>592</v>
      </c>
      <c r="D2065" s="1" t="s">
        <v>78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25">
      <c r="A2066" s="1" t="s">
        <v>507</v>
      </c>
      <c r="B2066" s="1" t="s">
        <v>573</v>
      </c>
      <c r="C2066" s="1" t="s">
        <v>593</v>
      </c>
      <c r="D2066" s="1" t="s">
        <v>78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25">
      <c r="A2067" s="1" t="s">
        <v>508</v>
      </c>
      <c r="B2067" s="1" t="s">
        <v>174</v>
      </c>
      <c r="C2067" s="1" t="s">
        <v>574</v>
      </c>
      <c r="D2067" s="1" t="s">
        <v>78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25">
      <c r="A2068" s="1" t="s">
        <v>508</v>
      </c>
      <c r="B2068" s="1" t="s">
        <v>563</v>
      </c>
      <c r="C2068" s="1" t="s">
        <v>575</v>
      </c>
      <c r="D2068" s="1" t="s">
        <v>78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25">
      <c r="A2069" s="1" t="s">
        <v>508</v>
      </c>
      <c r="B2069" s="1" t="s">
        <v>564</v>
      </c>
      <c r="C2069" s="1" t="s">
        <v>576</v>
      </c>
      <c r="D2069" s="1" t="s">
        <v>92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25">
      <c r="A2070" s="1" t="s">
        <v>508</v>
      </c>
      <c r="B2070" s="1" t="s">
        <v>565</v>
      </c>
      <c r="C2070" s="1" t="s">
        <v>577</v>
      </c>
      <c r="D2070" s="1" t="s">
        <v>78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25">
      <c r="A2071" s="1" t="s">
        <v>508</v>
      </c>
      <c r="B2071" s="1" t="s">
        <v>566</v>
      </c>
      <c r="C2071" s="1" t="s">
        <v>578</v>
      </c>
      <c r="D2071" s="1" t="s">
        <v>78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25">
      <c r="A2072" s="1" t="s">
        <v>508</v>
      </c>
      <c r="B2072" s="1" t="s">
        <v>33</v>
      </c>
      <c r="C2072" s="1" t="s">
        <v>579</v>
      </c>
      <c r="D2072" s="1" t="s">
        <v>92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25">
      <c r="A2073" s="1" t="s">
        <v>508</v>
      </c>
      <c r="B2073" s="1" t="s">
        <v>34</v>
      </c>
      <c r="C2073" s="1" t="s">
        <v>580</v>
      </c>
      <c r="D2073" s="1" t="s">
        <v>627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25">
      <c r="A2074" s="1" t="s">
        <v>508</v>
      </c>
      <c r="B2074" s="1" t="s">
        <v>35</v>
      </c>
      <c r="C2074" s="1" t="s">
        <v>581</v>
      </c>
      <c r="D2074" s="1" t="s">
        <v>627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25">
      <c r="A2075" s="1" t="s">
        <v>508</v>
      </c>
      <c r="B2075" s="1" t="s">
        <v>36</v>
      </c>
      <c r="C2075" s="1" t="s">
        <v>582</v>
      </c>
      <c r="D2075" s="1" t="s">
        <v>78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25">
      <c r="A2076" s="1" t="s">
        <v>508</v>
      </c>
      <c r="B2076" s="1" t="s">
        <v>37</v>
      </c>
      <c r="C2076" s="1" t="s">
        <v>583</v>
      </c>
      <c r="D2076" s="1" t="s">
        <v>78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25">
      <c r="A2077" s="1" t="s">
        <v>508</v>
      </c>
      <c r="B2077" s="1" t="s">
        <v>38</v>
      </c>
      <c r="C2077" s="1" t="s">
        <v>584</v>
      </c>
      <c r="D2077" s="1" t="s">
        <v>627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25">
      <c r="A2078" s="1" t="s">
        <v>508</v>
      </c>
      <c r="B2078" s="1" t="s">
        <v>39</v>
      </c>
      <c r="C2078" s="1" t="s">
        <v>585</v>
      </c>
      <c r="D2078" s="1" t="s">
        <v>78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25">
      <c r="A2079" s="1" t="s">
        <v>508</v>
      </c>
      <c r="B2079" s="1" t="s">
        <v>567</v>
      </c>
      <c r="C2079" s="1" t="s">
        <v>586</v>
      </c>
      <c r="D2079" s="1" t="s">
        <v>92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25">
      <c r="A2080" s="1" t="s">
        <v>508</v>
      </c>
      <c r="B2080" s="1" t="s">
        <v>568</v>
      </c>
      <c r="C2080" s="1" t="s">
        <v>587</v>
      </c>
      <c r="D2080" s="1" t="s">
        <v>78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25">
      <c r="A2081" s="1" t="s">
        <v>508</v>
      </c>
      <c r="B2081" s="1" t="s">
        <v>40</v>
      </c>
      <c r="C2081" s="1" t="s">
        <v>588</v>
      </c>
      <c r="D2081" s="1" t="s">
        <v>92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25">
      <c r="A2082" s="1" t="s">
        <v>508</v>
      </c>
      <c r="B2082" s="1" t="s">
        <v>569</v>
      </c>
      <c r="C2082" s="1" t="s">
        <v>589</v>
      </c>
      <c r="D2082" s="1" t="s">
        <v>246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25">
      <c r="A2083" s="1" t="s">
        <v>508</v>
      </c>
      <c r="B2083" s="1" t="s">
        <v>570</v>
      </c>
      <c r="C2083" s="1" t="s">
        <v>590</v>
      </c>
      <c r="D2083" s="1" t="s">
        <v>95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25">
      <c r="A2084" s="1" t="s">
        <v>508</v>
      </c>
      <c r="B2084" s="1" t="s">
        <v>571</v>
      </c>
      <c r="C2084" s="1" t="s">
        <v>591</v>
      </c>
      <c r="D2084" s="1" t="s">
        <v>246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508</v>
      </c>
      <c r="B2085" s="1" t="s">
        <v>572</v>
      </c>
      <c r="C2085" s="1" t="s">
        <v>592</v>
      </c>
      <c r="D2085" s="1" t="s">
        <v>78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508</v>
      </c>
      <c r="B2086" s="1" t="s">
        <v>573</v>
      </c>
      <c r="C2086" s="1" t="s">
        <v>593</v>
      </c>
      <c r="D2086" s="1" t="s">
        <v>78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5">
      <c r="A2087" s="1" t="s">
        <v>509</v>
      </c>
      <c r="B2087" s="1" t="s">
        <v>174</v>
      </c>
      <c r="C2087" s="1" t="s">
        <v>574</v>
      </c>
      <c r="D2087" s="1" t="s">
        <v>78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25">
      <c r="A2088" s="1" t="s">
        <v>509</v>
      </c>
      <c r="B2088" s="1" t="s">
        <v>563</v>
      </c>
      <c r="C2088" s="1" t="s">
        <v>575</v>
      </c>
      <c r="D2088" s="1" t="s">
        <v>78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25">
      <c r="A2089" s="1" t="s">
        <v>509</v>
      </c>
      <c r="B2089" s="1" t="s">
        <v>564</v>
      </c>
      <c r="C2089" s="1" t="s">
        <v>576</v>
      </c>
      <c r="D2089" s="1" t="s">
        <v>92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5">
      <c r="A2090" s="1" t="s">
        <v>509</v>
      </c>
      <c r="B2090" s="1" t="s">
        <v>565</v>
      </c>
      <c r="C2090" s="1" t="s">
        <v>577</v>
      </c>
      <c r="D2090" s="1" t="s">
        <v>78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509</v>
      </c>
      <c r="B2091" s="1" t="s">
        <v>566</v>
      </c>
      <c r="C2091" s="1" t="s">
        <v>578</v>
      </c>
      <c r="D2091" s="1" t="s">
        <v>78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509</v>
      </c>
      <c r="B2092" s="1" t="s">
        <v>33</v>
      </c>
      <c r="C2092" s="1" t="s">
        <v>579</v>
      </c>
      <c r="D2092" s="1" t="s">
        <v>92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509</v>
      </c>
      <c r="B2093" s="1" t="s">
        <v>34</v>
      </c>
      <c r="C2093" s="1" t="s">
        <v>580</v>
      </c>
      <c r="D2093" s="1" t="s">
        <v>627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509</v>
      </c>
      <c r="B2094" s="1" t="s">
        <v>35</v>
      </c>
      <c r="C2094" s="1" t="s">
        <v>581</v>
      </c>
      <c r="D2094" s="1" t="s">
        <v>627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5">
      <c r="A2095" s="1" t="s">
        <v>509</v>
      </c>
      <c r="B2095" s="1" t="s">
        <v>36</v>
      </c>
      <c r="C2095" s="1" t="s">
        <v>582</v>
      </c>
      <c r="D2095" s="1" t="s">
        <v>78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25">
      <c r="A2096" s="1" t="s">
        <v>509</v>
      </c>
      <c r="B2096" s="1" t="s">
        <v>37</v>
      </c>
      <c r="C2096" s="1" t="s">
        <v>583</v>
      </c>
      <c r="D2096" s="1" t="s">
        <v>78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25">
      <c r="A2097" s="1" t="s">
        <v>509</v>
      </c>
      <c r="B2097" s="1" t="s">
        <v>38</v>
      </c>
      <c r="C2097" s="1" t="s">
        <v>584</v>
      </c>
      <c r="D2097" s="1" t="s">
        <v>627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25">
      <c r="A2098" s="1" t="s">
        <v>509</v>
      </c>
      <c r="B2098" s="1" t="s">
        <v>39</v>
      </c>
      <c r="C2098" s="1" t="s">
        <v>585</v>
      </c>
      <c r="D2098" s="1" t="s">
        <v>78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25">
      <c r="A2099" s="1" t="s">
        <v>509</v>
      </c>
      <c r="B2099" s="1" t="s">
        <v>567</v>
      </c>
      <c r="C2099" s="1" t="s">
        <v>586</v>
      </c>
      <c r="D2099" s="1" t="s">
        <v>92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25">
      <c r="A2100" s="1" t="s">
        <v>509</v>
      </c>
      <c r="B2100" s="1" t="s">
        <v>568</v>
      </c>
      <c r="C2100" s="1" t="s">
        <v>587</v>
      </c>
      <c r="D2100" s="1" t="s">
        <v>78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25">
      <c r="A2101" s="1" t="s">
        <v>509</v>
      </c>
      <c r="B2101" s="1" t="s">
        <v>40</v>
      </c>
      <c r="C2101" s="1" t="s">
        <v>588</v>
      </c>
      <c r="D2101" s="1" t="s">
        <v>92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25">
      <c r="A2102" s="1" t="s">
        <v>509</v>
      </c>
      <c r="B2102" s="1" t="s">
        <v>569</v>
      </c>
      <c r="C2102" s="1" t="s">
        <v>589</v>
      </c>
      <c r="D2102" s="1" t="s">
        <v>246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25">
      <c r="A2103" s="1" t="s">
        <v>509</v>
      </c>
      <c r="B2103" s="1" t="s">
        <v>570</v>
      </c>
      <c r="C2103" s="1" t="s">
        <v>590</v>
      </c>
      <c r="D2103" s="1" t="s">
        <v>95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25">
      <c r="A2104" s="1" t="s">
        <v>509</v>
      </c>
      <c r="B2104" s="1" t="s">
        <v>571</v>
      </c>
      <c r="C2104" s="1" t="s">
        <v>591</v>
      </c>
      <c r="D2104" s="1" t="s">
        <v>246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25">
      <c r="A2105" s="1" t="s">
        <v>509</v>
      </c>
      <c r="B2105" s="1" t="s">
        <v>572</v>
      </c>
      <c r="C2105" s="1" t="s">
        <v>592</v>
      </c>
      <c r="D2105" s="1" t="s">
        <v>78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25">
      <c r="A2106" s="1" t="s">
        <v>509</v>
      </c>
      <c r="B2106" s="1" t="s">
        <v>573</v>
      </c>
      <c r="C2106" s="1" t="s">
        <v>593</v>
      </c>
      <c r="D2106" s="1" t="s">
        <v>78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25">
      <c r="A2107" s="1" t="s">
        <v>510</v>
      </c>
      <c r="B2107" s="1" t="s">
        <v>174</v>
      </c>
      <c r="C2107" s="1" t="s">
        <v>574</v>
      </c>
      <c r="D2107" s="1" t="s">
        <v>78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25">
      <c r="A2108" s="1" t="s">
        <v>510</v>
      </c>
      <c r="B2108" s="1" t="s">
        <v>563</v>
      </c>
      <c r="C2108" s="1" t="s">
        <v>575</v>
      </c>
      <c r="D2108" s="1" t="s">
        <v>78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25">
      <c r="A2109" s="1" t="s">
        <v>510</v>
      </c>
      <c r="B2109" s="1" t="s">
        <v>564</v>
      </c>
      <c r="C2109" s="1" t="s">
        <v>576</v>
      </c>
      <c r="D2109" s="1" t="s">
        <v>92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25">
      <c r="A2110" s="1" t="s">
        <v>510</v>
      </c>
      <c r="B2110" s="1" t="s">
        <v>565</v>
      </c>
      <c r="C2110" s="1" t="s">
        <v>577</v>
      </c>
      <c r="D2110" s="1" t="s">
        <v>78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25">
      <c r="A2111" s="1" t="s">
        <v>510</v>
      </c>
      <c r="B2111" s="1" t="s">
        <v>566</v>
      </c>
      <c r="C2111" s="1" t="s">
        <v>578</v>
      </c>
      <c r="D2111" s="1" t="s">
        <v>78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25">
      <c r="A2112" s="1" t="s">
        <v>510</v>
      </c>
      <c r="B2112" s="1" t="s">
        <v>33</v>
      </c>
      <c r="C2112" s="1" t="s">
        <v>579</v>
      </c>
      <c r="D2112" s="1" t="s">
        <v>92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25">
      <c r="A2113" s="1" t="s">
        <v>510</v>
      </c>
      <c r="B2113" s="1" t="s">
        <v>34</v>
      </c>
      <c r="C2113" s="1" t="s">
        <v>580</v>
      </c>
      <c r="D2113" s="1" t="s">
        <v>92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25">
      <c r="A2114" s="1" t="s">
        <v>510</v>
      </c>
      <c r="B2114" s="1" t="s">
        <v>35</v>
      </c>
      <c r="C2114" s="1" t="s">
        <v>581</v>
      </c>
      <c r="D2114" s="1" t="s">
        <v>92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25">
      <c r="A2115" s="1" t="s">
        <v>510</v>
      </c>
      <c r="B2115" s="1" t="s">
        <v>36</v>
      </c>
      <c r="C2115" s="1" t="s">
        <v>582</v>
      </c>
      <c r="D2115" s="1" t="s">
        <v>95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25">
      <c r="A2116" s="1" t="s">
        <v>510</v>
      </c>
      <c r="B2116" s="1" t="s">
        <v>37</v>
      </c>
      <c r="C2116" s="1" t="s">
        <v>583</v>
      </c>
      <c r="D2116" s="1" t="s">
        <v>95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25">
      <c r="A2117" s="1" t="s">
        <v>510</v>
      </c>
      <c r="B2117" s="1" t="s">
        <v>38</v>
      </c>
      <c r="C2117" s="1" t="s">
        <v>584</v>
      </c>
      <c r="D2117" s="1" t="s">
        <v>92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25">
      <c r="A2118" s="1" t="s">
        <v>510</v>
      </c>
      <c r="B2118" s="1" t="s">
        <v>39</v>
      </c>
      <c r="C2118" s="1" t="s">
        <v>585</v>
      </c>
      <c r="D2118" s="1" t="s">
        <v>78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25">
      <c r="A2119" s="1" t="s">
        <v>510</v>
      </c>
      <c r="B2119" s="1" t="s">
        <v>567</v>
      </c>
      <c r="C2119" s="1" t="s">
        <v>586</v>
      </c>
      <c r="D2119" s="1" t="s">
        <v>92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25">
      <c r="A2120" s="1" t="s">
        <v>510</v>
      </c>
      <c r="B2120" s="1" t="s">
        <v>568</v>
      </c>
      <c r="C2120" s="1" t="s">
        <v>587</v>
      </c>
      <c r="D2120" s="1" t="s">
        <v>78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25">
      <c r="A2121" s="1" t="s">
        <v>510</v>
      </c>
      <c r="B2121" s="1" t="s">
        <v>40</v>
      </c>
      <c r="C2121" s="1" t="s">
        <v>588</v>
      </c>
      <c r="D2121" s="1" t="s">
        <v>92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5">
      <c r="A2122" s="1" t="s">
        <v>510</v>
      </c>
      <c r="B2122" s="1" t="s">
        <v>569</v>
      </c>
      <c r="C2122" s="1" t="s">
        <v>589</v>
      </c>
      <c r="D2122" s="1" t="s">
        <v>246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5">
      <c r="A2123" s="1" t="s">
        <v>510</v>
      </c>
      <c r="B2123" s="1" t="s">
        <v>570</v>
      </c>
      <c r="C2123" s="1" t="s">
        <v>590</v>
      </c>
      <c r="D2123" s="1" t="s">
        <v>95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1" t="s">
        <v>510</v>
      </c>
      <c r="B2124" s="1" t="s">
        <v>571</v>
      </c>
      <c r="C2124" s="1" t="s">
        <v>591</v>
      </c>
      <c r="D2124" s="1" t="s">
        <v>246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 t="s">
        <v>510</v>
      </c>
      <c r="B2125" s="1" t="s">
        <v>572</v>
      </c>
      <c r="C2125" s="1" t="s">
        <v>592</v>
      </c>
      <c r="D2125" s="1" t="s">
        <v>78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5">
      <c r="A2126" s="1" t="s">
        <v>510</v>
      </c>
      <c r="B2126" s="1" t="s">
        <v>573</v>
      </c>
      <c r="C2126" s="1" t="s">
        <v>593</v>
      </c>
      <c r="D2126" s="1" t="s">
        <v>78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5">
      <c r="A2127" s="1" t="s">
        <v>511</v>
      </c>
      <c r="B2127" s="1" t="s">
        <v>174</v>
      </c>
      <c r="C2127" s="1" t="s">
        <v>574</v>
      </c>
      <c r="D2127" s="1" t="s">
        <v>78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 t="s">
        <v>511</v>
      </c>
      <c r="B2128" s="1" t="s">
        <v>563</v>
      </c>
      <c r="C2128" s="1" t="s">
        <v>575</v>
      </c>
      <c r="D2128" s="1" t="s">
        <v>78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5">
      <c r="A2129" s="1" t="s">
        <v>511</v>
      </c>
      <c r="B2129" s="1" t="s">
        <v>564</v>
      </c>
      <c r="C2129" s="1" t="s">
        <v>576</v>
      </c>
      <c r="D2129" s="1" t="s">
        <v>92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5">
      <c r="A2130" s="1" t="s">
        <v>511</v>
      </c>
      <c r="B2130" s="1" t="s">
        <v>565</v>
      </c>
      <c r="C2130" s="1" t="s">
        <v>577</v>
      </c>
      <c r="D2130" s="1" t="s">
        <v>78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5">
      <c r="A2131" s="1" t="s">
        <v>511</v>
      </c>
      <c r="B2131" s="1" t="s">
        <v>566</v>
      </c>
      <c r="C2131" s="1" t="s">
        <v>578</v>
      </c>
      <c r="D2131" s="1" t="s">
        <v>78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 t="s">
        <v>511</v>
      </c>
      <c r="B2132" s="1" t="s">
        <v>33</v>
      </c>
      <c r="C2132" s="1" t="s">
        <v>579</v>
      </c>
      <c r="D2132" s="1" t="s">
        <v>92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5">
      <c r="A2133" s="1" t="s">
        <v>511</v>
      </c>
      <c r="B2133" s="1" t="s">
        <v>34</v>
      </c>
      <c r="C2133" s="1" t="s">
        <v>580</v>
      </c>
      <c r="D2133" s="1" t="s">
        <v>627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5">
      <c r="A2134" s="1" t="s">
        <v>511</v>
      </c>
      <c r="B2134" s="1" t="s">
        <v>35</v>
      </c>
      <c r="C2134" s="1" t="s">
        <v>581</v>
      </c>
      <c r="D2134" s="1" t="s">
        <v>627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5">
      <c r="A2135" s="1" t="s">
        <v>511</v>
      </c>
      <c r="B2135" s="1" t="s">
        <v>36</v>
      </c>
      <c r="C2135" s="1" t="s">
        <v>582</v>
      </c>
      <c r="D2135" s="1" t="s">
        <v>78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5">
      <c r="A2136" s="1" t="s">
        <v>511</v>
      </c>
      <c r="B2136" s="1" t="s">
        <v>37</v>
      </c>
      <c r="C2136" s="1" t="s">
        <v>583</v>
      </c>
      <c r="D2136" s="1" t="s">
        <v>78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5">
      <c r="A2137" s="1" t="s">
        <v>511</v>
      </c>
      <c r="B2137" s="1" t="s">
        <v>38</v>
      </c>
      <c r="C2137" s="1" t="s">
        <v>584</v>
      </c>
      <c r="D2137" s="1" t="s">
        <v>627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5">
      <c r="A2138" s="1" t="s">
        <v>511</v>
      </c>
      <c r="B2138" s="1" t="s">
        <v>39</v>
      </c>
      <c r="C2138" s="1" t="s">
        <v>585</v>
      </c>
      <c r="D2138" s="1" t="s">
        <v>78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5">
      <c r="A2139" s="1" t="s">
        <v>511</v>
      </c>
      <c r="B2139" s="1" t="s">
        <v>567</v>
      </c>
      <c r="C2139" s="1" t="s">
        <v>586</v>
      </c>
      <c r="D2139" s="1" t="s">
        <v>92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 t="s">
        <v>511</v>
      </c>
      <c r="B2140" s="1" t="s">
        <v>568</v>
      </c>
      <c r="C2140" s="1" t="s">
        <v>587</v>
      </c>
      <c r="D2140" s="1" t="s">
        <v>78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5">
      <c r="A2141" s="1" t="s">
        <v>511</v>
      </c>
      <c r="B2141" s="1" t="s">
        <v>40</v>
      </c>
      <c r="C2141" s="1" t="s">
        <v>588</v>
      </c>
      <c r="D2141" s="1" t="s">
        <v>92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5">
      <c r="A2142" s="1" t="s">
        <v>511</v>
      </c>
      <c r="B2142" s="1" t="s">
        <v>569</v>
      </c>
      <c r="C2142" s="1" t="s">
        <v>589</v>
      </c>
      <c r="D2142" s="1" t="s">
        <v>246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5">
      <c r="A2143" s="1" t="s">
        <v>511</v>
      </c>
      <c r="B2143" s="1" t="s">
        <v>570</v>
      </c>
      <c r="C2143" s="1" t="s">
        <v>590</v>
      </c>
      <c r="D2143" s="1" t="s">
        <v>95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5">
      <c r="A2144" s="1" t="s">
        <v>511</v>
      </c>
      <c r="B2144" s="1" t="s">
        <v>571</v>
      </c>
      <c r="C2144" s="1" t="s">
        <v>591</v>
      </c>
      <c r="D2144" s="1" t="s">
        <v>246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 t="s">
        <v>511</v>
      </c>
      <c r="B2145" s="1" t="s">
        <v>572</v>
      </c>
      <c r="C2145" s="1" t="s">
        <v>592</v>
      </c>
      <c r="D2145" s="1" t="s">
        <v>78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 t="s">
        <v>511</v>
      </c>
      <c r="B2146" s="1" t="s">
        <v>573</v>
      </c>
      <c r="C2146" s="1" t="s">
        <v>593</v>
      </c>
      <c r="D2146" s="1" t="s">
        <v>78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5">
      <c r="A2147" s="1" t="s">
        <v>512</v>
      </c>
      <c r="B2147" s="1" t="s">
        <v>174</v>
      </c>
      <c r="C2147" s="1" t="s">
        <v>574</v>
      </c>
      <c r="D2147" s="1" t="s">
        <v>78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 t="s">
        <v>512</v>
      </c>
      <c r="B2148" s="1" t="s">
        <v>563</v>
      </c>
      <c r="C2148" s="1" t="s">
        <v>575</v>
      </c>
      <c r="D2148" s="1" t="s">
        <v>78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5">
      <c r="A2149" s="1" t="s">
        <v>512</v>
      </c>
      <c r="B2149" s="1" t="s">
        <v>564</v>
      </c>
      <c r="C2149" s="1" t="s">
        <v>576</v>
      </c>
      <c r="D2149" s="1" t="s">
        <v>92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5">
      <c r="A2150" s="1" t="s">
        <v>512</v>
      </c>
      <c r="B2150" s="1" t="s">
        <v>565</v>
      </c>
      <c r="C2150" s="1" t="s">
        <v>577</v>
      </c>
      <c r="D2150" s="1" t="s">
        <v>78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5">
      <c r="A2151" s="1" t="s">
        <v>512</v>
      </c>
      <c r="B2151" s="1" t="s">
        <v>566</v>
      </c>
      <c r="C2151" s="1" t="s">
        <v>578</v>
      </c>
      <c r="D2151" s="1" t="s">
        <v>78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 t="s">
        <v>512</v>
      </c>
      <c r="B2152" s="1" t="s">
        <v>33</v>
      </c>
      <c r="C2152" s="1" t="s">
        <v>579</v>
      </c>
      <c r="D2152" s="1" t="s">
        <v>92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1" t="s">
        <v>512</v>
      </c>
      <c r="B2153" s="1" t="s">
        <v>34</v>
      </c>
      <c r="C2153" s="1" t="s">
        <v>580</v>
      </c>
      <c r="D2153" s="1" t="s">
        <v>92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5">
      <c r="A2154" s="1" t="s">
        <v>512</v>
      </c>
      <c r="B2154" s="1" t="s">
        <v>35</v>
      </c>
      <c r="C2154" s="1" t="s">
        <v>581</v>
      </c>
      <c r="D2154" s="1" t="s">
        <v>92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5">
      <c r="A2155" s="1" t="s">
        <v>512</v>
      </c>
      <c r="B2155" s="1" t="s">
        <v>36</v>
      </c>
      <c r="C2155" s="1" t="s">
        <v>582</v>
      </c>
      <c r="D2155" s="1" t="s">
        <v>95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5">
      <c r="A2156" s="1" t="s">
        <v>512</v>
      </c>
      <c r="B2156" s="1" t="s">
        <v>37</v>
      </c>
      <c r="C2156" s="1" t="s">
        <v>583</v>
      </c>
      <c r="D2156" s="1" t="s">
        <v>95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512</v>
      </c>
      <c r="B2157" s="1" t="s">
        <v>38</v>
      </c>
      <c r="C2157" s="1" t="s">
        <v>584</v>
      </c>
      <c r="D2157" s="1" t="s">
        <v>92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512</v>
      </c>
      <c r="B2158" s="1" t="s">
        <v>39</v>
      </c>
      <c r="C2158" s="1" t="s">
        <v>585</v>
      </c>
      <c r="D2158" s="1" t="s">
        <v>78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512</v>
      </c>
      <c r="B2159" s="1" t="s">
        <v>567</v>
      </c>
      <c r="C2159" s="1" t="s">
        <v>586</v>
      </c>
      <c r="D2159" s="1" t="s">
        <v>92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 t="s">
        <v>512</v>
      </c>
      <c r="B2160" s="1" t="s">
        <v>568</v>
      </c>
      <c r="C2160" s="1" t="s">
        <v>587</v>
      </c>
      <c r="D2160" s="1" t="s">
        <v>78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5">
      <c r="A2161" s="1" t="s">
        <v>512</v>
      </c>
      <c r="B2161" s="1" t="s">
        <v>40</v>
      </c>
      <c r="C2161" s="1" t="s">
        <v>588</v>
      </c>
      <c r="D2161" s="1" t="s">
        <v>92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512</v>
      </c>
      <c r="B2162" s="1" t="s">
        <v>569</v>
      </c>
      <c r="C2162" s="1" t="s">
        <v>589</v>
      </c>
      <c r="D2162" s="1" t="s">
        <v>246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512</v>
      </c>
      <c r="B2163" s="1" t="s">
        <v>570</v>
      </c>
      <c r="C2163" s="1" t="s">
        <v>590</v>
      </c>
      <c r="D2163" s="1" t="s">
        <v>95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512</v>
      </c>
      <c r="B2164" s="1" t="s">
        <v>571</v>
      </c>
      <c r="C2164" s="1" t="s">
        <v>591</v>
      </c>
      <c r="D2164" s="1" t="s">
        <v>246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512</v>
      </c>
      <c r="B2165" s="1" t="s">
        <v>572</v>
      </c>
      <c r="C2165" s="1" t="s">
        <v>592</v>
      </c>
      <c r="D2165" s="1" t="s">
        <v>78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512</v>
      </c>
      <c r="B2166" s="1" t="s">
        <v>573</v>
      </c>
      <c r="C2166" s="1" t="s">
        <v>593</v>
      </c>
      <c r="D2166" s="1" t="s">
        <v>78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513</v>
      </c>
      <c r="B2167" s="1" t="s">
        <v>174</v>
      </c>
      <c r="C2167" s="1" t="s">
        <v>574</v>
      </c>
      <c r="D2167" s="1" t="s">
        <v>78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 t="s">
        <v>513</v>
      </c>
      <c r="B2168" s="1" t="s">
        <v>563</v>
      </c>
      <c r="C2168" s="1" t="s">
        <v>575</v>
      </c>
      <c r="D2168" s="1" t="s">
        <v>78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5">
      <c r="A2169" s="1" t="s">
        <v>513</v>
      </c>
      <c r="B2169" s="1" t="s">
        <v>564</v>
      </c>
      <c r="C2169" s="1" t="s">
        <v>576</v>
      </c>
      <c r="D2169" s="1" t="s">
        <v>92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5">
      <c r="A2170" s="1" t="s">
        <v>513</v>
      </c>
      <c r="B2170" s="1" t="s">
        <v>565</v>
      </c>
      <c r="C2170" s="1" t="s">
        <v>577</v>
      </c>
      <c r="D2170" s="1" t="s">
        <v>78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5">
      <c r="A2171" s="1" t="s">
        <v>513</v>
      </c>
      <c r="B2171" s="1" t="s">
        <v>566</v>
      </c>
      <c r="C2171" s="1" t="s">
        <v>578</v>
      </c>
      <c r="D2171" s="1" t="s">
        <v>78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 t="s">
        <v>513</v>
      </c>
      <c r="B2172" s="1" t="s">
        <v>33</v>
      </c>
      <c r="C2172" s="1" t="s">
        <v>579</v>
      </c>
      <c r="D2172" s="1" t="s">
        <v>92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5">
      <c r="A2173" s="1" t="s">
        <v>513</v>
      </c>
      <c r="B2173" s="1" t="s">
        <v>34</v>
      </c>
      <c r="C2173" s="1" t="s">
        <v>580</v>
      </c>
      <c r="D2173" s="1" t="s">
        <v>627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5">
      <c r="A2174" s="1" t="s">
        <v>513</v>
      </c>
      <c r="B2174" s="1" t="s">
        <v>35</v>
      </c>
      <c r="C2174" s="1" t="s">
        <v>581</v>
      </c>
      <c r="D2174" s="1" t="s">
        <v>627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5">
      <c r="A2175" s="1" t="s">
        <v>513</v>
      </c>
      <c r="B2175" s="1" t="s">
        <v>36</v>
      </c>
      <c r="C2175" s="1" t="s">
        <v>582</v>
      </c>
      <c r="D2175" s="1" t="s">
        <v>78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5">
      <c r="A2176" s="1" t="s">
        <v>513</v>
      </c>
      <c r="B2176" s="1" t="s">
        <v>37</v>
      </c>
      <c r="C2176" s="1" t="s">
        <v>583</v>
      </c>
      <c r="D2176" s="1" t="s">
        <v>78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5">
      <c r="A2177" s="1" t="s">
        <v>513</v>
      </c>
      <c r="B2177" s="1" t="s">
        <v>38</v>
      </c>
      <c r="C2177" s="1" t="s">
        <v>584</v>
      </c>
      <c r="D2177" s="1" t="s">
        <v>627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5">
      <c r="A2178" s="1" t="s">
        <v>513</v>
      </c>
      <c r="B2178" s="1" t="s">
        <v>39</v>
      </c>
      <c r="C2178" s="1" t="s">
        <v>585</v>
      </c>
      <c r="D2178" s="1" t="s">
        <v>78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5">
      <c r="A2179" s="1" t="s">
        <v>513</v>
      </c>
      <c r="B2179" s="1" t="s">
        <v>567</v>
      </c>
      <c r="C2179" s="1" t="s">
        <v>586</v>
      </c>
      <c r="D2179" s="1" t="s">
        <v>92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513</v>
      </c>
      <c r="B2180" s="1" t="s">
        <v>568</v>
      </c>
      <c r="C2180" s="1" t="s">
        <v>587</v>
      </c>
      <c r="D2180" s="1" t="s">
        <v>78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5">
      <c r="A2181" s="1" t="s">
        <v>513</v>
      </c>
      <c r="B2181" s="1" t="s">
        <v>40</v>
      </c>
      <c r="C2181" s="1" t="s">
        <v>588</v>
      </c>
      <c r="D2181" s="1" t="s">
        <v>92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5">
      <c r="A2182" s="1" t="s">
        <v>513</v>
      </c>
      <c r="B2182" s="1" t="s">
        <v>569</v>
      </c>
      <c r="C2182" s="1" t="s">
        <v>589</v>
      </c>
      <c r="D2182" s="1" t="s">
        <v>246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5">
      <c r="A2183" s="1" t="s">
        <v>513</v>
      </c>
      <c r="B2183" s="1" t="s">
        <v>570</v>
      </c>
      <c r="C2183" s="1" t="s">
        <v>590</v>
      </c>
      <c r="D2183" s="1" t="s">
        <v>95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5">
      <c r="A2184" s="1" t="s">
        <v>513</v>
      </c>
      <c r="B2184" s="1" t="s">
        <v>571</v>
      </c>
      <c r="C2184" s="1" t="s">
        <v>591</v>
      </c>
      <c r="D2184" s="1" t="s">
        <v>246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513</v>
      </c>
      <c r="B2185" s="1" t="s">
        <v>572</v>
      </c>
      <c r="C2185" s="1" t="s">
        <v>592</v>
      </c>
      <c r="D2185" s="1" t="s">
        <v>78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513</v>
      </c>
      <c r="B2186" s="1" t="s">
        <v>573</v>
      </c>
      <c r="C2186" s="1" t="s">
        <v>593</v>
      </c>
      <c r="D2186" s="1" t="s">
        <v>78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5">
      <c r="A2187" s="1" t="s">
        <v>514</v>
      </c>
      <c r="B2187" s="1" t="s">
        <v>174</v>
      </c>
      <c r="C2187" s="1" t="s">
        <v>574</v>
      </c>
      <c r="D2187" s="1" t="s">
        <v>78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514</v>
      </c>
      <c r="B2188" s="1" t="s">
        <v>563</v>
      </c>
      <c r="C2188" s="1" t="s">
        <v>575</v>
      </c>
      <c r="D2188" s="1" t="s">
        <v>78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5">
      <c r="A2189" s="1" t="s">
        <v>514</v>
      </c>
      <c r="B2189" s="1" t="s">
        <v>564</v>
      </c>
      <c r="C2189" s="1" t="s">
        <v>576</v>
      </c>
      <c r="D2189" s="1" t="s">
        <v>92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5">
      <c r="A2190" s="1" t="s">
        <v>514</v>
      </c>
      <c r="B2190" s="1" t="s">
        <v>565</v>
      </c>
      <c r="C2190" s="1" t="s">
        <v>577</v>
      </c>
      <c r="D2190" s="1" t="s">
        <v>78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5">
      <c r="A2191" s="1" t="s">
        <v>514</v>
      </c>
      <c r="B2191" s="1" t="s">
        <v>566</v>
      </c>
      <c r="C2191" s="1" t="s">
        <v>578</v>
      </c>
      <c r="D2191" s="1" t="s">
        <v>78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514</v>
      </c>
      <c r="B2192" s="1" t="s">
        <v>33</v>
      </c>
      <c r="C2192" s="1" t="s">
        <v>579</v>
      </c>
      <c r="D2192" s="1" t="s">
        <v>92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5">
      <c r="A2193" s="1" t="s">
        <v>514</v>
      </c>
      <c r="B2193" s="1" t="s">
        <v>34</v>
      </c>
      <c r="C2193" s="1" t="s">
        <v>580</v>
      </c>
      <c r="D2193" s="1" t="s">
        <v>627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5">
      <c r="A2194" s="1" t="s">
        <v>514</v>
      </c>
      <c r="B2194" s="1" t="s">
        <v>35</v>
      </c>
      <c r="C2194" s="1" t="s">
        <v>581</v>
      </c>
      <c r="D2194" s="1" t="s">
        <v>627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5">
      <c r="A2195" s="1" t="s">
        <v>514</v>
      </c>
      <c r="B2195" s="1" t="s">
        <v>36</v>
      </c>
      <c r="C2195" s="1" t="s">
        <v>582</v>
      </c>
      <c r="D2195" s="1" t="s">
        <v>78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5">
      <c r="A2196" s="1" t="s">
        <v>514</v>
      </c>
      <c r="B2196" s="1" t="s">
        <v>37</v>
      </c>
      <c r="C2196" s="1" t="s">
        <v>583</v>
      </c>
      <c r="D2196" s="1" t="s">
        <v>78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5">
      <c r="A2197" s="1" t="s">
        <v>514</v>
      </c>
      <c r="B2197" s="1" t="s">
        <v>38</v>
      </c>
      <c r="C2197" s="1" t="s">
        <v>584</v>
      </c>
      <c r="D2197" s="1" t="s">
        <v>627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5">
      <c r="A2198" s="1" t="s">
        <v>514</v>
      </c>
      <c r="B2198" s="1" t="s">
        <v>39</v>
      </c>
      <c r="C2198" s="1" t="s">
        <v>585</v>
      </c>
      <c r="D2198" s="1" t="s">
        <v>78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5">
      <c r="A2199" s="1" t="s">
        <v>514</v>
      </c>
      <c r="B2199" s="1" t="s">
        <v>567</v>
      </c>
      <c r="C2199" s="1" t="s">
        <v>586</v>
      </c>
      <c r="D2199" s="1" t="s">
        <v>92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514</v>
      </c>
      <c r="B2200" s="1" t="s">
        <v>568</v>
      </c>
      <c r="C2200" s="1" t="s">
        <v>587</v>
      </c>
      <c r="D2200" s="1" t="s">
        <v>78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5">
      <c r="A2201" s="1" t="s">
        <v>514</v>
      </c>
      <c r="B2201" s="1" t="s">
        <v>40</v>
      </c>
      <c r="C2201" s="1" t="s">
        <v>588</v>
      </c>
      <c r="D2201" s="1" t="s">
        <v>92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5">
      <c r="A2202" s="1" t="s">
        <v>514</v>
      </c>
      <c r="B2202" s="1" t="s">
        <v>569</v>
      </c>
      <c r="C2202" s="1" t="s">
        <v>589</v>
      </c>
      <c r="D2202" s="1" t="s">
        <v>246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5">
      <c r="A2203" s="1" t="s">
        <v>514</v>
      </c>
      <c r="B2203" s="1" t="s">
        <v>570</v>
      </c>
      <c r="C2203" s="1" t="s">
        <v>590</v>
      </c>
      <c r="D2203" s="1" t="s">
        <v>95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5">
      <c r="A2204" s="1" t="s">
        <v>514</v>
      </c>
      <c r="B2204" s="1" t="s">
        <v>571</v>
      </c>
      <c r="C2204" s="1" t="s">
        <v>591</v>
      </c>
      <c r="D2204" s="1" t="s">
        <v>246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514</v>
      </c>
      <c r="B2205" s="1" t="s">
        <v>572</v>
      </c>
      <c r="C2205" s="1" t="s">
        <v>592</v>
      </c>
      <c r="D2205" s="1" t="s">
        <v>78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514</v>
      </c>
      <c r="B2206" s="1" t="s">
        <v>573</v>
      </c>
      <c r="C2206" s="1" t="s">
        <v>593</v>
      </c>
      <c r="D2206" s="1" t="s">
        <v>78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5">
      <c r="A2207" s="1" t="s">
        <v>515</v>
      </c>
      <c r="B2207" s="1" t="s">
        <v>174</v>
      </c>
      <c r="C2207" s="1" t="s">
        <v>574</v>
      </c>
      <c r="D2207" s="1" t="s">
        <v>78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515</v>
      </c>
      <c r="B2208" s="1" t="s">
        <v>563</v>
      </c>
      <c r="C2208" s="1" t="s">
        <v>575</v>
      </c>
      <c r="D2208" s="1" t="s">
        <v>78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5">
      <c r="A2209" s="1" t="s">
        <v>515</v>
      </c>
      <c r="B2209" s="1" t="s">
        <v>564</v>
      </c>
      <c r="C2209" s="1" t="s">
        <v>576</v>
      </c>
      <c r="D2209" s="1" t="s">
        <v>92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5">
      <c r="A2210" s="1" t="s">
        <v>515</v>
      </c>
      <c r="B2210" s="1" t="s">
        <v>565</v>
      </c>
      <c r="C2210" s="1" t="s">
        <v>577</v>
      </c>
      <c r="D2210" s="1" t="s">
        <v>78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5">
      <c r="A2211" s="1" t="s">
        <v>515</v>
      </c>
      <c r="B2211" s="1" t="s">
        <v>566</v>
      </c>
      <c r="C2211" s="1" t="s">
        <v>578</v>
      </c>
      <c r="D2211" s="1" t="s">
        <v>78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515</v>
      </c>
      <c r="B2212" s="1" t="s">
        <v>33</v>
      </c>
      <c r="C2212" s="1" t="s">
        <v>579</v>
      </c>
      <c r="D2212" s="1" t="s">
        <v>92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5">
      <c r="A2213" s="1" t="s">
        <v>515</v>
      </c>
      <c r="B2213" s="1" t="s">
        <v>34</v>
      </c>
      <c r="C2213" s="1" t="s">
        <v>580</v>
      </c>
      <c r="D2213" s="1" t="s">
        <v>92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5">
      <c r="A2214" s="1" t="s">
        <v>515</v>
      </c>
      <c r="B2214" s="1" t="s">
        <v>35</v>
      </c>
      <c r="C2214" s="1" t="s">
        <v>581</v>
      </c>
      <c r="D2214" s="1" t="s">
        <v>92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5">
      <c r="A2215" s="1" t="s">
        <v>515</v>
      </c>
      <c r="B2215" s="1" t="s">
        <v>36</v>
      </c>
      <c r="C2215" s="1" t="s">
        <v>582</v>
      </c>
      <c r="D2215" s="1" t="s">
        <v>95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5">
      <c r="A2216" s="1" t="s">
        <v>515</v>
      </c>
      <c r="B2216" s="1" t="s">
        <v>37</v>
      </c>
      <c r="C2216" s="1" t="s">
        <v>583</v>
      </c>
      <c r="D2216" s="1" t="s">
        <v>95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5">
      <c r="A2217" s="1" t="s">
        <v>515</v>
      </c>
      <c r="B2217" s="1" t="s">
        <v>38</v>
      </c>
      <c r="C2217" s="1" t="s">
        <v>584</v>
      </c>
      <c r="D2217" s="1" t="s">
        <v>92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5">
      <c r="A2218" s="1" t="s">
        <v>515</v>
      </c>
      <c r="B2218" s="1" t="s">
        <v>39</v>
      </c>
      <c r="C2218" s="1" t="s">
        <v>585</v>
      </c>
      <c r="D2218" s="1" t="s">
        <v>78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5">
      <c r="A2219" s="1" t="s">
        <v>515</v>
      </c>
      <c r="B2219" s="1" t="s">
        <v>567</v>
      </c>
      <c r="C2219" s="1" t="s">
        <v>586</v>
      </c>
      <c r="D2219" s="1" t="s">
        <v>92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515</v>
      </c>
      <c r="B2220" s="1" t="s">
        <v>568</v>
      </c>
      <c r="C2220" s="1" t="s">
        <v>587</v>
      </c>
      <c r="D2220" s="1" t="s">
        <v>78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5">
      <c r="A2221" s="1" t="s">
        <v>515</v>
      </c>
      <c r="B2221" s="1" t="s">
        <v>40</v>
      </c>
      <c r="C2221" s="1" t="s">
        <v>588</v>
      </c>
      <c r="D2221" s="1" t="s">
        <v>92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5">
      <c r="A2222" s="1" t="s">
        <v>515</v>
      </c>
      <c r="B2222" s="1" t="s">
        <v>569</v>
      </c>
      <c r="C2222" s="1" t="s">
        <v>589</v>
      </c>
      <c r="D2222" s="1" t="s">
        <v>246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5">
      <c r="A2223" s="1" t="s">
        <v>515</v>
      </c>
      <c r="B2223" s="1" t="s">
        <v>570</v>
      </c>
      <c r="C2223" s="1" t="s">
        <v>590</v>
      </c>
      <c r="D2223" s="1" t="s">
        <v>95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5">
      <c r="A2224" s="1" t="s">
        <v>515</v>
      </c>
      <c r="B2224" s="1" t="s">
        <v>571</v>
      </c>
      <c r="C2224" s="1" t="s">
        <v>591</v>
      </c>
      <c r="D2224" s="1" t="s">
        <v>246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515</v>
      </c>
      <c r="B2225" s="1" t="s">
        <v>572</v>
      </c>
      <c r="C2225" s="1" t="s">
        <v>592</v>
      </c>
      <c r="D2225" s="1" t="s">
        <v>78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515</v>
      </c>
      <c r="B2226" s="1" t="s">
        <v>573</v>
      </c>
      <c r="C2226" s="1" t="s">
        <v>593</v>
      </c>
      <c r="D2226" s="1" t="s">
        <v>78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5">
      <c r="A2227" s="1" t="s">
        <v>516</v>
      </c>
      <c r="B2227" s="1" t="s">
        <v>174</v>
      </c>
      <c r="C2227" s="1" t="s">
        <v>574</v>
      </c>
      <c r="D2227" s="1" t="s">
        <v>78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516</v>
      </c>
      <c r="B2228" s="1" t="s">
        <v>563</v>
      </c>
      <c r="C2228" s="1" t="s">
        <v>575</v>
      </c>
      <c r="D2228" s="1" t="s">
        <v>78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516</v>
      </c>
      <c r="B2229" s="1" t="s">
        <v>564</v>
      </c>
      <c r="C2229" s="1" t="s">
        <v>576</v>
      </c>
      <c r="D2229" s="1" t="s">
        <v>92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516</v>
      </c>
      <c r="B2230" s="1" t="s">
        <v>565</v>
      </c>
      <c r="C2230" s="1" t="s">
        <v>577</v>
      </c>
      <c r="D2230" s="1" t="s">
        <v>78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516</v>
      </c>
      <c r="B2231" s="1" t="s">
        <v>566</v>
      </c>
      <c r="C2231" s="1" t="s">
        <v>578</v>
      </c>
      <c r="D2231" s="1" t="s">
        <v>78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516</v>
      </c>
      <c r="B2232" s="1" t="s">
        <v>33</v>
      </c>
      <c r="C2232" s="1" t="s">
        <v>579</v>
      </c>
      <c r="D2232" s="1" t="s">
        <v>92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5">
      <c r="A2233" s="1" t="s">
        <v>516</v>
      </c>
      <c r="B2233" s="1" t="s">
        <v>34</v>
      </c>
      <c r="C2233" s="1" t="s">
        <v>580</v>
      </c>
      <c r="D2233" s="1" t="s">
        <v>627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516</v>
      </c>
      <c r="B2234" s="1" t="s">
        <v>35</v>
      </c>
      <c r="C2234" s="1" t="s">
        <v>581</v>
      </c>
      <c r="D2234" s="1" t="s">
        <v>627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516</v>
      </c>
      <c r="B2235" s="1" t="s">
        <v>36</v>
      </c>
      <c r="C2235" s="1" t="s">
        <v>582</v>
      </c>
      <c r="D2235" s="1" t="s">
        <v>78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516</v>
      </c>
      <c r="B2236" s="1" t="s">
        <v>37</v>
      </c>
      <c r="C2236" s="1" t="s">
        <v>583</v>
      </c>
      <c r="D2236" s="1" t="s">
        <v>78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516</v>
      </c>
      <c r="B2237" s="1" t="s">
        <v>38</v>
      </c>
      <c r="C2237" s="1" t="s">
        <v>584</v>
      </c>
      <c r="D2237" s="1" t="s">
        <v>627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516</v>
      </c>
      <c r="B2238" s="1" t="s">
        <v>39</v>
      </c>
      <c r="C2238" s="1" t="s">
        <v>585</v>
      </c>
      <c r="D2238" s="1" t="s">
        <v>78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516</v>
      </c>
      <c r="B2239" s="1" t="s">
        <v>567</v>
      </c>
      <c r="C2239" s="1" t="s">
        <v>586</v>
      </c>
      <c r="D2239" s="1" t="s">
        <v>92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516</v>
      </c>
      <c r="B2240" s="1" t="s">
        <v>568</v>
      </c>
      <c r="C2240" s="1" t="s">
        <v>587</v>
      </c>
      <c r="D2240" s="1" t="s">
        <v>78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5">
      <c r="A2241" s="1" t="s">
        <v>516</v>
      </c>
      <c r="B2241" s="1" t="s">
        <v>40</v>
      </c>
      <c r="C2241" s="1" t="s">
        <v>588</v>
      </c>
      <c r="D2241" s="1" t="s">
        <v>92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5">
      <c r="A2242" s="1" t="s">
        <v>516</v>
      </c>
      <c r="B2242" s="1" t="s">
        <v>569</v>
      </c>
      <c r="C2242" s="1" t="s">
        <v>589</v>
      </c>
      <c r="D2242" s="1" t="s">
        <v>246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1" t="s">
        <v>516</v>
      </c>
      <c r="B2243" s="1" t="s">
        <v>570</v>
      </c>
      <c r="C2243" s="1" t="s">
        <v>590</v>
      </c>
      <c r="D2243" s="1" t="s">
        <v>95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5">
      <c r="A2244" s="1" t="s">
        <v>516</v>
      </c>
      <c r="B2244" s="1" t="s">
        <v>571</v>
      </c>
      <c r="C2244" s="1" t="s">
        <v>591</v>
      </c>
      <c r="D2244" s="1" t="s">
        <v>246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516</v>
      </c>
      <c r="B2245" s="1" t="s">
        <v>572</v>
      </c>
      <c r="C2245" s="1" t="s">
        <v>592</v>
      </c>
      <c r="D2245" s="1" t="s">
        <v>78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516</v>
      </c>
      <c r="B2246" s="1" t="s">
        <v>573</v>
      </c>
      <c r="C2246" s="1" t="s">
        <v>593</v>
      </c>
      <c r="D2246" s="1" t="s">
        <v>78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5">
      <c r="A2247" s="1" t="s">
        <v>517</v>
      </c>
      <c r="B2247" s="1" t="s">
        <v>174</v>
      </c>
      <c r="C2247" s="1" t="s">
        <v>574</v>
      </c>
      <c r="D2247" s="1" t="s">
        <v>78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517</v>
      </c>
      <c r="B2248" s="1" t="s">
        <v>563</v>
      </c>
      <c r="C2248" s="1" t="s">
        <v>575</v>
      </c>
      <c r="D2248" s="1" t="s">
        <v>78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1" t="s">
        <v>517</v>
      </c>
      <c r="B2249" s="1" t="s">
        <v>564</v>
      </c>
      <c r="C2249" s="1" t="s">
        <v>576</v>
      </c>
      <c r="D2249" s="1" t="s">
        <v>92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5">
      <c r="A2250" s="1" t="s">
        <v>517</v>
      </c>
      <c r="B2250" s="1" t="s">
        <v>565</v>
      </c>
      <c r="C2250" s="1" t="s">
        <v>577</v>
      </c>
      <c r="D2250" s="1" t="s">
        <v>78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5">
      <c r="A2251" s="1" t="s">
        <v>517</v>
      </c>
      <c r="B2251" s="1" t="s">
        <v>566</v>
      </c>
      <c r="C2251" s="1" t="s">
        <v>578</v>
      </c>
      <c r="D2251" s="1" t="s">
        <v>78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517</v>
      </c>
      <c r="B2252" s="1" t="s">
        <v>33</v>
      </c>
      <c r="C2252" s="1" t="s">
        <v>579</v>
      </c>
      <c r="D2252" s="1" t="s">
        <v>92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5">
      <c r="A2253" s="1" t="s">
        <v>517</v>
      </c>
      <c r="B2253" s="1" t="s">
        <v>34</v>
      </c>
      <c r="C2253" s="1" t="s">
        <v>580</v>
      </c>
      <c r="D2253" s="1" t="s">
        <v>92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5">
      <c r="A2254" s="1" t="s">
        <v>517</v>
      </c>
      <c r="B2254" s="1" t="s">
        <v>35</v>
      </c>
      <c r="C2254" s="1" t="s">
        <v>581</v>
      </c>
      <c r="D2254" s="1" t="s">
        <v>92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5">
      <c r="A2255" s="1" t="s">
        <v>517</v>
      </c>
      <c r="B2255" s="1" t="s">
        <v>36</v>
      </c>
      <c r="C2255" s="1" t="s">
        <v>582</v>
      </c>
      <c r="D2255" s="1" t="s">
        <v>95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5">
      <c r="A2256" s="1" t="s">
        <v>517</v>
      </c>
      <c r="B2256" s="1" t="s">
        <v>37</v>
      </c>
      <c r="C2256" s="1" t="s">
        <v>583</v>
      </c>
      <c r="D2256" s="1" t="s">
        <v>95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5">
      <c r="A2257" s="1" t="s">
        <v>517</v>
      </c>
      <c r="B2257" s="1" t="s">
        <v>38</v>
      </c>
      <c r="C2257" s="1" t="s">
        <v>584</v>
      </c>
      <c r="D2257" s="1" t="s">
        <v>92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5">
      <c r="A2258" s="1" t="s">
        <v>517</v>
      </c>
      <c r="B2258" s="1" t="s">
        <v>39</v>
      </c>
      <c r="C2258" s="1" t="s">
        <v>585</v>
      </c>
      <c r="D2258" s="1" t="s">
        <v>78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5">
      <c r="A2259" s="1" t="s">
        <v>517</v>
      </c>
      <c r="B2259" s="1" t="s">
        <v>567</v>
      </c>
      <c r="C2259" s="1" t="s">
        <v>586</v>
      </c>
      <c r="D2259" s="1" t="s">
        <v>92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517</v>
      </c>
      <c r="B2260" s="1" t="s">
        <v>568</v>
      </c>
      <c r="C2260" s="1" t="s">
        <v>587</v>
      </c>
      <c r="D2260" s="1" t="s">
        <v>78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5">
      <c r="A2261" s="1" t="s">
        <v>517</v>
      </c>
      <c r="B2261" s="1" t="s">
        <v>40</v>
      </c>
      <c r="C2261" s="1" t="s">
        <v>588</v>
      </c>
      <c r="D2261" s="1" t="s">
        <v>92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5">
      <c r="A2262" s="1" t="s">
        <v>517</v>
      </c>
      <c r="B2262" s="1" t="s">
        <v>569</v>
      </c>
      <c r="C2262" s="1" t="s">
        <v>589</v>
      </c>
      <c r="D2262" s="1" t="s">
        <v>246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5">
      <c r="A2263" s="1" t="s">
        <v>517</v>
      </c>
      <c r="B2263" s="1" t="s">
        <v>570</v>
      </c>
      <c r="C2263" s="1" t="s">
        <v>590</v>
      </c>
      <c r="D2263" s="1" t="s">
        <v>95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5">
      <c r="A2264" s="1" t="s">
        <v>517</v>
      </c>
      <c r="B2264" s="1" t="s">
        <v>571</v>
      </c>
      <c r="C2264" s="1" t="s">
        <v>591</v>
      </c>
      <c r="D2264" s="1" t="s">
        <v>246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517</v>
      </c>
      <c r="B2265" s="1" t="s">
        <v>572</v>
      </c>
      <c r="C2265" s="1" t="s">
        <v>592</v>
      </c>
      <c r="D2265" s="1" t="s">
        <v>78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517</v>
      </c>
      <c r="B2266" s="1" t="s">
        <v>573</v>
      </c>
      <c r="C2266" s="1" t="s">
        <v>593</v>
      </c>
      <c r="D2266" s="1" t="s">
        <v>78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5">
      <c r="A2267" s="1" t="s">
        <v>518</v>
      </c>
      <c r="B2267" s="1" t="s">
        <v>174</v>
      </c>
      <c r="C2267" s="1" t="s">
        <v>574</v>
      </c>
      <c r="D2267" s="1" t="s">
        <v>78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518</v>
      </c>
      <c r="B2268" s="1" t="s">
        <v>563</v>
      </c>
      <c r="C2268" s="1" t="s">
        <v>575</v>
      </c>
      <c r="D2268" s="1" t="s">
        <v>78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5">
      <c r="A2269" s="1" t="s">
        <v>518</v>
      </c>
      <c r="B2269" s="1" t="s">
        <v>564</v>
      </c>
      <c r="C2269" s="1" t="s">
        <v>576</v>
      </c>
      <c r="D2269" s="1" t="s">
        <v>92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5">
      <c r="A2270" s="1" t="s">
        <v>518</v>
      </c>
      <c r="B2270" s="1" t="s">
        <v>565</v>
      </c>
      <c r="C2270" s="1" t="s">
        <v>577</v>
      </c>
      <c r="D2270" s="1" t="s">
        <v>78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5">
      <c r="A2271" s="1" t="s">
        <v>518</v>
      </c>
      <c r="B2271" s="1" t="s">
        <v>566</v>
      </c>
      <c r="C2271" s="1" t="s">
        <v>578</v>
      </c>
      <c r="D2271" s="1" t="s">
        <v>78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5">
      <c r="A2272" s="1" t="s">
        <v>518</v>
      </c>
      <c r="B2272" s="1" t="s">
        <v>33</v>
      </c>
      <c r="C2272" s="1" t="s">
        <v>579</v>
      </c>
      <c r="D2272" s="1" t="s">
        <v>92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5">
      <c r="A2273" s="1" t="s">
        <v>518</v>
      </c>
      <c r="B2273" s="1" t="s">
        <v>34</v>
      </c>
      <c r="C2273" s="1" t="s">
        <v>580</v>
      </c>
      <c r="D2273" s="1" t="s">
        <v>92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5">
      <c r="A2274" s="1" t="s">
        <v>518</v>
      </c>
      <c r="B2274" s="1" t="s">
        <v>35</v>
      </c>
      <c r="C2274" s="1" t="s">
        <v>581</v>
      </c>
      <c r="D2274" s="1" t="s">
        <v>92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5">
      <c r="A2275" s="1" t="s">
        <v>518</v>
      </c>
      <c r="B2275" s="1" t="s">
        <v>36</v>
      </c>
      <c r="C2275" s="1" t="s">
        <v>582</v>
      </c>
      <c r="D2275" s="1" t="s">
        <v>95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5">
      <c r="A2276" s="1" t="s">
        <v>518</v>
      </c>
      <c r="B2276" s="1" t="s">
        <v>37</v>
      </c>
      <c r="C2276" s="1" t="s">
        <v>583</v>
      </c>
      <c r="D2276" s="1" t="s">
        <v>95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5">
      <c r="A2277" s="1" t="s">
        <v>518</v>
      </c>
      <c r="B2277" s="1" t="s">
        <v>38</v>
      </c>
      <c r="C2277" s="1" t="s">
        <v>584</v>
      </c>
      <c r="D2277" s="1" t="s">
        <v>92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5">
      <c r="A2278" s="1" t="s">
        <v>518</v>
      </c>
      <c r="B2278" s="1" t="s">
        <v>39</v>
      </c>
      <c r="C2278" s="1" t="s">
        <v>585</v>
      </c>
      <c r="D2278" s="1" t="s">
        <v>78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5">
      <c r="A2279" s="1" t="s">
        <v>518</v>
      </c>
      <c r="B2279" s="1" t="s">
        <v>567</v>
      </c>
      <c r="C2279" s="1" t="s">
        <v>586</v>
      </c>
      <c r="D2279" s="1" t="s">
        <v>92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 t="s">
        <v>518</v>
      </c>
      <c r="B2280" s="1" t="s">
        <v>568</v>
      </c>
      <c r="C2280" s="1" t="s">
        <v>587</v>
      </c>
      <c r="D2280" s="1" t="s">
        <v>78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5">
      <c r="A2281" s="1" t="s">
        <v>518</v>
      </c>
      <c r="B2281" s="1" t="s">
        <v>40</v>
      </c>
      <c r="C2281" s="1" t="s">
        <v>588</v>
      </c>
      <c r="D2281" s="1" t="s">
        <v>92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5">
      <c r="A2282" s="1" t="s">
        <v>518</v>
      </c>
      <c r="B2282" s="1" t="s">
        <v>569</v>
      </c>
      <c r="C2282" s="1" t="s">
        <v>589</v>
      </c>
      <c r="D2282" s="1" t="s">
        <v>246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5">
      <c r="A2283" s="1" t="s">
        <v>518</v>
      </c>
      <c r="B2283" s="1" t="s">
        <v>570</v>
      </c>
      <c r="C2283" s="1" t="s">
        <v>590</v>
      </c>
      <c r="D2283" s="1" t="s">
        <v>95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5">
      <c r="A2284" s="1" t="s">
        <v>518</v>
      </c>
      <c r="B2284" s="1" t="s">
        <v>571</v>
      </c>
      <c r="C2284" s="1" t="s">
        <v>591</v>
      </c>
      <c r="D2284" s="1" t="s">
        <v>246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 t="s">
        <v>518</v>
      </c>
      <c r="B2285" s="1" t="s">
        <v>572</v>
      </c>
      <c r="C2285" s="1" t="s">
        <v>592</v>
      </c>
      <c r="D2285" s="1" t="s">
        <v>78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 t="s">
        <v>518</v>
      </c>
      <c r="B2286" s="1" t="s">
        <v>573</v>
      </c>
      <c r="C2286" s="1" t="s">
        <v>593</v>
      </c>
      <c r="D2286" s="1" t="s">
        <v>78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5">
      <c r="A2287" s="1" t="s">
        <v>519</v>
      </c>
      <c r="B2287" s="1" t="s">
        <v>174</v>
      </c>
      <c r="C2287" s="1" t="s">
        <v>574</v>
      </c>
      <c r="D2287" s="1" t="s">
        <v>78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 t="s">
        <v>519</v>
      </c>
      <c r="B2288" s="1" t="s">
        <v>563</v>
      </c>
      <c r="C2288" s="1" t="s">
        <v>575</v>
      </c>
      <c r="D2288" s="1" t="s">
        <v>78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5">
      <c r="A2289" s="1" t="s">
        <v>519</v>
      </c>
      <c r="B2289" s="1" t="s">
        <v>564</v>
      </c>
      <c r="C2289" s="1" t="s">
        <v>576</v>
      </c>
      <c r="D2289" s="1" t="s">
        <v>92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5">
      <c r="A2290" s="1" t="s">
        <v>519</v>
      </c>
      <c r="B2290" s="1" t="s">
        <v>565</v>
      </c>
      <c r="C2290" s="1" t="s">
        <v>577</v>
      </c>
      <c r="D2290" s="1" t="s">
        <v>78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5">
      <c r="A2291" s="1" t="s">
        <v>519</v>
      </c>
      <c r="B2291" s="1" t="s">
        <v>566</v>
      </c>
      <c r="C2291" s="1" t="s">
        <v>578</v>
      </c>
      <c r="D2291" s="1" t="s">
        <v>78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5">
      <c r="A2292" s="1" t="s">
        <v>519</v>
      </c>
      <c r="B2292" s="1" t="s">
        <v>33</v>
      </c>
      <c r="C2292" s="1" t="s">
        <v>579</v>
      </c>
      <c r="D2292" s="1" t="s">
        <v>92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5">
      <c r="A2293" s="1" t="s">
        <v>519</v>
      </c>
      <c r="B2293" s="1" t="s">
        <v>34</v>
      </c>
      <c r="C2293" s="1" t="s">
        <v>580</v>
      </c>
      <c r="D2293" s="1" t="s">
        <v>92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5">
      <c r="A2294" s="1" t="s">
        <v>519</v>
      </c>
      <c r="B2294" s="1" t="s">
        <v>35</v>
      </c>
      <c r="C2294" s="1" t="s">
        <v>581</v>
      </c>
      <c r="D2294" s="1" t="s">
        <v>92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5">
      <c r="A2295" s="1" t="s">
        <v>519</v>
      </c>
      <c r="B2295" s="1" t="s">
        <v>36</v>
      </c>
      <c r="C2295" s="1" t="s">
        <v>582</v>
      </c>
      <c r="D2295" s="1" t="s">
        <v>95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5">
      <c r="A2296" s="1" t="s">
        <v>519</v>
      </c>
      <c r="B2296" s="1" t="s">
        <v>37</v>
      </c>
      <c r="C2296" s="1" t="s">
        <v>583</v>
      </c>
      <c r="D2296" s="1" t="s">
        <v>95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5">
      <c r="A2297" s="1" t="s">
        <v>519</v>
      </c>
      <c r="B2297" s="1" t="s">
        <v>38</v>
      </c>
      <c r="C2297" s="1" t="s">
        <v>584</v>
      </c>
      <c r="D2297" s="1" t="s">
        <v>92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5">
      <c r="A2298" s="1" t="s">
        <v>519</v>
      </c>
      <c r="B2298" s="1" t="s">
        <v>39</v>
      </c>
      <c r="C2298" s="1" t="s">
        <v>585</v>
      </c>
      <c r="D2298" s="1" t="s">
        <v>78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5">
      <c r="A2299" s="1" t="s">
        <v>519</v>
      </c>
      <c r="B2299" s="1" t="s">
        <v>567</v>
      </c>
      <c r="C2299" s="1" t="s">
        <v>586</v>
      </c>
      <c r="D2299" s="1" t="s">
        <v>92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519</v>
      </c>
      <c r="B2300" s="1" t="s">
        <v>568</v>
      </c>
      <c r="C2300" s="1" t="s">
        <v>587</v>
      </c>
      <c r="D2300" s="1" t="s">
        <v>78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519</v>
      </c>
      <c r="B2301" s="1" t="s">
        <v>40</v>
      </c>
      <c r="C2301" s="1" t="s">
        <v>588</v>
      </c>
      <c r="D2301" s="1" t="s">
        <v>92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519</v>
      </c>
      <c r="B2302" s="1" t="s">
        <v>569</v>
      </c>
      <c r="C2302" s="1" t="s">
        <v>589</v>
      </c>
      <c r="D2302" s="1" t="s">
        <v>246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519</v>
      </c>
      <c r="B2303" s="1" t="s">
        <v>570</v>
      </c>
      <c r="C2303" s="1" t="s">
        <v>590</v>
      </c>
      <c r="D2303" s="1" t="s">
        <v>95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5">
      <c r="A2304" s="1" t="s">
        <v>519</v>
      </c>
      <c r="B2304" s="1" t="s">
        <v>571</v>
      </c>
      <c r="C2304" s="1" t="s">
        <v>591</v>
      </c>
      <c r="D2304" s="1" t="s">
        <v>246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519</v>
      </c>
      <c r="B2305" s="1" t="s">
        <v>572</v>
      </c>
      <c r="C2305" s="1" t="s">
        <v>592</v>
      </c>
      <c r="D2305" s="1" t="s">
        <v>78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519</v>
      </c>
      <c r="B2306" s="1" t="s">
        <v>573</v>
      </c>
      <c r="C2306" s="1" t="s">
        <v>593</v>
      </c>
      <c r="D2306" s="1" t="s">
        <v>95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520</v>
      </c>
      <c r="B2307" s="1" t="s">
        <v>174</v>
      </c>
      <c r="C2307" s="1" t="s">
        <v>574</v>
      </c>
      <c r="D2307" s="1" t="s">
        <v>78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520</v>
      </c>
      <c r="B2308" s="1" t="s">
        <v>563</v>
      </c>
      <c r="C2308" s="1" t="s">
        <v>575</v>
      </c>
      <c r="D2308" s="1" t="s">
        <v>78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520</v>
      </c>
      <c r="B2309" s="1" t="s">
        <v>564</v>
      </c>
      <c r="C2309" s="1" t="s">
        <v>576</v>
      </c>
      <c r="D2309" s="1" t="s">
        <v>92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520</v>
      </c>
      <c r="B2310" s="1" t="s">
        <v>565</v>
      </c>
      <c r="C2310" s="1" t="s">
        <v>577</v>
      </c>
      <c r="D2310" s="1" t="s">
        <v>78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520</v>
      </c>
      <c r="B2311" s="1" t="s">
        <v>566</v>
      </c>
      <c r="C2311" s="1" t="s">
        <v>578</v>
      </c>
      <c r="D2311" s="1" t="s">
        <v>78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5">
      <c r="A2312" s="1" t="s">
        <v>520</v>
      </c>
      <c r="B2312" s="1" t="s">
        <v>33</v>
      </c>
      <c r="C2312" s="1" t="s">
        <v>579</v>
      </c>
      <c r="D2312" s="1" t="s">
        <v>92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5">
      <c r="A2313" s="1" t="s">
        <v>520</v>
      </c>
      <c r="B2313" s="1" t="s">
        <v>34</v>
      </c>
      <c r="C2313" s="1" t="s">
        <v>580</v>
      </c>
      <c r="D2313" s="1" t="s">
        <v>92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5">
      <c r="A2314" s="1" t="s">
        <v>520</v>
      </c>
      <c r="B2314" s="1" t="s">
        <v>35</v>
      </c>
      <c r="C2314" s="1" t="s">
        <v>581</v>
      </c>
      <c r="D2314" s="1" t="s">
        <v>92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5">
      <c r="A2315" s="1" t="s">
        <v>520</v>
      </c>
      <c r="B2315" s="1" t="s">
        <v>36</v>
      </c>
      <c r="C2315" s="1" t="s">
        <v>582</v>
      </c>
      <c r="D2315" s="1" t="s">
        <v>95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5">
      <c r="A2316" s="1" t="s">
        <v>520</v>
      </c>
      <c r="B2316" s="1" t="s">
        <v>37</v>
      </c>
      <c r="C2316" s="1" t="s">
        <v>583</v>
      </c>
      <c r="D2316" s="1" t="s">
        <v>95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5">
      <c r="A2317" s="1" t="s">
        <v>520</v>
      </c>
      <c r="B2317" s="1" t="s">
        <v>38</v>
      </c>
      <c r="C2317" s="1" t="s">
        <v>584</v>
      </c>
      <c r="D2317" s="1" t="s">
        <v>92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5">
      <c r="A2318" s="1" t="s">
        <v>520</v>
      </c>
      <c r="B2318" s="1" t="s">
        <v>39</v>
      </c>
      <c r="C2318" s="1" t="s">
        <v>585</v>
      </c>
      <c r="D2318" s="1" t="s">
        <v>78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5">
      <c r="A2319" s="1" t="s">
        <v>520</v>
      </c>
      <c r="B2319" s="1" t="s">
        <v>567</v>
      </c>
      <c r="C2319" s="1" t="s">
        <v>586</v>
      </c>
      <c r="D2319" s="1" t="s">
        <v>92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520</v>
      </c>
      <c r="B2320" s="1" t="s">
        <v>568</v>
      </c>
      <c r="C2320" s="1" t="s">
        <v>587</v>
      </c>
      <c r="D2320" s="1" t="s">
        <v>78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520</v>
      </c>
      <c r="B2321" s="1" t="s">
        <v>40</v>
      </c>
      <c r="C2321" s="1" t="s">
        <v>588</v>
      </c>
      <c r="D2321" s="1" t="s">
        <v>92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5">
      <c r="A2322" s="1" t="s">
        <v>520</v>
      </c>
      <c r="B2322" s="1" t="s">
        <v>569</v>
      </c>
      <c r="C2322" s="1" t="s">
        <v>589</v>
      </c>
      <c r="D2322" s="1" t="s">
        <v>246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5">
      <c r="A2323" s="1" t="s">
        <v>520</v>
      </c>
      <c r="B2323" s="1" t="s">
        <v>570</v>
      </c>
      <c r="C2323" s="1" t="s">
        <v>590</v>
      </c>
      <c r="D2323" s="1" t="s">
        <v>95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5">
      <c r="A2324" s="1" t="s">
        <v>520</v>
      </c>
      <c r="B2324" s="1" t="s">
        <v>571</v>
      </c>
      <c r="C2324" s="1" t="s">
        <v>591</v>
      </c>
      <c r="D2324" s="1" t="s">
        <v>246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520</v>
      </c>
      <c r="B2325" s="1" t="s">
        <v>572</v>
      </c>
      <c r="C2325" s="1" t="s">
        <v>592</v>
      </c>
      <c r="D2325" s="1" t="s">
        <v>78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 t="s">
        <v>520</v>
      </c>
      <c r="B2326" s="1" t="s">
        <v>573</v>
      </c>
      <c r="C2326" s="1" t="s">
        <v>593</v>
      </c>
      <c r="D2326" s="1" t="s">
        <v>95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5">
      <c r="A2327" s="1" t="s">
        <v>521</v>
      </c>
      <c r="B2327" s="1" t="s">
        <v>174</v>
      </c>
      <c r="C2327" s="1" t="s">
        <v>574</v>
      </c>
      <c r="D2327" s="1" t="s">
        <v>78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 t="s">
        <v>521</v>
      </c>
      <c r="B2328" s="1" t="s">
        <v>563</v>
      </c>
      <c r="C2328" s="1" t="s">
        <v>575</v>
      </c>
      <c r="D2328" s="1" t="s">
        <v>78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5">
      <c r="A2329" s="1" t="s">
        <v>521</v>
      </c>
      <c r="B2329" s="1" t="s">
        <v>564</v>
      </c>
      <c r="C2329" s="1" t="s">
        <v>576</v>
      </c>
      <c r="D2329" s="1" t="s">
        <v>92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5">
      <c r="A2330" s="1" t="s">
        <v>521</v>
      </c>
      <c r="B2330" s="1" t="s">
        <v>565</v>
      </c>
      <c r="C2330" s="1" t="s">
        <v>577</v>
      </c>
      <c r="D2330" s="1" t="s">
        <v>78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5">
      <c r="A2331" s="1" t="s">
        <v>521</v>
      </c>
      <c r="B2331" s="1" t="s">
        <v>566</v>
      </c>
      <c r="C2331" s="1" t="s">
        <v>578</v>
      </c>
      <c r="D2331" s="1" t="s">
        <v>78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5">
      <c r="A2332" s="1" t="s">
        <v>521</v>
      </c>
      <c r="B2332" s="1" t="s">
        <v>33</v>
      </c>
      <c r="C2332" s="1" t="s">
        <v>579</v>
      </c>
      <c r="D2332" s="1" t="s">
        <v>92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5">
      <c r="A2333" s="1" t="s">
        <v>521</v>
      </c>
      <c r="B2333" s="1" t="s">
        <v>34</v>
      </c>
      <c r="C2333" s="1" t="s">
        <v>580</v>
      </c>
      <c r="D2333" s="1" t="s">
        <v>92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5">
      <c r="A2334" s="1" t="s">
        <v>521</v>
      </c>
      <c r="B2334" s="1" t="s">
        <v>35</v>
      </c>
      <c r="C2334" s="1" t="s">
        <v>581</v>
      </c>
      <c r="D2334" s="1" t="s">
        <v>92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5">
      <c r="A2335" s="1" t="s">
        <v>521</v>
      </c>
      <c r="B2335" s="1" t="s">
        <v>36</v>
      </c>
      <c r="C2335" s="1" t="s">
        <v>582</v>
      </c>
      <c r="D2335" s="1" t="s">
        <v>95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5">
      <c r="A2336" s="1" t="s">
        <v>521</v>
      </c>
      <c r="B2336" s="1" t="s">
        <v>37</v>
      </c>
      <c r="C2336" s="1" t="s">
        <v>583</v>
      </c>
      <c r="D2336" s="1" t="s">
        <v>95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5">
      <c r="A2337" s="1" t="s">
        <v>521</v>
      </c>
      <c r="B2337" s="1" t="s">
        <v>38</v>
      </c>
      <c r="C2337" s="1" t="s">
        <v>584</v>
      </c>
      <c r="D2337" s="1" t="s">
        <v>92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5">
      <c r="A2338" s="1" t="s">
        <v>521</v>
      </c>
      <c r="B2338" s="1" t="s">
        <v>39</v>
      </c>
      <c r="C2338" s="1" t="s">
        <v>585</v>
      </c>
      <c r="D2338" s="1" t="s">
        <v>78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5">
      <c r="A2339" s="1" t="s">
        <v>521</v>
      </c>
      <c r="B2339" s="1" t="s">
        <v>567</v>
      </c>
      <c r="C2339" s="1" t="s">
        <v>586</v>
      </c>
      <c r="D2339" s="1" t="s">
        <v>92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 t="s">
        <v>521</v>
      </c>
      <c r="B2340" s="1" t="s">
        <v>568</v>
      </c>
      <c r="C2340" s="1" t="s">
        <v>587</v>
      </c>
      <c r="D2340" s="1" t="s">
        <v>78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 t="s">
        <v>521</v>
      </c>
      <c r="B2341" s="1" t="s">
        <v>40</v>
      </c>
      <c r="C2341" s="1" t="s">
        <v>588</v>
      </c>
      <c r="D2341" s="1" t="s">
        <v>92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5">
      <c r="A2342" s="1" t="s">
        <v>521</v>
      </c>
      <c r="B2342" s="1" t="s">
        <v>569</v>
      </c>
      <c r="C2342" s="1" t="s">
        <v>589</v>
      </c>
      <c r="D2342" s="1" t="s">
        <v>246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5">
      <c r="A2343" s="1" t="s">
        <v>521</v>
      </c>
      <c r="B2343" s="1" t="s">
        <v>570</v>
      </c>
      <c r="C2343" s="1" t="s">
        <v>590</v>
      </c>
      <c r="D2343" s="1" t="s">
        <v>95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5">
      <c r="A2344" s="1" t="s">
        <v>521</v>
      </c>
      <c r="B2344" s="1" t="s">
        <v>571</v>
      </c>
      <c r="C2344" s="1" t="s">
        <v>591</v>
      </c>
      <c r="D2344" s="1" t="s">
        <v>246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 t="s">
        <v>521</v>
      </c>
      <c r="B2345" s="1" t="s">
        <v>572</v>
      </c>
      <c r="C2345" s="1" t="s">
        <v>592</v>
      </c>
      <c r="D2345" s="1" t="s">
        <v>78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 t="s">
        <v>521</v>
      </c>
      <c r="B2346" s="1" t="s">
        <v>573</v>
      </c>
      <c r="C2346" s="1" t="s">
        <v>593</v>
      </c>
      <c r="D2346" s="1" t="s">
        <v>78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5">
      <c r="A2347" s="1" t="s">
        <v>522</v>
      </c>
      <c r="B2347" s="1" t="s">
        <v>174</v>
      </c>
      <c r="C2347" s="1" t="s">
        <v>574</v>
      </c>
      <c r="D2347" s="1" t="s">
        <v>78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 t="s">
        <v>522</v>
      </c>
      <c r="B2348" s="1" t="s">
        <v>563</v>
      </c>
      <c r="C2348" s="1" t="s">
        <v>575</v>
      </c>
      <c r="D2348" s="1" t="s">
        <v>78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5">
      <c r="A2349" s="1" t="s">
        <v>522</v>
      </c>
      <c r="B2349" s="1" t="s">
        <v>564</v>
      </c>
      <c r="C2349" s="1" t="s">
        <v>576</v>
      </c>
      <c r="D2349" s="1" t="s">
        <v>92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5">
      <c r="A2350" s="1" t="s">
        <v>522</v>
      </c>
      <c r="B2350" s="1" t="s">
        <v>565</v>
      </c>
      <c r="C2350" s="1" t="s">
        <v>577</v>
      </c>
      <c r="D2350" s="1" t="s">
        <v>78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5">
      <c r="A2351" s="1" t="s">
        <v>522</v>
      </c>
      <c r="B2351" s="1" t="s">
        <v>566</v>
      </c>
      <c r="C2351" s="1" t="s">
        <v>578</v>
      </c>
      <c r="D2351" s="1" t="s">
        <v>78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5">
      <c r="A2352" s="1" t="s">
        <v>522</v>
      </c>
      <c r="B2352" s="1" t="s">
        <v>33</v>
      </c>
      <c r="C2352" s="1" t="s">
        <v>579</v>
      </c>
      <c r="D2352" s="1" t="s">
        <v>92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5">
      <c r="A2353" s="1" t="s">
        <v>522</v>
      </c>
      <c r="B2353" s="1" t="s">
        <v>34</v>
      </c>
      <c r="C2353" s="1" t="s">
        <v>580</v>
      </c>
      <c r="D2353" s="1" t="s">
        <v>92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5">
      <c r="A2354" s="1" t="s">
        <v>522</v>
      </c>
      <c r="B2354" s="1" t="s">
        <v>35</v>
      </c>
      <c r="C2354" s="1" t="s">
        <v>581</v>
      </c>
      <c r="D2354" s="1" t="s">
        <v>92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5">
      <c r="A2355" s="1" t="s">
        <v>522</v>
      </c>
      <c r="B2355" s="1" t="s">
        <v>36</v>
      </c>
      <c r="C2355" s="1" t="s">
        <v>582</v>
      </c>
      <c r="D2355" s="1" t="s">
        <v>95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5">
      <c r="A2356" s="1" t="s">
        <v>522</v>
      </c>
      <c r="B2356" s="1" t="s">
        <v>37</v>
      </c>
      <c r="C2356" s="1" t="s">
        <v>583</v>
      </c>
      <c r="D2356" s="1" t="s">
        <v>95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5">
      <c r="A2357" s="1" t="s">
        <v>522</v>
      </c>
      <c r="B2357" s="1" t="s">
        <v>38</v>
      </c>
      <c r="C2357" s="1" t="s">
        <v>584</v>
      </c>
      <c r="D2357" s="1" t="s">
        <v>92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5">
      <c r="A2358" s="1" t="s">
        <v>522</v>
      </c>
      <c r="B2358" s="1" t="s">
        <v>39</v>
      </c>
      <c r="C2358" s="1" t="s">
        <v>585</v>
      </c>
      <c r="D2358" s="1" t="s">
        <v>78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5">
      <c r="A2359" s="1" t="s">
        <v>522</v>
      </c>
      <c r="B2359" s="1" t="s">
        <v>567</v>
      </c>
      <c r="C2359" s="1" t="s">
        <v>586</v>
      </c>
      <c r="D2359" s="1" t="s">
        <v>92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522</v>
      </c>
      <c r="B2360" s="1" t="s">
        <v>568</v>
      </c>
      <c r="C2360" s="1" t="s">
        <v>587</v>
      </c>
      <c r="D2360" s="1" t="s">
        <v>78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522</v>
      </c>
      <c r="B2361" s="1" t="s">
        <v>40</v>
      </c>
      <c r="C2361" s="1" t="s">
        <v>588</v>
      </c>
      <c r="D2361" s="1" t="s">
        <v>92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5">
      <c r="A2362" s="1" t="s">
        <v>522</v>
      </c>
      <c r="B2362" s="1" t="s">
        <v>569</v>
      </c>
      <c r="C2362" s="1" t="s">
        <v>589</v>
      </c>
      <c r="D2362" s="1" t="s">
        <v>246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5">
      <c r="A2363" s="1" t="s">
        <v>522</v>
      </c>
      <c r="B2363" s="1" t="s">
        <v>570</v>
      </c>
      <c r="C2363" s="1" t="s">
        <v>590</v>
      </c>
      <c r="D2363" s="1" t="s">
        <v>95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5">
      <c r="A2364" s="1" t="s">
        <v>522</v>
      </c>
      <c r="B2364" s="1" t="s">
        <v>571</v>
      </c>
      <c r="C2364" s="1" t="s">
        <v>591</v>
      </c>
      <c r="D2364" s="1" t="s">
        <v>246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522</v>
      </c>
      <c r="B2365" s="1" t="s">
        <v>572</v>
      </c>
      <c r="C2365" s="1" t="s">
        <v>592</v>
      </c>
      <c r="D2365" s="1" t="s">
        <v>78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522</v>
      </c>
      <c r="B2366" s="1" t="s">
        <v>573</v>
      </c>
      <c r="C2366" s="1" t="s">
        <v>593</v>
      </c>
      <c r="D2366" s="1" t="s">
        <v>78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5">
      <c r="A2367" s="1" t="s">
        <v>523</v>
      </c>
      <c r="B2367" s="1" t="s">
        <v>174</v>
      </c>
      <c r="C2367" s="1" t="s">
        <v>574</v>
      </c>
      <c r="D2367" s="1" t="s">
        <v>78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523</v>
      </c>
      <c r="B2368" s="1" t="s">
        <v>563</v>
      </c>
      <c r="C2368" s="1" t="s">
        <v>575</v>
      </c>
      <c r="D2368" s="1" t="s">
        <v>78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5">
      <c r="A2369" s="1" t="s">
        <v>523</v>
      </c>
      <c r="B2369" s="1" t="s">
        <v>564</v>
      </c>
      <c r="C2369" s="1" t="s">
        <v>576</v>
      </c>
      <c r="D2369" s="1" t="s">
        <v>92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5">
      <c r="A2370" s="1" t="s">
        <v>523</v>
      </c>
      <c r="B2370" s="1" t="s">
        <v>565</v>
      </c>
      <c r="C2370" s="1" t="s">
        <v>577</v>
      </c>
      <c r="D2370" s="1" t="s">
        <v>78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5">
      <c r="A2371" s="1" t="s">
        <v>523</v>
      </c>
      <c r="B2371" s="1" t="s">
        <v>566</v>
      </c>
      <c r="C2371" s="1" t="s">
        <v>578</v>
      </c>
      <c r="D2371" s="1" t="s">
        <v>78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5">
      <c r="A2372" s="1" t="s">
        <v>523</v>
      </c>
      <c r="B2372" s="1" t="s">
        <v>33</v>
      </c>
      <c r="C2372" s="1" t="s">
        <v>579</v>
      </c>
      <c r="D2372" s="1" t="s">
        <v>92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523</v>
      </c>
      <c r="B2373" s="1" t="s">
        <v>34</v>
      </c>
      <c r="C2373" s="1" t="s">
        <v>580</v>
      </c>
      <c r="D2373" s="1" t="s">
        <v>92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523</v>
      </c>
      <c r="B2374" s="1" t="s">
        <v>35</v>
      </c>
      <c r="C2374" s="1" t="s">
        <v>581</v>
      </c>
      <c r="D2374" s="1" t="s">
        <v>92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523</v>
      </c>
      <c r="B2375" s="1" t="s">
        <v>36</v>
      </c>
      <c r="C2375" s="1" t="s">
        <v>582</v>
      </c>
      <c r="D2375" s="1" t="s">
        <v>95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5">
      <c r="A2376" s="1" t="s">
        <v>523</v>
      </c>
      <c r="B2376" s="1" t="s">
        <v>37</v>
      </c>
      <c r="C2376" s="1" t="s">
        <v>583</v>
      </c>
      <c r="D2376" s="1" t="s">
        <v>95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5">
      <c r="A2377" s="1" t="s">
        <v>523</v>
      </c>
      <c r="B2377" s="1" t="s">
        <v>38</v>
      </c>
      <c r="C2377" s="1" t="s">
        <v>584</v>
      </c>
      <c r="D2377" s="1" t="s">
        <v>92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523</v>
      </c>
      <c r="B2378" s="1" t="s">
        <v>39</v>
      </c>
      <c r="C2378" s="1" t="s">
        <v>585</v>
      </c>
      <c r="D2378" s="1" t="s">
        <v>78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523</v>
      </c>
      <c r="B2379" s="1" t="s">
        <v>567</v>
      </c>
      <c r="C2379" s="1" t="s">
        <v>586</v>
      </c>
      <c r="D2379" s="1" t="s">
        <v>92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523</v>
      </c>
      <c r="B2380" s="1" t="s">
        <v>568</v>
      </c>
      <c r="C2380" s="1" t="s">
        <v>587</v>
      </c>
      <c r="D2380" s="1" t="s">
        <v>78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523</v>
      </c>
      <c r="B2381" s="1" t="s">
        <v>40</v>
      </c>
      <c r="C2381" s="1" t="s">
        <v>588</v>
      </c>
      <c r="D2381" s="1" t="s">
        <v>92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523</v>
      </c>
      <c r="B2382" s="1" t="s">
        <v>569</v>
      </c>
      <c r="C2382" s="1" t="s">
        <v>589</v>
      </c>
      <c r="D2382" s="1" t="s">
        <v>246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523</v>
      </c>
      <c r="B2383" s="1" t="s">
        <v>570</v>
      </c>
      <c r="C2383" s="1" t="s">
        <v>590</v>
      </c>
      <c r="D2383" s="1" t="s">
        <v>95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5">
      <c r="A2384" s="1" t="s">
        <v>523</v>
      </c>
      <c r="B2384" s="1" t="s">
        <v>571</v>
      </c>
      <c r="C2384" s="1" t="s">
        <v>591</v>
      </c>
      <c r="D2384" s="1" t="s">
        <v>246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523</v>
      </c>
      <c r="B2385" s="1" t="s">
        <v>572</v>
      </c>
      <c r="C2385" s="1" t="s">
        <v>592</v>
      </c>
      <c r="D2385" s="1" t="s">
        <v>78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5">
      <c r="A2386" s="1" t="s">
        <v>523</v>
      </c>
      <c r="B2386" s="1" t="s">
        <v>573</v>
      </c>
      <c r="C2386" s="1" t="s">
        <v>593</v>
      </c>
      <c r="D2386" s="1" t="s">
        <v>95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5">
      <c r="A2387" s="1" t="s">
        <v>524</v>
      </c>
      <c r="B2387" s="1" t="s">
        <v>174</v>
      </c>
      <c r="C2387" s="1" t="s">
        <v>574</v>
      </c>
      <c r="D2387" s="1" t="s">
        <v>78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524</v>
      </c>
      <c r="B2388" s="1" t="s">
        <v>563</v>
      </c>
      <c r="C2388" s="1" t="s">
        <v>575</v>
      </c>
      <c r="D2388" s="1" t="s">
        <v>78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5">
      <c r="A2389" s="1" t="s">
        <v>524</v>
      </c>
      <c r="B2389" s="1" t="s">
        <v>564</v>
      </c>
      <c r="C2389" s="1" t="s">
        <v>576</v>
      </c>
      <c r="D2389" s="1" t="s">
        <v>92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5">
      <c r="A2390" s="1" t="s">
        <v>524</v>
      </c>
      <c r="B2390" s="1" t="s">
        <v>565</v>
      </c>
      <c r="C2390" s="1" t="s">
        <v>577</v>
      </c>
      <c r="D2390" s="1" t="s">
        <v>78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5">
      <c r="A2391" s="1" t="s">
        <v>524</v>
      </c>
      <c r="B2391" s="1" t="s">
        <v>566</v>
      </c>
      <c r="C2391" s="1" t="s">
        <v>578</v>
      </c>
      <c r="D2391" s="1" t="s">
        <v>78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5">
      <c r="A2392" s="1" t="s">
        <v>524</v>
      </c>
      <c r="B2392" s="1" t="s">
        <v>33</v>
      </c>
      <c r="C2392" s="1" t="s">
        <v>579</v>
      </c>
      <c r="D2392" s="1" t="s">
        <v>92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5">
      <c r="A2393" s="1" t="s">
        <v>524</v>
      </c>
      <c r="B2393" s="1" t="s">
        <v>34</v>
      </c>
      <c r="C2393" s="1" t="s">
        <v>580</v>
      </c>
      <c r="D2393" s="1" t="s">
        <v>92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524</v>
      </c>
      <c r="B2394" s="1" t="s">
        <v>35</v>
      </c>
      <c r="C2394" s="1" t="s">
        <v>581</v>
      </c>
      <c r="D2394" s="1" t="s">
        <v>92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5">
      <c r="A2395" s="1" t="s">
        <v>524</v>
      </c>
      <c r="B2395" s="1" t="s">
        <v>36</v>
      </c>
      <c r="C2395" s="1" t="s">
        <v>582</v>
      </c>
      <c r="D2395" s="1" t="s">
        <v>95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5">
      <c r="A2396" s="1" t="s">
        <v>524</v>
      </c>
      <c r="B2396" s="1" t="s">
        <v>37</v>
      </c>
      <c r="C2396" s="1" t="s">
        <v>583</v>
      </c>
      <c r="D2396" s="1" t="s">
        <v>95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5">
      <c r="A2397" s="1" t="s">
        <v>524</v>
      </c>
      <c r="B2397" s="1" t="s">
        <v>38</v>
      </c>
      <c r="C2397" s="1" t="s">
        <v>584</v>
      </c>
      <c r="D2397" s="1" t="s">
        <v>92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5">
      <c r="A2398" s="1" t="s">
        <v>524</v>
      </c>
      <c r="B2398" s="1" t="s">
        <v>39</v>
      </c>
      <c r="C2398" s="1" t="s">
        <v>585</v>
      </c>
      <c r="D2398" s="1" t="s">
        <v>78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5">
      <c r="A2399" s="1" t="s">
        <v>524</v>
      </c>
      <c r="B2399" s="1" t="s">
        <v>567</v>
      </c>
      <c r="C2399" s="1" t="s">
        <v>586</v>
      </c>
      <c r="D2399" s="1" t="s">
        <v>92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524</v>
      </c>
      <c r="B2400" s="1" t="s">
        <v>568</v>
      </c>
      <c r="C2400" s="1" t="s">
        <v>587</v>
      </c>
      <c r="D2400" s="1" t="s">
        <v>78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524</v>
      </c>
      <c r="B2401" s="1" t="s">
        <v>40</v>
      </c>
      <c r="C2401" s="1" t="s">
        <v>588</v>
      </c>
      <c r="D2401" s="1" t="s">
        <v>92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5">
      <c r="A2402" s="1" t="s">
        <v>524</v>
      </c>
      <c r="B2402" s="1" t="s">
        <v>569</v>
      </c>
      <c r="C2402" s="1" t="s">
        <v>589</v>
      </c>
      <c r="D2402" s="1" t="s">
        <v>246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5">
      <c r="A2403" s="1" t="s">
        <v>524</v>
      </c>
      <c r="B2403" s="1" t="s">
        <v>570</v>
      </c>
      <c r="C2403" s="1" t="s">
        <v>590</v>
      </c>
      <c r="D2403" s="1" t="s">
        <v>95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5">
      <c r="A2404" s="1" t="s">
        <v>524</v>
      </c>
      <c r="B2404" s="1" t="s">
        <v>571</v>
      </c>
      <c r="C2404" s="1" t="s">
        <v>591</v>
      </c>
      <c r="D2404" s="1" t="s">
        <v>246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524</v>
      </c>
      <c r="B2405" s="1" t="s">
        <v>572</v>
      </c>
      <c r="C2405" s="1" t="s">
        <v>592</v>
      </c>
      <c r="D2405" s="1" t="s">
        <v>78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5">
      <c r="A2406" s="1" t="s">
        <v>524</v>
      </c>
      <c r="B2406" s="1" t="s">
        <v>573</v>
      </c>
      <c r="C2406" s="1" t="s">
        <v>593</v>
      </c>
      <c r="D2406" s="1" t="s">
        <v>95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5">
      <c r="A2407" s="1" t="s">
        <v>487</v>
      </c>
      <c r="B2407" s="1" t="s">
        <v>174</v>
      </c>
      <c r="C2407" s="1" t="s">
        <v>574</v>
      </c>
      <c r="D2407" s="1" t="s">
        <v>230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487</v>
      </c>
      <c r="B2408" s="1" t="s">
        <v>563</v>
      </c>
      <c r="C2408" s="1" t="s">
        <v>575</v>
      </c>
      <c r="D2408" s="1" t="s">
        <v>275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5">
      <c r="A2409" s="1" t="s">
        <v>487</v>
      </c>
      <c r="B2409" s="1" t="s">
        <v>564</v>
      </c>
      <c r="C2409" s="1" t="s">
        <v>576</v>
      </c>
      <c r="D2409" s="1" t="s">
        <v>310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5">
      <c r="A2410" s="1" t="s">
        <v>487</v>
      </c>
      <c r="B2410" s="1" t="s">
        <v>565</v>
      </c>
      <c r="C2410" s="1" t="s">
        <v>577</v>
      </c>
      <c r="D2410" s="1" t="s">
        <v>233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5">
      <c r="A2411" s="1" t="s">
        <v>487</v>
      </c>
      <c r="B2411" s="1" t="s">
        <v>566</v>
      </c>
      <c r="C2411" s="1" t="s">
        <v>578</v>
      </c>
      <c r="D2411" s="1" t="s">
        <v>223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5">
      <c r="A2412" s="1" t="s">
        <v>487</v>
      </c>
      <c r="B2412" s="1" t="s">
        <v>33</v>
      </c>
      <c r="C2412" s="1" t="s">
        <v>579</v>
      </c>
      <c r="D2412" s="1" t="s">
        <v>841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5">
      <c r="A2413" s="1" t="s">
        <v>487</v>
      </c>
      <c r="B2413" s="1" t="s">
        <v>34</v>
      </c>
      <c r="C2413" s="1" t="s">
        <v>580</v>
      </c>
      <c r="D2413" s="1" t="s">
        <v>842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487</v>
      </c>
      <c r="B2414" s="1" t="s">
        <v>35</v>
      </c>
      <c r="C2414" s="1" t="s">
        <v>581</v>
      </c>
      <c r="D2414" s="1" t="s">
        <v>843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487</v>
      </c>
      <c r="B2415" s="1" t="s">
        <v>36</v>
      </c>
      <c r="C2415" s="1" t="s">
        <v>582</v>
      </c>
      <c r="D2415" s="1" t="s">
        <v>844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5">
      <c r="A2416" s="1" t="s">
        <v>487</v>
      </c>
      <c r="B2416" s="1" t="s">
        <v>37</v>
      </c>
      <c r="C2416" s="1" t="s">
        <v>583</v>
      </c>
      <c r="D2416" s="1" t="s">
        <v>271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5">
      <c r="A2417" s="1" t="s">
        <v>487</v>
      </c>
      <c r="B2417" s="1" t="s">
        <v>38</v>
      </c>
      <c r="C2417" s="1" t="s">
        <v>584</v>
      </c>
      <c r="D2417" s="1" t="s">
        <v>845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5">
      <c r="A2418" s="1" t="s">
        <v>487</v>
      </c>
      <c r="B2418" s="1" t="s">
        <v>39</v>
      </c>
      <c r="C2418" s="1" t="s">
        <v>585</v>
      </c>
      <c r="D2418" s="1" t="s">
        <v>318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5">
      <c r="A2419" s="1" t="s">
        <v>487</v>
      </c>
      <c r="B2419" s="1" t="s">
        <v>40</v>
      </c>
      <c r="C2419" s="1" t="s">
        <v>588</v>
      </c>
      <c r="D2419" s="1" t="s">
        <v>846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 t="s">
        <v>487</v>
      </c>
      <c r="B2420" s="1" t="s">
        <v>569</v>
      </c>
      <c r="C2420" s="1" t="s">
        <v>589</v>
      </c>
      <c r="D2420" s="1" t="s">
        <v>232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 t="s">
        <v>487</v>
      </c>
      <c r="B2421" s="1" t="s">
        <v>570</v>
      </c>
      <c r="C2421" s="1" t="s">
        <v>590</v>
      </c>
      <c r="D2421" s="1" t="s">
        <v>230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5">
      <c r="A2422" s="1" t="s">
        <v>487</v>
      </c>
      <c r="B2422" s="1" t="s">
        <v>571</v>
      </c>
      <c r="C2422" s="1" t="s">
        <v>591</v>
      </c>
      <c r="D2422" s="1" t="s">
        <v>145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5">
      <c r="A2423" s="1" t="s">
        <v>525</v>
      </c>
      <c r="B2423" s="1" t="s">
        <v>174</v>
      </c>
      <c r="C2423" s="1" t="s">
        <v>574</v>
      </c>
      <c r="D2423" s="1" t="s">
        <v>78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5">
      <c r="A2424" s="1" t="s">
        <v>525</v>
      </c>
      <c r="B2424" s="1" t="s">
        <v>563</v>
      </c>
      <c r="C2424" s="1" t="s">
        <v>575</v>
      </c>
      <c r="D2424" s="1" t="s">
        <v>78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 t="s">
        <v>525</v>
      </c>
      <c r="B2425" s="1" t="s">
        <v>564</v>
      </c>
      <c r="C2425" s="1" t="s">
        <v>576</v>
      </c>
      <c r="D2425" s="1" t="s">
        <v>92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5">
      <c r="A2426" s="1" t="s">
        <v>525</v>
      </c>
      <c r="B2426" s="1" t="s">
        <v>565</v>
      </c>
      <c r="C2426" s="1" t="s">
        <v>577</v>
      </c>
      <c r="D2426" s="1" t="s">
        <v>78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5">
      <c r="A2427" s="1" t="s">
        <v>525</v>
      </c>
      <c r="B2427" s="1" t="s">
        <v>566</v>
      </c>
      <c r="C2427" s="1" t="s">
        <v>578</v>
      </c>
      <c r="D2427" s="1" t="s">
        <v>78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 t="s">
        <v>525</v>
      </c>
      <c r="B2428" s="1" t="s">
        <v>33</v>
      </c>
      <c r="C2428" s="1" t="s">
        <v>579</v>
      </c>
      <c r="D2428" s="1" t="s">
        <v>615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5">
      <c r="A2429" s="1" t="s">
        <v>525</v>
      </c>
      <c r="B2429" s="1" t="s">
        <v>34</v>
      </c>
      <c r="C2429" s="1" t="s">
        <v>580</v>
      </c>
      <c r="D2429" s="1" t="s">
        <v>847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5">
      <c r="A2430" s="1" t="s">
        <v>525</v>
      </c>
      <c r="B2430" s="1" t="s">
        <v>35</v>
      </c>
      <c r="C2430" s="1" t="s">
        <v>581</v>
      </c>
      <c r="D2430" s="1" t="s">
        <v>848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5">
      <c r="A2431" s="1" t="s">
        <v>525</v>
      </c>
      <c r="B2431" s="1" t="s">
        <v>36</v>
      </c>
      <c r="C2431" s="1" t="s">
        <v>582</v>
      </c>
      <c r="D2431" s="1" t="s">
        <v>230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5">
      <c r="A2432" s="1" t="s">
        <v>525</v>
      </c>
      <c r="B2432" s="1" t="s">
        <v>37</v>
      </c>
      <c r="C2432" s="1" t="s">
        <v>583</v>
      </c>
      <c r="D2432" s="1" t="s">
        <v>245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5">
      <c r="A2433" s="1" t="s">
        <v>525</v>
      </c>
      <c r="B2433" s="1" t="s">
        <v>38</v>
      </c>
      <c r="C2433" s="1" t="s">
        <v>584</v>
      </c>
      <c r="D2433" s="1" t="s">
        <v>742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 t="s">
        <v>525</v>
      </c>
      <c r="B2434" s="1" t="s">
        <v>39</v>
      </c>
      <c r="C2434" s="1" t="s">
        <v>585</v>
      </c>
      <c r="D2434" s="1" t="s">
        <v>262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 t="s">
        <v>525</v>
      </c>
      <c r="B2435" s="1" t="s">
        <v>567</v>
      </c>
      <c r="C2435" s="1" t="s">
        <v>586</v>
      </c>
      <c r="D2435" s="1" t="s">
        <v>141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5">
      <c r="A2436" s="1" t="s">
        <v>525</v>
      </c>
      <c r="B2436" s="1" t="s">
        <v>568</v>
      </c>
      <c r="C2436" s="1" t="s">
        <v>587</v>
      </c>
      <c r="D2436" s="1" t="s">
        <v>78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5">
      <c r="A2437" s="1" t="s">
        <v>525</v>
      </c>
      <c r="B2437" s="1" t="s">
        <v>40</v>
      </c>
      <c r="C2437" s="1" t="s">
        <v>588</v>
      </c>
      <c r="D2437" s="1" t="s">
        <v>849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5">
      <c r="A2438" s="1" t="s">
        <v>525</v>
      </c>
      <c r="B2438" s="1" t="s">
        <v>569</v>
      </c>
      <c r="C2438" s="1" t="s">
        <v>589</v>
      </c>
      <c r="D2438" s="1" t="s">
        <v>78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5">
      <c r="A2439" s="1" t="s">
        <v>525</v>
      </c>
      <c r="B2439" s="1" t="s">
        <v>570</v>
      </c>
      <c r="C2439" s="1" t="s">
        <v>590</v>
      </c>
      <c r="D2439" s="1" t="s">
        <v>95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 t="s">
        <v>525</v>
      </c>
      <c r="B2440" s="1" t="s">
        <v>571</v>
      </c>
      <c r="C2440" s="1" t="s">
        <v>591</v>
      </c>
      <c r="D2440" s="1" t="s">
        <v>262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 t="s">
        <v>525</v>
      </c>
      <c r="B2441" s="1" t="s">
        <v>572</v>
      </c>
      <c r="C2441" s="1" t="s">
        <v>592</v>
      </c>
      <c r="D2441" s="1" t="s">
        <v>78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5">
      <c r="A2442" s="1" t="s">
        <v>525</v>
      </c>
      <c r="B2442" s="1" t="s">
        <v>573</v>
      </c>
      <c r="C2442" s="1" t="s">
        <v>593</v>
      </c>
      <c r="D2442" s="1" t="s">
        <v>275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5">
      <c r="A2443" s="1" t="s">
        <v>491</v>
      </c>
      <c r="B2443" s="1" t="s">
        <v>33</v>
      </c>
      <c r="C2443" s="1" t="s">
        <v>579</v>
      </c>
      <c r="D2443" s="1" t="s">
        <v>722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5">
      <c r="A2444" s="1" t="s">
        <v>491</v>
      </c>
      <c r="B2444" s="1" t="s">
        <v>34</v>
      </c>
      <c r="C2444" s="1" t="s">
        <v>580</v>
      </c>
      <c r="D2444" s="1" t="s">
        <v>723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491</v>
      </c>
      <c r="B2445" s="1" t="s">
        <v>35</v>
      </c>
      <c r="C2445" s="1" t="s">
        <v>581</v>
      </c>
      <c r="D2445" s="1" t="s">
        <v>724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491</v>
      </c>
      <c r="B2446" s="1" t="s">
        <v>36</v>
      </c>
      <c r="C2446" s="1" t="s">
        <v>582</v>
      </c>
      <c r="D2446" s="1" t="s">
        <v>97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491</v>
      </c>
      <c r="B2447" s="1" t="s">
        <v>37</v>
      </c>
      <c r="C2447" s="1" t="s">
        <v>583</v>
      </c>
      <c r="D2447" s="1" t="s">
        <v>97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491</v>
      </c>
      <c r="B2448" s="1" t="s">
        <v>38</v>
      </c>
      <c r="C2448" s="1" t="s">
        <v>584</v>
      </c>
      <c r="D2448" s="1" t="s">
        <v>625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5">
      <c r="A2449" s="1" t="s">
        <v>491</v>
      </c>
      <c r="B2449" s="1" t="s">
        <v>39</v>
      </c>
      <c r="C2449" s="1" t="s">
        <v>585</v>
      </c>
      <c r="D2449" s="1" t="s">
        <v>232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491</v>
      </c>
      <c r="B2450" s="1" t="s">
        <v>567</v>
      </c>
      <c r="C2450" s="1" t="s">
        <v>586</v>
      </c>
      <c r="D2450" s="1" t="s">
        <v>141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491</v>
      </c>
      <c r="B2451" s="1" t="s">
        <v>568</v>
      </c>
      <c r="C2451" s="1" t="s">
        <v>587</v>
      </c>
      <c r="D2451" s="1" t="s">
        <v>78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491</v>
      </c>
      <c r="B2452" s="1" t="s">
        <v>40</v>
      </c>
      <c r="C2452" s="1" t="s">
        <v>588</v>
      </c>
      <c r="D2452" s="1" t="s">
        <v>850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491</v>
      </c>
      <c r="B2453" s="1" t="s">
        <v>569</v>
      </c>
      <c r="C2453" s="1" t="s">
        <v>589</v>
      </c>
      <c r="D2453" s="1" t="s">
        <v>78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491</v>
      </c>
      <c r="B2454" s="1" t="s">
        <v>571</v>
      </c>
      <c r="C2454" s="1" t="s">
        <v>591</v>
      </c>
      <c r="D2454" s="1" t="s">
        <v>95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491</v>
      </c>
      <c r="B2455" s="1" t="s">
        <v>572</v>
      </c>
      <c r="C2455" s="1" t="s">
        <v>592</v>
      </c>
      <c r="D2455" s="1" t="s">
        <v>78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5">
      <c r="A2456" s="1" t="s">
        <v>492</v>
      </c>
      <c r="B2456" s="1" t="s">
        <v>33</v>
      </c>
      <c r="C2456" s="1" t="s">
        <v>579</v>
      </c>
      <c r="D2456" s="1" t="s">
        <v>615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5">
      <c r="A2457" s="1" t="s">
        <v>492</v>
      </c>
      <c r="B2457" s="1" t="s">
        <v>34</v>
      </c>
      <c r="C2457" s="1" t="s">
        <v>580</v>
      </c>
      <c r="D2457" s="1" t="s">
        <v>616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5">
      <c r="A2458" s="1" t="s">
        <v>492</v>
      </c>
      <c r="B2458" s="1" t="s">
        <v>35</v>
      </c>
      <c r="C2458" s="1" t="s">
        <v>581</v>
      </c>
      <c r="D2458" s="1" t="s">
        <v>617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5">
      <c r="A2459" s="1" t="s">
        <v>492</v>
      </c>
      <c r="B2459" s="1" t="s">
        <v>36</v>
      </c>
      <c r="C2459" s="1" t="s">
        <v>582</v>
      </c>
      <c r="D2459" s="1" t="s">
        <v>232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492</v>
      </c>
      <c r="B2460" s="1" t="s">
        <v>37</v>
      </c>
      <c r="C2460" s="1" t="s">
        <v>583</v>
      </c>
      <c r="D2460" s="1" t="s">
        <v>232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492</v>
      </c>
      <c r="B2461" s="1" t="s">
        <v>38</v>
      </c>
      <c r="C2461" s="1" t="s">
        <v>584</v>
      </c>
      <c r="D2461" s="1" t="s">
        <v>607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5">
      <c r="A2462" s="1" t="s">
        <v>492</v>
      </c>
      <c r="B2462" s="1" t="s">
        <v>39</v>
      </c>
      <c r="C2462" s="1" t="s">
        <v>585</v>
      </c>
      <c r="D2462" s="1" t="s">
        <v>232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5">
      <c r="A2463" s="1" t="s">
        <v>492</v>
      </c>
      <c r="B2463" s="1" t="s">
        <v>567</v>
      </c>
      <c r="C2463" s="1" t="s">
        <v>586</v>
      </c>
      <c r="D2463" s="1" t="s">
        <v>141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5">
      <c r="A2464" s="1" t="s">
        <v>492</v>
      </c>
      <c r="B2464" s="1" t="s">
        <v>568</v>
      </c>
      <c r="C2464" s="1" t="s">
        <v>587</v>
      </c>
      <c r="D2464" s="1" t="s">
        <v>78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492</v>
      </c>
      <c r="B2465" s="1" t="s">
        <v>40</v>
      </c>
      <c r="C2465" s="1" t="s">
        <v>588</v>
      </c>
      <c r="D2465" s="1" t="s">
        <v>851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5">
      <c r="A2466" s="1" t="s">
        <v>492</v>
      </c>
      <c r="B2466" s="1" t="s">
        <v>569</v>
      </c>
      <c r="C2466" s="1" t="s">
        <v>589</v>
      </c>
      <c r="D2466" s="1" t="s">
        <v>78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5">
      <c r="A2467" s="1" t="s">
        <v>492</v>
      </c>
      <c r="B2467" s="1" t="s">
        <v>571</v>
      </c>
      <c r="C2467" s="1" t="s">
        <v>591</v>
      </c>
      <c r="D2467" s="1" t="s">
        <v>95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492</v>
      </c>
      <c r="B2468" s="1" t="s">
        <v>572</v>
      </c>
      <c r="C2468" s="1" t="s">
        <v>592</v>
      </c>
      <c r="D2468" s="1" t="s">
        <v>78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5">
      <c r="A2469" s="1" t="s">
        <v>493</v>
      </c>
      <c r="B2469" s="1" t="s">
        <v>33</v>
      </c>
      <c r="C2469" s="1" t="s">
        <v>579</v>
      </c>
      <c r="D2469" s="1" t="s">
        <v>615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5">
      <c r="A2470" s="1" t="s">
        <v>493</v>
      </c>
      <c r="B2470" s="1" t="s">
        <v>34</v>
      </c>
      <c r="C2470" s="1" t="s">
        <v>580</v>
      </c>
      <c r="D2470" s="1" t="s">
        <v>616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5">
      <c r="A2471" s="1" t="s">
        <v>493</v>
      </c>
      <c r="B2471" s="1" t="s">
        <v>35</v>
      </c>
      <c r="C2471" s="1" t="s">
        <v>581</v>
      </c>
      <c r="D2471" s="1" t="s">
        <v>617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5">
      <c r="A2472" s="1" t="s">
        <v>493</v>
      </c>
      <c r="B2472" s="1" t="s">
        <v>36</v>
      </c>
      <c r="C2472" s="1" t="s">
        <v>582</v>
      </c>
      <c r="D2472" s="1" t="s">
        <v>232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5">
      <c r="A2473" s="1" t="s">
        <v>493</v>
      </c>
      <c r="B2473" s="1" t="s">
        <v>37</v>
      </c>
      <c r="C2473" s="1" t="s">
        <v>583</v>
      </c>
      <c r="D2473" s="1" t="s">
        <v>232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493</v>
      </c>
      <c r="B2474" s="1" t="s">
        <v>38</v>
      </c>
      <c r="C2474" s="1" t="s">
        <v>584</v>
      </c>
      <c r="D2474" s="1" t="s">
        <v>607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493</v>
      </c>
      <c r="B2475" s="1" t="s">
        <v>39</v>
      </c>
      <c r="C2475" s="1" t="s">
        <v>585</v>
      </c>
      <c r="D2475" s="1" t="s">
        <v>232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5">
      <c r="A2476" s="1" t="s">
        <v>493</v>
      </c>
      <c r="B2476" s="1" t="s">
        <v>567</v>
      </c>
      <c r="C2476" s="1" t="s">
        <v>586</v>
      </c>
      <c r="D2476" s="1" t="s">
        <v>141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5">
      <c r="A2477" s="1" t="s">
        <v>493</v>
      </c>
      <c r="B2477" s="1" t="s">
        <v>568</v>
      </c>
      <c r="C2477" s="1" t="s">
        <v>587</v>
      </c>
      <c r="D2477" s="1" t="s">
        <v>78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5">
      <c r="A2478" s="1" t="s">
        <v>493</v>
      </c>
      <c r="B2478" s="1" t="s">
        <v>40</v>
      </c>
      <c r="C2478" s="1" t="s">
        <v>588</v>
      </c>
      <c r="D2478" s="1" t="s">
        <v>851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5">
      <c r="A2479" s="1" t="s">
        <v>493</v>
      </c>
      <c r="B2479" s="1" t="s">
        <v>569</v>
      </c>
      <c r="C2479" s="1" t="s">
        <v>589</v>
      </c>
      <c r="D2479" s="1" t="s">
        <v>78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493</v>
      </c>
      <c r="B2480" s="1" t="s">
        <v>571</v>
      </c>
      <c r="C2480" s="1" t="s">
        <v>591</v>
      </c>
      <c r="D2480" s="1" t="s">
        <v>95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493</v>
      </c>
      <c r="B2481" s="1" t="s">
        <v>572</v>
      </c>
      <c r="C2481" s="1" t="s">
        <v>592</v>
      </c>
      <c r="D2481" s="1" t="s">
        <v>78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5">
      <c r="A2482" s="1" t="s">
        <v>494</v>
      </c>
      <c r="B2482" s="1" t="s">
        <v>174</v>
      </c>
      <c r="C2482" s="1" t="s">
        <v>574</v>
      </c>
      <c r="D2482" s="1" t="s">
        <v>320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5">
      <c r="A2483" s="1" t="s">
        <v>494</v>
      </c>
      <c r="B2483" s="1" t="s">
        <v>563</v>
      </c>
      <c r="C2483" s="1" t="s">
        <v>575</v>
      </c>
      <c r="D2483" s="1" t="s">
        <v>232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5">
      <c r="A2484" s="1" t="s">
        <v>494</v>
      </c>
      <c r="B2484" s="1" t="s">
        <v>564</v>
      </c>
      <c r="C2484" s="1" t="s">
        <v>576</v>
      </c>
      <c r="D2484" s="1" t="s">
        <v>852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494</v>
      </c>
      <c r="B2485" s="1" t="s">
        <v>565</v>
      </c>
      <c r="C2485" s="1" t="s">
        <v>577</v>
      </c>
      <c r="D2485" s="1" t="s">
        <v>286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5">
      <c r="A2486" s="1" t="s">
        <v>494</v>
      </c>
      <c r="B2486" s="1" t="s">
        <v>566</v>
      </c>
      <c r="C2486" s="1" t="s">
        <v>578</v>
      </c>
      <c r="D2486" s="1" t="s">
        <v>97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5">
      <c r="A2487" s="1" t="s">
        <v>494</v>
      </c>
      <c r="B2487" s="1" t="s">
        <v>33</v>
      </c>
      <c r="C2487" s="1" t="s">
        <v>579</v>
      </c>
      <c r="D2487" s="1" t="s">
        <v>853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494</v>
      </c>
      <c r="B2488" s="1" t="s">
        <v>34</v>
      </c>
      <c r="C2488" s="1" t="s">
        <v>580</v>
      </c>
      <c r="D2488" s="1" t="s">
        <v>854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5">
      <c r="A2489" s="1" t="s">
        <v>494</v>
      </c>
      <c r="B2489" s="1" t="s">
        <v>35</v>
      </c>
      <c r="C2489" s="1" t="s">
        <v>581</v>
      </c>
      <c r="D2489" s="1" t="s">
        <v>855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5">
      <c r="A2490" s="1" t="s">
        <v>494</v>
      </c>
      <c r="B2490" s="1" t="s">
        <v>36</v>
      </c>
      <c r="C2490" s="1" t="s">
        <v>582</v>
      </c>
      <c r="D2490" s="1" t="s">
        <v>856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5">
      <c r="A2491" s="1" t="s">
        <v>494</v>
      </c>
      <c r="B2491" s="1" t="s">
        <v>37</v>
      </c>
      <c r="C2491" s="1" t="s">
        <v>583</v>
      </c>
      <c r="D2491" s="1" t="s">
        <v>382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5">
      <c r="A2492" s="1" t="s">
        <v>494</v>
      </c>
      <c r="B2492" s="1" t="s">
        <v>38</v>
      </c>
      <c r="C2492" s="1" t="s">
        <v>584</v>
      </c>
      <c r="D2492" s="1" t="s">
        <v>857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5">
      <c r="A2493" s="1" t="s">
        <v>494</v>
      </c>
      <c r="B2493" s="1" t="s">
        <v>39</v>
      </c>
      <c r="C2493" s="1" t="s">
        <v>585</v>
      </c>
      <c r="D2493" s="1" t="s">
        <v>407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494</v>
      </c>
      <c r="B2494" s="1" t="s">
        <v>567</v>
      </c>
      <c r="C2494" s="1" t="s">
        <v>586</v>
      </c>
      <c r="D2494" s="1" t="s">
        <v>333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494</v>
      </c>
      <c r="B2495" s="1" t="s">
        <v>40</v>
      </c>
      <c r="C2495" s="1" t="s">
        <v>588</v>
      </c>
      <c r="D2495" s="1" t="s">
        <v>858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5">
      <c r="A2496" s="1" t="s">
        <v>494</v>
      </c>
      <c r="B2496" s="1" t="s">
        <v>569</v>
      </c>
      <c r="C2496" s="1" t="s">
        <v>589</v>
      </c>
      <c r="D2496" s="1" t="s">
        <v>97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5">
      <c r="A2497" s="1" t="s">
        <v>494</v>
      </c>
      <c r="B2497" s="1" t="s">
        <v>570</v>
      </c>
      <c r="C2497" s="1" t="s">
        <v>590</v>
      </c>
      <c r="D2497" s="1" t="s">
        <v>311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5">
      <c r="A2498" s="1" t="s">
        <v>494</v>
      </c>
      <c r="B2498" s="1" t="s">
        <v>571</v>
      </c>
      <c r="C2498" s="1" t="s">
        <v>591</v>
      </c>
      <c r="D2498" s="1" t="s">
        <v>240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5">
      <c r="A2499" s="1" t="s">
        <v>494</v>
      </c>
      <c r="B2499" s="1" t="s">
        <v>572</v>
      </c>
      <c r="C2499" s="1" t="s">
        <v>592</v>
      </c>
      <c r="D2499" s="1" t="s">
        <v>97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435</v>
      </c>
      <c r="B2500" s="1" t="s">
        <v>564</v>
      </c>
      <c r="C2500" s="1" t="s">
        <v>576</v>
      </c>
      <c r="D2500" s="1" t="s">
        <v>141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435</v>
      </c>
      <c r="B2501" s="1" t="s">
        <v>565</v>
      </c>
      <c r="C2501" s="1" t="s">
        <v>577</v>
      </c>
      <c r="D2501" s="1" t="s">
        <v>95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5">
      <c r="A2502" s="1" t="s">
        <v>435</v>
      </c>
      <c r="B2502" s="1" t="s">
        <v>34</v>
      </c>
      <c r="C2502" s="1" t="s">
        <v>580</v>
      </c>
      <c r="D2502" s="1" t="s">
        <v>859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5">
      <c r="A2503" s="1" t="s">
        <v>435</v>
      </c>
      <c r="B2503" s="1" t="s">
        <v>35</v>
      </c>
      <c r="C2503" s="1" t="s">
        <v>581</v>
      </c>
      <c r="D2503" s="1" t="s">
        <v>860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5">
      <c r="A2504" s="1" t="s">
        <v>435</v>
      </c>
      <c r="B2504" s="1" t="s">
        <v>36</v>
      </c>
      <c r="C2504" s="1" t="s">
        <v>582</v>
      </c>
      <c r="D2504" s="1" t="s">
        <v>134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435</v>
      </c>
      <c r="B2505" s="1" t="s">
        <v>37</v>
      </c>
      <c r="C2505" s="1" t="s">
        <v>583</v>
      </c>
      <c r="D2505" s="1" t="s">
        <v>230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5">
      <c r="A2506" s="1" t="s">
        <v>435</v>
      </c>
      <c r="B2506" s="1" t="s">
        <v>38</v>
      </c>
      <c r="C2506" s="1" t="s">
        <v>584</v>
      </c>
      <c r="D2506" s="1" t="s">
        <v>861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5">
      <c r="A2507" s="1" t="s">
        <v>435</v>
      </c>
      <c r="B2507" s="1" t="s">
        <v>39</v>
      </c>
      <c r="C2507" s="1" t="s">
        <v>585</v>
      </c>
      <c r="D2507" s="1" t="s">
        <v>98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435</v>
      </c>
      <c r="B2508" s="1" t="s">
        <v>40</v>
      </c>
      <c r="C2508" s="1" t="s">
        <v>588</v>
      </c>
      <c r="D2508" s="1" t="s">
        <v>862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5">
      <c r="A2509" s="1" t="s">
        <v>435</v>
      </c>
      <c r="B2509" s="1" t="s">
        <v>571</v>
      </c>
      <c r="C2509" s="1" t="s">
        <v>591</v>
      </c>
      <c r="D2509" s="1" t="s">
        <v>275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5">
      <c r="A2510" s="1" t="s">
        <v>526</v>
      </c>
      <c r="B2510" s="1" t="s">
        <v>174</v>
      </c>
      <c r="C2510" s="1" t="s">
        <v>574</v>
      </c>
      <c r="D2510" s="1" t="s">
        <v>78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5">
      <c r="A2511" s="1" t="s">
        <v>526</v>
      </c>
      <c r="B2511" s="1" t="s">
        <v>563</v>
      </c>
      <c r="C2511" s="1" t="s">
        <v>575</v>
      </c>
      <c r="D2511" s="1" t="s">
        <v>78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5">
      <c r="A2512" s="1" t="s">
        <v>526</v>
      </c>
      <c r="B2512" s="1" t="s">
        <v>564</v>
      </c>
      <c r="C2512" s="1" t="s">
        <v>576</v>
      </c>
      <c r="D2512" s="1" t="s">
        <v>141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5">
      <c r="A2513" s="1" t="s">
        <v>526</v>
      </c>
      <c r="B2513" s="1" t="s">
        <v>565</v>
      </c>
      <c r="C2513" s="1" t="s">
        <v>577</v>
      </c>
      <c r="D2513" s="1" t="s">
        <v>95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526</v>
      </c>
      <c r="B2514" s="1" t="s">
        <v>566</v>
      </c>
      <c r="C2514" s="1" t="s">
        <v>578</v>
      </c>
      <c r="D2514" s="1" t="s">
        <v>78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526</v>
      </c>
      <c r="B2515" s="1" t="s">
        <v>33</v>
      </c>
      <c r="C2515" s="1" t="s">
        <v>579</v>
      </c>
      <c r="D2515" s="1" t="s">
        <v>863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5">
      <c r="A2516" s="1" t="s">
        <v>526</v>
      </c>
      <c r="B2516" s="1" t="s">
        <v>34</v>
      </c>
      <c r="C2516" s="1" t="s">
        <v>580</v>
      </c>
      <c r="D2516" s="1" t="s">
        <v>864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526</v>
      </c>
      <c r="B2517" s="1" t="s">
        <v>35</v>
      </c>
      <c r="C2517" s="1" t="s">
        <v>581</v>
      </c>
      <c r="D2517" s="1" t="s">
        <v>865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526</v>
      </c>
      <c r="B2518" s="1" t="s">
        <v>36</v>
      </c>
      <c r="C2518" s="1" t="s">
        <v>582</v>
      </c>
      <c r="D2518" s="1" t="s">
        <v>122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526</v>
      </c>
      <c r="B2519" s="1" t="s">
        <v>37</v>
      </c>
      <c r="C2519" s="1" t="s">
        <v>583</v>
      </c>
      <c r="D2519" s="1" t="s">
        <v>417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526</v>
      </c>
      <c r="B2520" s="1" t="s">
        <v>38</v>
      </c>
      <c r="C2520" s="1" t="s">
        <v>584</v>
      </c>
      <c r="D2520" s="1" t="s">
        <v>866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526</v>
      </c>
      <c r="B2521" s="1" t="s">
        <v>39</v>
      </c>
      <c r="C2521" s="1" t="s">
        <v>585</v>
      </c>
      <c r="D2521" s="1" t="s">
        <v>133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526</v>
      </c>
      <c r="B2522" s="1" t="s">
        <v>567</v>
      </c>
      <c r="C2522" s="1" t="s">
        <v>586</v>
      </c>
      <c r="D2522" s="1" t="s">
        <v>141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526</v>
      </c>
      <c r="B2523" s="1" t="s">
        <v>568</v>
      </c>
      <c r="C2523" s="1" t="s">
        <v>587</v>
      </c>
      <c r="D2523" s="1" t="s">
        <v>78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526</v>
      </c>
      <c r="B2524" s="1" t="s">
        <v>40</v>
      </c>
      <c r="C2524" s="1" t="s">
        <v>588</v>
      </c>
      <c r="D2524" s="1" t="s">
        <v>867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526</v>
      </c>
      <c r="B2525" s="1" t="s">
        <v>569</v>
      </c>
      <c r="C2525" s="1" t="s">
        <v>589</v>
      </c>
      <c r="D2525" s="1" t="s">
        <v>78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526</v>
      </c>
      <c r="B2526" s="1" t="s">
        <v>570</v>
      </c>
      <c r="C2526" s="1" t="s">
        <v>590</v>
      </c>
      <c r="D2526" s="1" t="s">
        <v>95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526</v>
      </c>
      <c r="B2527" s="1" t="s">
        <v>571</v>
      </c>
      <c r="C2527" s="1" t="s">
        <v>591</v>
      </c>
      <c r="D2527" s="1" t="s">
        <v>262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526</v>
      </c>
      <c r="B2528" s="1" t="s">
        <v>572</v>
      </c>
      <c r="C2528" s="1" t="s">
        <v>592</v>
      </c>
      <c r="D2528" s="1" t="s">
        <v>78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5">
      <c r="A2529" s="1" t="s">
        <v>526</v>
      </c>
      <c r="B2529" s="1" t="s">
        <v>573</v>
      </c>
      <c r="C2529" s="1" t="s">
        <v>593</v>
      </c>
      <c r="D2529" s="1" t="s">
        <v>223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5">
      <c r="A2530" s="1" t="s">
        <v>527</v>
      </c>
      <c r="B2530" s="1" t="s">
        <v>174</v>
      </c>
      <c r="C2530" s="1" t="s">
        <v>574</v>
      </c>
      <c r="D2530" s="1" t="s">
        <v>78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5">
      <c r="A2531" s="1" t="s">
        <v>527</v>
      </c>
      <c r="B2531" s="1" t="s">
        <v>563</v>
      </c>
      <c r="C2531" s="1" t="s">
        <v>575</v>
      </c>
      <c r="D2531" s="1" t="s">
        <v>78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5">
      <c r="A2532" s="1" t="s">
        <v>527</v>
      </c>
      <c r="B2532" s="1" t="s">
        <v>564</v>
      </c>
      <c r="C2532" s="1" t="s">
        <v>576</v>
      </c>
      <c r="D2532" s="1" t="s">
        <v>92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5">
      <c r="A2533" s="1" t="s">
        <v>527</v>
      </c>
      <c r="B2533" s="1" t="s">
        <v>565</v>
      </c>
      <c r="C2533" s="1" t="s">
        <v>577</v>
      </c>
      <c r="D2533" s="1" t="s">
        <v>78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527</v>
      </c>
      <c r="B2534" s="1" t="s">
        <v>566</v>
      </c>
      <c r="C2534" s="1" t="s">
        <v>578</v>
      </c>
      <c r="D2534" s="1" t="s">
        <v>78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527</v>
      </c>
      <c r="B2535" s="1" t="s">
        <v>33</v>
      </c>
      <c r="C2535" s="1" t="s">
        <v>579</v>
      </c>
      <c r="D2535" s="1" t="s">
        <v>868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5">
      <c r="A2536" s="1" t="s">
        <v>527</v>
      </c>
      <c r="B2536" s="1" t="s">
        <v>34</v>
      </c>
      <c r="C2536" s="1" t="s">
        <v>580</v>
      </c>
      <c r="D2536" s="1" t="s">
        <v>869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5">
      <c r="A2537" s="1" t="s">
        <v>527</v>
      </c>
      <c r="B2537" s="1" t="s">
        <v>35</v>
      </c>
      <c r="C2537" s="1" t="s">
        <v>581</v>
      </c>
      <c r="D2537" s="1" t="s">
        <v>870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5">
      <c r="A2538" s="1" t="s">
        <v>527</v>
      </c>
      <c r="B2538" s="1" t="s">
        <v>36</v>
      </c>
      <c r="C2538" s="1" t="s">
        <v>582</v>
      </c>
      <c r="D2538" s="1" t="s">
        <v>417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5">
      <c r="A2539" s="1" t="s">
        <v>527</v>
      </c>
      <c r="B2539" s="1" t="s">
        <v>37</v>
      </c>
      <c r="C2539" s="1" t="s">
        <v>583</v>
      </c>
      <c r="D2539" s="1" t="s">
        <v>233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 t="s">
        <v>527</v>
      </c>
      <c r="B2540" s="1" t="s">
        <v>38</v>
      </c>
      <c r="C2540" s="1" t="s">
        <v>584</v>
      </c>
      <c r="D2540" s="1" t="s">
        <v>871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 t="s">
        <v>527</v>
      </c>
      <c r="B2541" s="1" t="s">
        <v>39</v>
      </c>
      <c r="C2541" s="1" t="s">
        <v>585</v>
      </c>
      <c r="D2541" s="1" t="s">
        <v>133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5">
      <c r="A2542" s="1" t="s">
        <v>527</v>
      </c>
      <c r="B2542" s="1" t="s">
        <v>567</v>
      </c>
      <c r="C2542" s="1" t="s">
        <v>586</v>
      </c>
      <c r="D2542" s="1" t="s">
        <v>141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1" t="s">
        <v>527</v>
      </c>
      <c r="B2543" s="1" t="s">
        <v>568</v>
      </c>
      <c r="C2543" s="1" t="s">
        <v>587</v>
      </c>
      <c r="D2543" s="1" t="s">
        <v>78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5">
      <c r="A2544" s="1" t="s">
        <v>527</v>
      </c>
      <c r="B2544" s="1" t="s">
        <v>40</v>
      </c>
      <c r="C2544" s="1" t="s">
        <v>588</v>
      </c>
      <c r="D2544" s="1" t="s">
        <v>872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 t="s">
        <v>527</v>
      </c>
      <c r="B2545" s="1" t="s">
        <v>569</v>
      </c>
      <c r="C2545" s="1" t="s">
        <v>589</v>
      </c>
      <c r="D2545" s="1" t="s">
        <v>78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5">
      <c r="A2546" s="1" t="s">
        <v>527</v>
      </c>
      <c r="B2546" s="1" t="s">
        <v>570</v>
      </c>
      <c r="C2546" s="1" t="s">
        <v>590</v>
      </c>
      <c r="D2546" s="1" t="s">
        <v>95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5">
      <c r="A2547" s="1" t="s">
        <v>527</v>
      </c>
      <c r="B2547" s="1" t="s">
        <v>571</v>
      </c>
      <c r="C2547" s="1" t="s">
        <v>591</v>
      </c>
      <c r="D2547" s="1" t="s">
        <v>262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 t="s">
        <v>527</v>
      </c>
      <c r="B2548" s="1" t="s">
        <v>572</v>
      </c>
      <c r="C2548" s="1" t="s">
        <v>592</v>
      </c>
      <c r="D2548" s="1" t="s">
        <v>78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5">
      <c r="A2549" s="1" t="s">
        <v>527</v>
      </c>
      <c r="B2549" s="1" t="s">
        <v>573</v>
      </c>
      <c r="C2549" s="1" t="s">
        <v>593</v>
      </c>
      <c r="D2549" s="1" t="s">
        <v>223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5">
      <c r="A2550" s="1" t="s">
        <v>496</v>
      </c>
      <c r="B2550" s="1" t="s">
        <v>174</v>
      </c>
      <c r="C2550" s="1" t="s">
        <v>574</v>
      </c>
      <c r="D2550" s="1" t="s">
        <v>223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5">
      <c r="A2551" s="1" t="s">
        <v>496</v>
      </c>
      <c r="B2551" s="1" t="s">
        <v>563</v>
      </c>
      <c r="C2551" s="1" t="s">
        <v>575</v>
      </c>
      <c r="D2551" s="1" t="s">
        <v>95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5">
      <c r="A2552" s="1" t="s">
        <v>496</v>
      </c>
      <c r="B2552" s="1" t="s">
        <v>564</v>
      </c>
      <c r="C2552" s="1" t="s">
        <v>576</v>
      </c>
      <c r="D2552" s="1" t="s">
        <v>600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5">
      <c r="A2553" s="1" t="s">
        <v>496</v>
      </c>
      <c r="B2553" s="1" t="s">
        <v>565</v>
      </c>
      <c r="C2553" s="1" t="s">
        <v>577</v>
      </c>
      <c r="D2553" s="1" t="s">
        <v>95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 t="s">
        <v>496</v>
      </c>
      <c r="B2554" s="1" t="s">
        <v>33</v>
      </c>
      <c r="C2554" s="1" t="s">
        <v>579</v>
      </c>
      <c r="D2554" s="1" t="s">
        <v>690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 t="s">
        <v>496</v>
      </c>
      <c r="B2555" s="1" t="s">
        <v>34</v>
      </c>
      <c r="C2555" s="1" t="s">
        <v>580</v>
      </c>
      <c r="D2555" s="1" t="s">
        <v>873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5">
      <c r="A2556" s="1" t="s">
        <v>496</v>
      </c>
      <c r="B2556" s="1" t="s">
        <v>35</v>
      </c>
      <c r="C2556" s="1" t="s">
        <v>581</v>
      </c>
      <c r="D2556" s="1" t="s">
        <v>874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5">
      <c r="A2557" s="1" t="s">
        <v>496</v>
      </c>
      <c r="B2557" s="1" t="s">
        <v>36</v>
      </c>
      <c r="C2557" s="1" t="s">
        <v>582</v>
      </c>
      <c r="D2557" s="1" t="s">
        <v>343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5">
      <c r="A2558" s="1" t="s">
        <v>496</v>
      </c>
      <c r="B2558" s="1" t="s">
        <v>37</v>
      </c>
      <c r="C2558" s="1" t="s">
        <v>583</v>
      </c>
      <c r="D2558" s="1" t="s">
        <v>374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5">
      <c r="A2559" s="1" t="s">
        <v>496</v>
      </c>
      <c r="B2559" s="1" t="s">
        <v>38</v>
      </c>
      <c r="C2559" s="1" t="s">
        <v>584</v>
      </c>
      <c r="D2559" s="1" t="s">
        <v>875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 t="s">
        <v>496</v>
      </c>
      <c r="B2560" s="1" t="s">
        <v>39</v>
      </c>
      <c r="C2560" s="1" t="s">
        <v>585</v>
      </c>
      <c r="D2560" s="1" t="s">
        <v>390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 t="s">
        <v>496</v>
      </c>
      <c r="B2561" s="1" t="s">
        <v>567</v>
      </c>
      <c r="C2561" s="1" t="s">
        <v>586</v>
      </c>
      <c r="D2561" s="1" t="s">
        <v>141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1" t="s">
        <v>496</v>
      </c>
      <c r="B2562" s="1" t="s">
        <v>568</v>
      </c>
      <c r="C2562" s="1" t="s">
        <v>587</v>
      </c>
      <c r="D2562" s="1" t="s">
        <v>95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5">
      <c r="A2563" s="1" t="s">
        <v>496</v>
      </c>
      <c r="B2563" s="1" t="s">
        <v>40</v>
      </c>
      <c r="C2563" s="1" t="s">
        <v>588</v>
      </c>
      <c r="D2563" s="1" t="s">
        <v>876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5">
      <c r="A2564" s="1" t="s">
        <v>496</v>
      </c>
      <c r="B2564" s="1" t="s">
        <v>569</v>
      </c>
      <c r="C2564" s="1" t="s">
        <v>589</v>
      </c>
      <c r="D2564" s="1" t="s">
        <v>223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 t="s">
        <v>496</v>
      </c>
      <c r="B2565" s="1" t="s">
        <v>570</v>
      </c>
      <c r="C2565" s="1" t="s">
        <v>590</v>
      </c>
      <c r="D2565" s="1" t="s">
        <v>275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5">
      <c r="A2566" s="1" t="s">
        <v>496</v>
      </c>
      <c r="B2566" s="1" t="s">
        <v>571</v>
      </c>
      <c r="C2566" s="1" t="s">
        <v>591</v>
      </c>
      <c r="D2566" s="1" t="s">
        <v>262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5">
      <c r="A2567" s="1" t="s">
        <v>496</v>
      </c>
      <c r="B2567" s="1" t="s">
        <v>572</v>
      </c>
      <c r="C2567" s="1" t="s">
        <v>592</v>
      </c>
      <c r="D2567" s="1" t="s">
        <v>95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497</v>
      </c>
      <c r="B2568" s="1" t="s">
        <v>174</v>
      </c>
      <c r="C2568" s="1" t="s">
        <v>574</v>
      </c>
      <c r="D2568" s="1" t="s">
        <v>275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5">
      <c r="A2569" s="1" t="s">
        <v>497</v>
      </c>
      <c r="B2569" s="1" t="s">
        <v>563</v>
      </c>
      <c r="C2569" s="1" t="s">
        <v>575</v>
      </c>
      <c r="D2569" s="1" t="s">
        <v>95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5">
      <c r="A2570" s="1" t="s">
        <v>497</v>
      </c>
      <c r="B2570" s="1" t="s">
        <v>564</v>
      </c>
      <c r="C2570" s="1" t="s">
        <v>576</v>
      </c>
      <c r="D2570" s="1" t="s">
        <v>600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5">
      <c r="A2571" s="1" t="s">
        <v>497</v>
      </c>
      <c r="B2571" s="1" t="s">
        <v>565</v>
      </c>
      <c r="C2571" s="1" t="s">
        <v>577</v>
      </c>
      <c r="D2571" s="1" t="s">
        <v>223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5">
      <c r="A2572" s="1" t="s">
        <v>497</v>
      </c>
      <c r="B2572" s="1" t="s">
        <v>33</v>
      </c>
      <c r="C2572" s="1" t="s">
        <v>579</v>
      </c>
      <c r="D2572" s="1" t="s">
        <v>224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1" t="s">
        <v>497</v>
      </c>
      <c r="B2573" s="1" t="s">
        <v>34</v>
      </c>
      <c r="C2573" s="1" t="s">
        <v>580</v>
      </c>
      <c r="D2573" s="1" t="s">
        <v>877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497</v>
      </c>
      <c r="B2574" s="1" t="s">
        <v>35</v>
      </c>
      <c r="C2574" s="1" t="s">
        <v>581</v>
      </c>
      <c r="D2574" s="1" t="s">
        <v>878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497</v>
      </c>
      <c r="B2575" s="1" t="s">
        <v>36</v>
      </c>
      <c r="C2575" s="1" t="s">
        <v>582</v>
      </c>
      <c r="D2575" s="1" t="s">
        <v>346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5">
      <c r="A2576" s="1" t="s">
        <v>497</v>
      </c>
      <c r="B2576" s="1" t="s">
        <v>37</v>
      </c>
      <c r="C2576" s="1" t="s">
        <v>583</v>
      </c>
      <c r="D2576" s="1" t="s">
        <v>287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5">
      <c r="A2577" s="1" t="s">
        <v>497</v>
      </c>
      <c r="B2577" s="1" t="s">
        <v>38</v>
      </c>
      <c r="C2577" s="1" t="s">
        <v>584</v>
      </c>
      <c r="D2577" s="1" t="s">
        <v>879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5">
      <c r="A2578" s="1" t="s">
        <v>497</v>
      </c>
      <c r="B2578" s="1" t="s">
        <v>39</v>
      </c>
      <c r="C2578" s="1" t="s">
        <v>585</v>
      </c>
      <c r="D2578" s="1" t="s">
        <v>352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5">
      <c r="A2579" s="1" t="s">
        <v>497</v>
      </c>
      <c r="B2579" s="1" t="s">
        <v>567</v>
      </c>
      <c r="C2579" s="1" t="s">
        <v>586</v>
      </c>
      <c r="D2579" s="1" t="s">
        <v>141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497</v>
      </c>
      <c r="B2580" s="1" t="s">
        <v>40</v>
      </c>
      <c r="C2580" s="1" t="s">
        <v>588</v>
      </c>
      <c r="D2580" s="1" t="s">
        <v>880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497</v>
      </c>
      <c r="B2581" s="1" t="s">
        <v>569</v>
      </c>
      <c r="C2581" s="1" t="s">
        <v>589</v>
      </c>
      <c r="D2581" s="1" t="s">
        <v>95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5">
      <c r="A2582" s="1" t="s">
        <v>497</v>
      </c>
      <c r="B2582" s="1" t="s">
        <v>570</v>
      </c>
      <c r="C2582" s="1" t="s">
        <v>590</v>
      </c>
      <c r="D2582" s="1" t="s">
        <v>232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5">
      <c r="A2583" s="1" t="s">
        <v>497</v>
      </c>
      <c r="B2583" s="1" t="s">
        <v>571</v>
      </c>
      <c r="C2583" s="1" t="s">
        <v>591</v>
      </c>
      <c r="D2583" s="1" t="s">
        <v>232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5">
      <c r="A2584" s="1" t="s">
        <v>498</v>
      </c>
      <c r="B2584" s="1" t="s">
        <v>33</v>
      </c>
      <c r="C2584" s="1" t="s">
        <v>579</v>
      </c>
      <c r="D2584" s="1" t="s">
        <v>722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498</v>
      </c>
      <c r="B2585" s="1" t="s">
        <v>34</v>
      </c>
      <c r="C2585" s="1" t="s">
        <v>580</v>
      </c>
      <c r="D2585" s="1" t="s">
        <v>881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1" t="s">
        <v>498</v>
      </c>
      <c r="B2586" s="1" t="s">
        <v>35</v>
      </c>
      <c r="C2586" s="1" t="s">
        <v>581</v>
      </c>
      <c r="D2586" s="1" t="s">
        <v>882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5">
      <c r="A2587" s="1" t="s">
        <v>498</v>
      </c>
      <c r="B2587" s="1" t="s">
        <v>36</v>
      </c>
      <c r="C2587" s="1" t="s">
        <v>582</v>
      </c>
      <c r="D2587" s="1" t="s">
        <v>262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498</v>
      </c>
      <c r="B2588" s="1" t="s">
        <v>37</v>
      </c>
      <c r="C2588" s="1" t="s">
        <v>583</v>
      </c>
      <c r="D2588" s="1" t="s">
        <v>262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498</v>
      </c>
      <c r="B2589" s="1" t="s">
        <v>38</v>
      </c>
      <c r="C2589" s="1" t="s">
        <v>584</v>
      </c>
      <c r="D2589" s="1" t="s">
        <v>817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498</v>
      </c>
      <c r="B2590" s="1" t="s">
        <v>39</v>
      </c>
      <c r="C2590" s="1" t="s">
        <v>585</v>
      </c>
      <c r="D2590" s="1" t="s">
        <v>98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498</v>
      </c>
      <c r="B2591" s="1" t="s">
        <v>567</v>
      </c>
      <c r="C2591" s="1" t="s">
        <v>586</v>
      </c>
      <c r="D2591" s="1" t="s">
        <v>141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5">
      <c r="A2592" s="1" t="s">
        <v>498</v>
      </c>
      <c r="B2592" s="1" t="s">
        <v>40</v>
      </c>
      <c r="C2592" s="1" t="s">
        <v>588</v>
      </c>
      <c r="D2592" s="1" t="s">
        <v>883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5">
      <c r="A2593" s="1" t="s">
        <v>498</v>
      </c>
      <c r="B2593" s="1" t="s">
        <v>569</v>
      </c>
      <c r="C2593" s="1" t="s">
        <v>589</v>
      </c>
      <c r="D2593" s="1" t="s">
        <v>78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498</v>
      </c>
      <c r="B2594" s="1" t="s">
        <v>571</v>
      </c>
      <c r="C2594" s="1" t="s">
        <v>591</v>
      </c>
      <c r="D2594" s="1" t="s">
        <v>95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499</v>
      </c>
      <c r="B2595" s="1" t="s">
        <v>33</v>
      </c>
      <c r="C2595" s="1" t="s">
        <v>579</v>
      </c>
      <c r="D2595" s="1" t="s">
        <v>722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499</v>
      </c>
      <c r="B2596" s="1" t="s">
        <v>34</v>
      </c>
      <c r="C2596" s="1" t="s">
        <v>580</v>
      </c>
      <c r="D2596" s="1" t="s">
        <v>884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499</v>
      </c>
      <c r="B2597" s="1" t="s">
        <v>35</v>
      </c>
      <c r="C2597" s="1" t="s">
        <v>581</v>
      </c>
      <c r="D2597" s="1" t="s">
        <v>885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499</v>
      </c>
      <c r="B2598" s="1" t="s">
        <v>36</v>
      </c>
      <c r="C2598" s="1" t="s">
        <v>582</v>
      </c>
      <c r="D2598" s="1" t="s">
        <v>145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499</v>
      </c>
      <c r="B2599" s="1" t="s">
        <v>37</v>
      </c>
      <c r="C2599" s="1" t="s">
        <v>583</v>
      </c>
      <c r="D2599" s="1" t="s">
        <v>262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499</v>
      </c>
      <c r="B2600" s="1" t="s">
        <v>38</v>
      </c>
      <c r="C2600" s="1" t="s">
        <v>584</v>
      </c>
      <c r="D2600" s="1" t="s">
        <v>886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499</v>
      </c>
      <c r="B2601" s="1" t="s">
        <v>39</v>
      </c>
      <c r="C2601" s="1" t="s">
        <v>585</v>
      </c>
      <c r="D2601" s="1" t="s">
        <v>98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5">
      <c r="A2602" s="1" t="s">
        <v>499</v>
      </c>
      <c r="B2602" s="1" t="s">
        <v>567</v>
      </c>
      <c r="C2602" s="1" t="s">
        <v>586</v>
      </c>
      <c r="D2602" s="1" t="s">
        <v>141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5">
      <c r="A2603" s="1" t="s">
        <v>499</v>
      </c>
      <c r="B2603" s="1" t="s">
        <v>40</v>
      </c>
      <c r="C2603" s="1" t="s">
        <v>588</v>
      </c>
      <c r="D2603" s="1" t="s">
        <v>887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5">
      <c r="A2604" s="1" t="s">
        <v>499</v>
      </c>
      <c r="B2604" s="1" t="s">
        <v>569</v>
      </c>
      <c r="C2604" s="1" t="s">
        <v>589</v>
      </c>
      <c r="D2604" s="1" t="s">
        <v>78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499</v>
      </c>
      <c r="B2605" s="1" t="s">
        <v>571</v>
      </c>
      <c r="C2605" s="1" t="s">
        <v>591</v>
      </c>
      <c r="D2605" s="1" t="s">
        <v>95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5">
      <c r="A2606" s="1" t="s">
        <v>500</v>
      </c>
      <c r="B2606" s="1" t="s">
        <v>33</v>
      </c>
      <c r="C2606" s="1" t="s">
        <v>579</v>
      </c>
      <c r="D2606" s="1" t="s">
        <v>615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5">
      <c r="A2607" s="1" t="s">
        <v>500</v>
      </c>
      <c r="B2607" s="1" t="s">
        <v>34</v>
      </c>
      <c r="C2607" s="1" t="s">
        <v>580</v>
      </c>
      <c r="D2607" s="1" t="s">
        <v>616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500</v>
      </c>
      <c r="B2608" s="1" t="s">
        <v>35</v>
      </c>
      <c r="C2608" s="1" t="s">
        <v>581</v>
      </c>
      <c r="D2608" s="1" t="s">
        <v>617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5">
      <c r="A2609" s="1" t="s">
        <v>500</v>
      </c>
      <c r="B2609" s="1" t="s">
        <v>36</v>
      </c>
      <c r="C2609" s="1" t="s">
        <v>582</v>
      </c>
      <c r="D2609" s="1" t="s">
        <v>232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1" t="s">
        <v>500</v>
      </c>
      <c r="B2610" s="1" t="s">
        <v>37</v>
      </c>
      <c r="C2610" s="1" t="s">
        <v>583</v>
      </c>
      <c r="D2610" s="1" t="s">
        <v>232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5">
      <c r="A2611" s="1" t="s">
        <v>500</v>
      </c>
      <c r="B2611" s="1" t="s">
        <v>38</v>
      </c>
      <c r="C2611" s="1" t="s">
        <v>584</v>
      </c>
      <c r="D2611" s="1" t="s">
        <v>607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5">
      <c r="A2612" s="1" t="s">
        <v>500</v>
      </c>
      <c r="B2612" s="1" t="s">
        <v>39</v>
      </c>
      <c r="C2612" s="1" t="s">
        <v>585</v>
      </c>
      <c r="D2612" s="1" t="s">
        <v>245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5">
      <c r="A2613" s="1" t="s">
        <v>500</v>
      </c>
      <c r="B2613" s="1" t="s">
        <v>567</v>
      </c>
      <c r="C2613" s="1" t="s">
        <v>586</v>
      </c>
      <c r="D2613" s="1" t="s">
        <v>141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5">
      <c r="A2614" s="1" t="s">
        <v>500</v>
      </c>
      <c r="B2614" s="1" t="s">
        <v>40</v>
      </c>
      <c r="C2614" s="1" t="s">
        <v>588</v>
      </c>
      <c r="D2614" s="1" t="s">
        <v>609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500</v>
      </c>
      <c r="B2615" s="1" t="s">
        <v>569</v>
      </c>
      <c r="C2615" s="1" t="s">
        <v>589</v>
      </c>
      <c r="D2615" s="1" t="s">
        <v>78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5">
      <c r="A2616" s="1" t="s">
        <v>500</v>
      </c>
      <c r="B2616" s="1" t="s">
        <v>571</v>
      </c>
      <c r="C2616" s="1" t="s">
        <v>591</v>
      </c>
      <c r="D2616" s="1" t="s">
        <v>95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5">
      <c r="A2617" s="1" t="s">
        <v>501</v>
      </c>
      <c r="B2617" s="1" t="s">
        <v>33</v>
      </c>
      <c r="C2617" s="1" t="s">
        <v>579</v>
      </c>
      <c r="D2617" s="1" t="s">
        <v>615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5">
      <c r="A2618" s="1" t="s">
        <v>501</v>
      </c>
      <c r="B2618" s="1" t="s">
        <v>34</v>
      </c>
      <c r="C2618" s="1" t="s">
        <v>580</v>
      </c>
      <c r="D2618" s="1" t="s">
        <v>616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5">
      <c r="A2619" s="1" t="s">
        <v>501</v>
      </c>
      <c r="B2619" s="1" t="s">
        <v>35</v>
      </c>
      <c r="C2619" s="1" t="s">
        <v>581</v>
      </c>
      <c r="D2619" s="1" t="s">
        <v>617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501</v>
      </c>
      <c r="B2620" s="1" t="s">
        <v>36</v>
      </c>
      <c r="C2620" s="1" t="s">
        <v>582</v>
      </c>
      <c r="D2620" s="1" t="s">
        <v>232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5">
      <c r="A2621" s="1" t="s">
        <v>501</v>
      </c>
      <c r="B2621" s="1" t="s">
        <v>37</v>
      </c>
      <c r="C2621" s="1" t="s">
        <v>583</v>
      </c>
      <c r="D2621" s="1" t="s">
        <v>232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5">
      <c r="A2622" s="1" t="s">
        <v>501</v>
      </c>
      <c r="B2622" s="1" t="s">
        <v>38</v>
      </c>
      <c r="C2622" s="1" t="s">
        <v>584</v>
      </c>
      <c r="D2622" s="1" t="s">
        <v>607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5">
      <c r="A2623" s="1" t="s">
        <v>501</v>
      </c>
      <c r="B2623" s="1" t="s">
        <v>39</v>
      </c>
      <c r="C2623" s="1" t="s">
        <v>585</v>
      </c>
      <c r="D2623" s="1" t="s">
        <v>245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5">
      <c r="A2624" s="1" t="s">
        <v>501</v>
      </c>
      <c r="B2624" s="1" t="s">
        <v>567</v>
      </c>
      <c r="C2624" s="1" t="s">
        <v>586</v>
      </c>
      <c r="D2624" s="1" t="s">
        <v>141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501</v>
      </c>
      <c r="B2625" s="1" t="s">
        <v>40</v>
      </c>
      <c r="C2625" s="1" t="s">
        <v>588</v>
      </c>
      <c r="D2625" s="1" t="s">
        <v>609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5">
      <c r="A2626" s="1" t="s">
        <v>501</v>
      </c>
      <c r="B2626" s="1" t="s">
        <v>569</v>
      </c>
      <c r="C2626" s="1" t="s">
        <v>589</v>
      </c>
      <c r="D2626" s="1" t="s">
        <v>78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5">
      <c r="A2627" s="1" t="s">
        <v>501</v>
      </c>
      <c r="B2627" s="1" t="s">
        <v>571</v>
      </c>
      <c r="C2627" s="1" t="s">
        <v>591</v>
      </c>
      <c r="D2627" s="1" t="s">
        <v>95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528</v>
      </c>
      <c r="B2628" s="1" t="s">
        <v>174</v>
      </c>
      <c r="C2628" s="1" t="s">
        <v>574</v>
      </c>
      <c r="D2628" s="1" t="s">
        <v>78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5">
      <c r="A2629" s="1" t="s">
        <v>528</v>
      </c>
      <c r="B2629" s="1" t="s">
        <v>563</v>
      </c>
      <c r="C2629" s="1" t="s">
        <v>575</v>
      </c>
      <c r="D2629" s="1" t="s">
        <v>78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5">
      <c r="A2630" s="1" t="s">
        <v>528</v>
      </c>
      <c r="B2630" s="1" t="s">
        <v>564</v>
      </c>
      <c r="C2630" s="1" t="s">
        <v>576</v>
      </c>
      <c r="D2630" s="1" t="s">
        <v>141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5">
      <c r="A2631" s="1" t="s">
        <v>528</v>
      </c>
      <c r="B2631" s="1" t="s">
        <v>565</v>
      </c>
      <c r="C2631" s="1" t="s">
        <v>577</v>
      </c>
      <c r="D2631" s="1" t="s">
        <v>95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5">
      <c r="A2632" s="1" t="s">
        <v>528</v>
      </c>
      <c r="B2632" s="1" t="s">
        <v>566</v>
      </c>
      <c r="C2632" s="1" t="s">
        <v>578</v>
      </c>
      <c r="D2632" s="1" t="s">
        <v>78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5">
      <c r="A2633" s="1" t="s">
        <v>528</v>
      </c>
      <c r="B2633" s="1" t="s">
        <v>33</v>
      </c>
      <c r="C2633" s="1" t="s">
        <v>579</v>
      </c>
      <c r="D2633" s="1" t="s">
        <v>722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5">
      <c r="A2634" s="1" t="s">
        <v>528</v>
      </c>
      <c r="B2634" s="1" t="s">
        <v>34</v>
      </c>
      <c r="C2634" s="1" t="s">
        <v>580</v>
      </c>
      <c r="D2634" s="1" t="s">
        <v>888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528</v>
      </c>
      <c r="B2635" s="1" t="s">
        <v>35</v>
      </c>
      <c r="C2635" s="1" t="s">
        <v>581</v>
      </c>
      <c r="D2635" s="1" t="s">
        <v>889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5">
      <c r="A2636" s="1" t="s">
        <v>528</v>
      </c>
      <c r="B2636" s="1" t="s">
        <v>36</v>
      </c>
      <c r="C2636" s="1" t="s">
        <v>582</v>
      </c>
      <c r="D2636" s="1" t="s">
        <v>98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5">
      <c r="A2637" s="1" t="s">
        <v>528</v>
      </c>
      <c r="B2637" s="1" t="s">
        <v>37</v>
      </c>
      <c r="C2637" s="1" t="s">
        <v>583</v>
      </c>
      <c r="D2637" s="1" t="s">
        <v>98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5">
      <c r="A2638" s="1" t="s">
        <v>528</v>
      </c>
      <c r="B2638" s="1" t="s">
        <v>38</v>
      </c>
      <c r="C2638" s="1" t="s">
        <v>584</v>
      </c>
      <c r="D2638" s="1" t="s">
        <v>890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5">
      <c r="A2639" s="1" t="s">
        <v>528</v>
      </c>
      <c r="B2639" s="1" t="s">
        <v>39</v>
      </c>
      <c r="C2639" s="1" t="s">
        <v>585</v>
      </c>
      <c r="D2639" s="1" t="s">
        <v>245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528</v>
      </c>
      <c r="B2640" s="1" t="s">
        <v>567</v>
      </c>
      <c r="C2640" s="1" t="s">
        <v>586</v>
      </c>
      <c r="D2640" s="1" t="s">
        <v>141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5">
      <c r="A2641" s="1" t="s">
        <v>528</v>
      </c>
      <c r="B2641" s="1" t="s">
        <v>568</v>
      </c>
      <c r="C2641" s="1" t="s">
        <v>587</v>
      </c>
      <c r="D2641" s="1" t="s">
        <v>78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5">
      <c r="A2642" s="1" t="s">
        <v>528</v>
      </c>
      <c r="B2642" s="1" t="s">
        <v>40</v>
      </c>
      <c r="C2642" s="1" t="s">
        <v>588</v>
      </c>
      <c r="D2642" s="1" t="s">
        <v>891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528</v>
      </c>
      <c r="B2643" s="1" t="s">
        <v>569</v>
      </c>
      <c r="C2643" s="1" t="s">
        <v>589</v>
      </c>
      <c r="D2643" s="1" t="s">
        <v>78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5">
      <c r="A2644" s="1" t="s">
        <v>528</v>
      </c>
      <c r="B2644" s="1" t="s">
        <v>570</v>
      </c>
      <c r="C2644" s="1" t="s">
        <v>590</v>
      </c>
      <c r="D2644" s="1" t="s">
        <v>95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528</v>
      </c>
      <c r="B2645" s="1" t="s">
        <v>571</v>
      </c>
      <c r="C2645" s="1" t="s">
        <v>591</v>
      </c>
      <c r="D2645" s="1" t="s">
        <v>232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1" t="s">
        <v>528</v>
      </c>
      <c r="B2646" s="1" t="s">
        <v>572</v>
      </c>
      <c r="C2646" s="1" t="s">
        <v>592</v>
      </c>
      <c r="D2646" s="1" t="s">
        <v>78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5">
      <c r="A2647" s="1" t="s">
        <v>528</v>
      </c>
      <c r="B2647" s="1" t="s">
        <v>573</v>
      </c>
      <c r="C2647" s="1" t="s">
        <v>593</v>
      </c>
      <c r="D2647" s="1" t="s">
        <v>78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502</v>
      </c>
      <c r="B2648" s="1" t="s">
        <v>174</v>
      </c>
      <c r="C2648" s="1" t="s">
        <v>574</v>
      </c>
      <c r="D2648" s="1" t="s">
        <v>95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5">
      <c r="A2649" s="1" t="s">
        <v>502</v>
      </c>
      <c r="B2649" s="1" t="s">
        <v>564</v>
      </c>
      <c r="C2649" s="1" t="s">
        <v>576</v>
      </c>
      <c r="D2649" s="1" t="s">
        <v>637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5">
      <c r="A2650" s="1" t="s">
        <v>502</v>
      </c>
      <c r="B2650" s="1" t="s">
        <v>565</v>
      </c>
      <c r="C2650" s="1" t="s">
        <v>577</v>
      </c>
      <c r="D2650" s="1" t="s">
        <v>275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5">
      <c r="A2651" s="1" t="s">
        <v>502</v>
      </c>
      <c r="B2651" s="1" t="s">
        <v>33</v>
      </c>
      <c r="C2651" s="1" t="s">
        <v>579</v>
      </c>
      <c r="D2651" s="1" t="s">
        <v>224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5">
      <c r="A2652" s="1" t="s">
        <v>502</v>
      </c>
      <c r="B2652" s="1" t="s">
        <v>34</v>
      </c>
      <c r="C2652" s="1" t="s">
        <v>580</v>
      </c>
      <c r="D2652" s="1" t="s">
        <v>892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5">
      <c r="A2653" s="1" t="s">
        <v>502</v>
      </c>
      <c r="B2653" s="1" t="s">
        <v>35</v>
      </c>
      <c r="C2653" s="1" t="s">
        <v>581</v>
      </c>
      <c r="D2653" s="1" t="s">
        <v>893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5">
      <c r="A2654" s="1" t="s">
        <v>502</v>
      </c>
      <c r="B2654" s="1" t="s">
        <v>36</v>
      </c>
      <c r="C2654" s="1" t="s">
        <v>582</v>
      </c>
      <c r="D2654" s="1" t="s">
        <v>122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502</v>
      </c>
      <c r="B2655" s="1" t="s">
        <v>37</v>
      </c>
      <c r="C2655" s="1" t="s">
        <v>583</v>
      </c>
      <c r="D2655" s="1" t="s">
        <v>228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5">
      <c r="A2656" s="1" t="s">
        <v>502</v>
      </c>
      <c r="B2656" s="1" t="s">
        <v>38</v>
      </c>
      <c r="C2656" s="1" t="s">
        <v>584</v>
      </c>
      <c r="D2656" s="1" t="s">
        <v>894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5">
      <c r="A2657" s="1" t="s">
        <v>502</v>
      </c>
      <c r="B2657" s="1" t="s">
        <v>39</v>
      </c>
      <c r="C2657" s="1" t="s">
        <v>585</v>
      </c>
      <c r="D2657" s="1" t="s">
        <v>230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5">
      <c r="A2658" s="1" t="s">
        <v>502</v>
      </c>
      <c r="B2658" s="1" t="s">
        <v>567</v>
      </c>
      <c r="C2658" s="1" t="s">
        <v>586</v>
      </c>
      <c r="D2658" s="1" t="s">
        <v>141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5">
      <c r="A2659" s="1" t="s">
        <v>502</v>
      </c>
      <c r="B2659" s="1" t="s">
        <v>40</v>
      </c>
      <c r="C2659" s="1" t="s">
        <v>588</v>
      </c>
      <c r="D2659" s="1" t="s">
        <v>895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502</v>
      </c>
      <c r="B2660" s="1" t="s">
        <v>569</v>
      </c>
      <c r="C2660" s="1" t="s">
        <v>589</v>
      </c>
      <c r="D2660" s="1" t="s">
        <v>78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502</v>
      </c>
      <c r="B2661" s="1" t="s">
        <v>570</v>
      </c>
      <c r="C2661" s="1" t="s">
        <v>590</v>
      </c>
      <c r="D2661" s="1" t="s">
        <v>223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502</v>
      </c>
      <c r="B2662" s="1" t="s">
        <v>571</v>
      </c>
      <c r="C2662" s="1" t="s">
        <v>591</v>
      </c>
      <c r="D2662" s="1" t="s">
        <v>275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503</v>
      </c>
      <c r="B2663" s="1" t="s">
        <v>33</v>
      </c>
      <c r="C2663" s="1" t="s">
        <v>579</v>
      </c>
      <c r="D2663" s="1" t="s">
        <v>615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5">
      <c r="A2664" s="1" t="s">
        <v>503</v>
      </c>
      <c r="B2664" s="1" t="s">
        <v>34</v>
      </c>
      <c r="C2664" s="1" t="s">
        <v>580</v>
      </c>
      <c r="D2664" s="1" t="s">
        <v>616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503</v>
      </c>
      <c r="B2665" s="1" t="s">
        <v>35</v>
      </c>
      <c r="C2665" s="1" t="s">
        <v>581</v>
      </c>
      <c r="D2665" s="1" t="s">
        <v>617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503</v>
      </c>
      <c r="B2666" s="1" t="s">
        <v>36</v>
      </c>
      <c r="C2666" s="1" t="s">
        <v>582</v>
      </c>
      <c r="D2666" s="1" t="s">
        <v>232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503</v>
      </c>
      <c r="B2667" s="1" t="s">
        <v>37</v>
      </c>
      <c r="C2667" s="1" t="s">
        <v>583</v>
      </c>
      <c r="D2667" s="1" t="s">
        <v>232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503</v>
      </c>
      <c r="B2668" s="1" t="s">
        <v>38</v>
      </c>
      <c r="C2668" s="1" t="s">
        <v>584</v>
      </c>
      <c r="D2668" s="1" t="s">
        <v>607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503</v>
      </c>
      <c r="B2669" s="1" t="s">
        <v>39</v>
      </c>
      <c r="C2669" s="1" t="s">
        <v>585</v>
      </c>
      <c r="D2669" s="1" t="s">
        <v>245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503</v>
      </c>
      <c r="B2670" s="1" t="s">
        <v>567</v>
      </c>
      <c r="C2670" s="1" t="s">
        <v>586</v>
      </c>
      <c r="D2670" s="1" t="s">
        <v>141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503</v>
      </c>
      <c r="B2671" s="1" t="s">
        <v>40</v>
      </c>
      <c r="C2671" s="1" t="s">
        <v>588</v>
      </c>
      <c r="D2671" s="1" t="s">
        <v>609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5">
      <c r="A2672" s="1" t="s">
        <v>503</v>
      </c>
      <c r="B2672" s="1" t="s">
        <v>569</v>
      </c>
      <c r="C2672" s="1" t="s">
        <v>589</v>
      </c>
      <c r="D2672" s="1" t="s">
        <v>78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5">
      <c r="A2673" s="1" t="s">
        <v>503</v>
      </c>
      <c r="B2673" s="1" t="s">
        <v>571</v>
      </c>
      <c r="C2673" s="1" t="s">
        <v>591</v>
      </c>
      <c r="D2673" s="1" t="s">
        <v>95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5">
      <c r="A2674" s="1" t="s">
        <v>504</v>
      </c>
      <c r="B2674" s="1" t="s">
        <v>174</v>
      </c>
      <c r="C2674" s="1" t="s">
        <v>574</v>
      </c>
      <c r="D2674" s="1" t="s">
        <v>95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 t="s">
        <v>504</v>
      </c>
      <c r="B2675" s="1" t="s">
        <v>566</v>
      </c>
      <c r="C2675" s="1" t="s">
        <v>578</v>
      </c>
      <c r="D2675" s="1" t="s">
        <v>95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5">
      <c r="A2676" s="1" t="s">
        <v>504</v>
      </c>
      <c r="B2676" s="1" t="s">
        <v>33</v>
      </c>
      <c r="C2676" s="1" t="s">
        <v>579</v>
      </c>
      <c r="D2676" s="1" t="s">
        <v>896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1" t="s">
        <v>504</v>
      </c>
      <c r="B2677" s="1" t="s">
        <v>34</v>
      </c>
      <c r="C2677" s="1" t="s">
        <v>580</v>
      </c>
      <c r="D2677" s="1" t="s">
        <v>897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5">
      <c r="A2678" s="1" t="s">
        <v>504</v>
      </c>
      <c r="B2678" s="1" t="s">
        <v>35</v>
      </c>
      <c r="C2678" s="1" t="s">
        <v>581</v>
      </c>
      <c r="D2678" s="1" t="s">
        <v>898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5">
      <c r="A2679" s="1" t="s">
        <v>504</v>
      </c>
      <c r="B2679" s="1" t="s">
        <v>36</v>
      </c>
      <c r="C2679" s="1" t="s">
        <v>582</v>
      </c>
      <c r="D2679" s="1" t="s">
        <v>417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 t="s">
        <v>504</v>
      </c>
      <c r="B2680" s="1" t="s">
        <v>37</v>
      </c>
      <c r="C2680" s="1" t="s">
        <v>583</v>
      </c>
      <c r="D2680" s="1" t="s">
        <v>245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5">
      <c r="A2681" s="1" t="s">
        <v>504</v>
      </c>
      <c r="B2681" s="1" t="s">
        <v>38</v>
      </c>
      <c r="C2681" s="1" t="s">
        <v>584</v>
      </c>
      <c r="D2681" s="1" t="s">
        <v>899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5">
      <c r="A2682" s="1" t="s">
        <v>504</v>
      </c>
      <c r="B2682" s="1" t="s">
        <v>39</v>
      </c>
      <c r="C2682" s="1" t="s">
        <v>585</v>
      </c>
      <c r="D2682" s="1" t="s">
        <v>233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 t="s">
        <v>504</v>
      </c>
      <c r="B2683" s="1" t="s">
        <v>567</v>
      </c>
      <c r="C2683" s="1" t="s">
        <v>586</v>
      </c>
      <c r="D2683" s="1" t="s">
        <v>637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5">
      <c r="A2684" s="1" t="s">
        <v>504</v>
      </c>
      <c r="B2684" s="1" t="s">
        <v>40</v>
      </c>
      <c r="C2684" s="1" t="s">
        <v>588</v>
      </c>
      <c r="D2684" s="1" t="s">
        <v>900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 t="s">
        <v>504</v>
      </c>
      <c r="B2685" s="1" t="s">
        <v>569</v>
      </c>
      <c r="C2685" s="1" t="s">
        <v>589</v>
      </c>
      <c r="D2685" s="1" t="s">
        <v>78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5">
      <c r="A2686" s="1" t="s">
        <v>504</v>
      </c>
      <c r="B2686" s="1" t="s">
        <v>570</v>
      </c>
      <c r="C2686" s="1" t="s">
        <v>590</v>
      </c>
      <c r="D2686" s="1" t="s">
        <v>232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5">
      <c r="A2687" s="1" t="s">
        <v>504</v>
      </c>
      <c r="B2687" s="1" t="s">
        <v>571</v>
      </c>
      <c r="C2687" s="1" t="s">
        <v>591</v>
      </c>
      <c r="D2687" s="1" t="s">
        <v>275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 t="s">
        <v>505</v>
      </c>
      <c r="B2688" s="1" t="s">
        <v>33</v>
      </c>
      <c r="C2688" s="1" t="s">
        <v>579</v>
      </c>
      <c r="D2688" s="1" t="s">
        <v>615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5">
      <c r="A2689" s="1" t="s">
        <v>505</v>
      </c>
      <c r="B2689" s="1" t="s">
        <v>34</v>
      </c>
      <c r="C2689" s="1" t="s">
        <v>580</v>
      </c>
      <c r="D2689" s="1" t="s">
        <v>616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5">
      <c r="A2690" s="1" t="s">
        <v>505</v>
      </c>
      <c r="B2690" s="1" t="s">
        <v>35</v>
      </c>
      <c r="C2690" s="1" t="s">
        <v>581</v>
      </c>
      <c r="D2690" s="1" t="s">
        <v>617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5">
      <c r="A2691" s="1" t="s">
        <v>505</v>
      </c>
      <c r="B2691" s="1" t="s">
        <v>36</v>
      </c>
      <c r="C2691" s="1" t="s">
        <v>582</v>
      </c>
      <c r="D2691" s="1" t="s">
        <v>232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5">
      <c r="A2692" s="1" t="s">
        <v>505</v>
      </c>
      <c r="B2692" s="1" t="s">
        <v>37</v>
      </c>
      <c r="C2692" s="1" t="s">
        <v>583</v>
      </c>
      <c r="D2692" s="1" t="s">
        <v>232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5">
      <c r="A2693" s="1" t="s">
        <v>505</v>
      </c>
      <c r="B2693" s="1" t="s">
        <v>38</v>
      </c>
      <c r="C2693" s="1" t="s">
        <v>584</v>
      </c>
      <c r="D2693" s="1" t="s">
        <v>607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5">
      <c r="A2694" s="1" t="s">
        <v>505</v>
      </c>
      <c r="B2694" s="1" t="s">
        <v>39</v>
      </c>
      <c r="C2694" s="1" t="s">
        <v>585</v>
      </c>
      <c r="D2694" s="1" t="s">
        <v>245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 t="s">
        <v>505</v>
      </c>
      <c r="B2695" s="1" t="s">
        <v>567</v>
      </c>
      <c r="C2695" s="1" t="s">
        <v>586</v>
      </c>
      <c r="D2695" s="1" t="s">
        <v>141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5">
      <c r="A2696" s="1" t="s">
        <v>505</v>
      </c>
      <c r="B2696" s="1" t="s">
        <v>40</v>
      </c>
      <c r="C2696" s="1" t="s">
        <v>588</v>
      </c>
      <c r="D2696" s="1" t="s">
        <v>609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5">
      <c r="A2697" s="1" t="s">
        <v>505</v>
      </c>
      <c r="B2697" s="1" t="s">
        <v>569</v>
      </c>
      <c r="C2697" s="1" t="s">
        <v>589</v>
      </c>
      <c r="D2697" s="1" t="s">
        <v>78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5">
      <c r="A2698" s="1" t="s">
        <v>505</v>
      </c>
      <c r="B2698" s="1" t="s">
        <v>571</v>
      </c>
      <c r="C2698" s="1" t="s">
        <v>591</v>
      </c>
      <c r="D2698" s="1" t="s">
        <v>95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5">
      <c r="A2699" s="1" t="s">
        <v>506</v>
      </c>
      <c r="B2699" s="1" t="s">
        <v>33</v>
      </c>
      <c r="C2699" s="1" t="s">
        <v>579</v>
      </c>
      <c r="D2699" s="1" t="s">
        <v>141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506</v>
      </c>
      <c r="B2700" s="1" t="s">
        <v>34</v>
      </c>
      <c r="C2700" s="1" t="s">
        <v>580</v>
      </c>
      <c r="D2700" s="1" t="s">
        <v>607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5">
      <c r="A2701" s="1" t="s">
        <v>506</v>
      </c>
      <c r="B2701" s="1" t="s">
        <v>35</v>
      </c>
      <c r="C2701" s="1" t="s">
        <v>581</v>
      </c>
      <c r="D2701" s="1" t="s">
        <v>608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5">
      <c r="A2702" s="1" t="s">
        <v>506</v>
      </c>
      <c r="B2702" s="1" t="s">
        <v>36</v>
      </c>
      <c r="C2702" s="1" t="s">
        <v>582</v>
      </c>
      <c r="D2702" s="1" t="s">
        <v>232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506</v>
      </c>
      <c r="B2703" s="1" t="s">
        <v>37</v>
      </c>
      <c r="C2703" s="1" t="s">
        <v>583</v>
      </c>
      <c r="D2703" s="1" t="s">
        <v>232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5">
      <c r="A2704" s="1" t="s">
        <v>506</v>
      </c>
      <c r="B2704" s="1" t="s">
        <v>38</v>
      </c>
      <c r="C2704" s="1" t="s">
        <v>584</v>
      </c>
      <c r="D2704" s="1" t="s">
        <v>607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506</v>
      </c>
      <c r="B2705" s="1" t="s">
        <v>39</v>
      </c>
      <c r="C2705" s="1" t="s">
        <v>585</v>
      </c>
      <c r="D2705" s="1" t="s">
        <v>145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5">
      <c r="A2706" s="1" t="s">
        <v>506</v>
      </c>
      <c r="B2706" s="1" t="s">
        <v>567</v>
      </c>
      <c r="C2706" s="1" t="s">
        <v>586</v>
      </c>
      <c r="D2706" s="1" t="s">
        <v>141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5">
      <c r="A2707" s="1" t="s">
        <v>506</v>
      </c>
      <c r="B2707" s="1" t="s">
        <v>40</v>
      </c>
      <c r="C2707" s="1" t="s">
        <v>588</v>
      </c>
      <c r="D2707" s="1" t="s">
        <v>662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506</v>
      </c>
      <c r="B2708" s="1" t="s">
        <v>569</v>
      </c>
      <c r="C2708" s="1" t="s">
        <v>589</v>
      </c>
      <c r="D2708" s="1" t="s">
        <v>78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5">
      <c r="A2709" s="1" t="s">
        <v>506</v>
      </c>
      <c r="B2709" s="1" t="s">
        <v>571</v>
      </c>
      <c r="C2709" s="1" t="s">
        <v>591</v>
      </c>
      <c r="D2709" s="1" t="s">
        <v>95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5">
      <c r="A2710" s="1" t="s">
        <v>529</v>
      </c>
      <c r="B2710" s="1" t="s">
        <v>174</v>
      </c>
      <c r="C2710" s="1" t="s">
        <v>574</v>
      </c>
      <c r="D2710" s="1" t="s">
        <v>78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5">
      <c r="A2711" s="1" t="s">
        <v>529</v>
      </c>
      <c r="B2711" s="1" t="s">
        <v>563</v>
      </c>
      <c r="C2711" s="1" t="s">
        <v>575</v>
      </c>
      <c r="D2711" s="1" t="s">
        <v>78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5">
      <c r="A2712" s="1" t="s">
        <v>529</v>
      </c>
      <c r="B2712" s="1" t="s">
        <v>564</v>
      </c>
      <c r="C2712" s="1" t="s">
        <v>576</v>
      </c>
      <c r="D2712" s="1" t="s">
        <v>141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5">
      <c r="A2713" s="1" t="s">
        <v>529</v>
      </c>
      <c r="B2713" s="1" t="s">
        <v>565</v>
      </c>
      <c r="C2713" s="1" t="s">
        <v>577</v>
      </c>
      <c r="D2713" s="1" t="s">
        <v>95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5">
      <c r="A2714" s="1" t="s">
        <v>529</v>
      </c>
      <c r="B2714" s="1" t="s">
        <v>566</v>
      </c>
      <c r="C2714" s="1" t="s">
        <v>578</v>
      </c>
      <c r="D2714" s="1" t="s">
        <v>95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529</v>
      </c>
      <c r="B2715" s="1" t="s">
        <v>33</v>
      </c>
      <c r="C2715" s="1" t="s">
        <v>579</v>
      </c>
      <c r="D2715" s="1" t="s">
        <v>618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5">
      <c r="A2716" s="1" t="s">
        <v>529</v>
      </c>
      <c r="B2716" s="1" t="s">
        <v>34</v>
      </c>
      <c r="C2716" s="1" t="s">
        <v>580</v>
      </c>
      <c r="D2716" s="1" t="s">
        <v>901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5">
      <c r="A2717" s="1" t="s">
        <v>529</v>
      </c>
      <c r="B2717" s="1" t="s">
        <v>35</v>
      </c>
      <c r="C2717" s="1" t="s">
        <v>581</v>
      </c>
      <c r="D2717" s="1" t="s">
        <v>902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5">
      <c r="A2718" s="1" t="s">
        <v>529</v>
      </c>
      <c r="B2718" s="1" t="s">
        <v>36</v>
      </c>
      <c r="C2718" s="1" t="s">
        <v>582</v>
      </c>
      <c r="D2718" s="1" t="s">
        <v>287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5">
      <c r="A2719" s="1" t="s">
        <v>529</v>
      </c>
      <c r="B2719" s="1" t="s">
        <v>37</v>
      </c>
      <c r="C2719" s="1" t="s">
        <v>583</v>
      </c>
      <c r="D2719" s="1" t="s">
        <v>233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 t="s">
        <v>529</v>
      </c>
      <c r="B2720" s="1" t="s">
        <v>38</v>
      </c>
      <c r="C2720" s="1" t="s">
        <v>584</v>
      </c>
      <c r="D2720" s="1" t="s">
        <v>903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5">
      <c r="A2721" s="1" t="s">
        <v>529</v>
      </c>
      <c r="B2721" s="1" t="s">
        <v>39</v>
      </c>
      <c r="C2721" s="1" t="s">
        <v>585</v>
      </c>
      <c r="D2721" s="1" t="s">
        <v>145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5">
      <c r="A2722" s="1" t="s">
        <v>529</v>
      </c>
      <c r="B2722" s="1" t="s">
        <v>567</v>
      </c>
      <c r="C2722" s="1" t="s">
        <v>586</v>
      </c>
      <c r="D2722" s="1" t="s">
        <v>92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 t="s">
        <v>529</v>
      </c>
      <c r="B2723" s="1" t="s">
        <v>568</v>
      </c>
      <c r="C2723" s="1" t="s">
        <v>587</v>
      </c>
      <c r="D2723" s="1" t="s">
        <v>78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5">
      <c r="A2724" s="1" t="s">
        <v>529</v>
      </c>
      <c r="B2724" s="1" t="s">
        <v>40</v>
      </c>
      <c r="C2724" s="1" t="s">
        <v>588</v>
      </c>
      <c r="D2724" s="1" t="s">
        <v>904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 t="s">
        <v>529</v>
      </c>
      <c r="B2725" s="1" t="s">
        <v>569</v>
      </c>
      <c r="C2725" s="1" t="s">
        <v>589</v>
      </c>
      <c r="D2725" s="1" t="s">
        <v>78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5">
      <c r="A2726" s="1" t="s">
        <v>529</v>
      </c>
      <c r="B2726" s="1" t="s">
        <v>570</v>
      </c>
      <c r="C2726" s="1" t="s">
        <v>590</v>
      </c>
      <c r="D2726" s="1" t="s">
        <v>95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5">
      <c r="A2727" s="1" t="s">
        <v>529</v>
      </c>
      <c r="B2727" s="1" t="s">
        <v>571</v>
      </c>
      <c r="C2727" s="1" t="s">
        <v>591</v>
      </c>
      <c r="D2727" s="1" t="s">
        <v>275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529</v>
      </c>
      <c r="B2728" s="1" t="s">
        <v>572</v>
      </c>
      <c r="C2728" s="1" t="s">
        <v>592</v>
      </c>
      <c r="D2728" s="1" t="s">
        <v>78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529</v>
      </c>
      <c r="B2729" s="1" t="s">
        <v>573</v>
      </c>
      <c r="C2729" s="1" t="s">
        <v>593</v>
      </c>
      <c r="D2729" s="1" t="s">
        <v>78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507</v>
      </c>
      <c r="B2730" s="1" t="s">
        <v>33</v>
      </c>
      <c r="C2730" s="1" t="s">
        <v>579</v>
      </c>
      <c r="D2730" s="1" t="s">
        <v>141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5">
      <c r="A2731" s="1" t="s">
        <v>507</v>
      </c>
      <c r="B2731" s="1" t="s">
        <v>34</v>
      </c>
      <c r="C2731" s="1" t="s">
        <v>580</v>
      </c>
      <c r="D2731" s="1" t="s">
        <v>607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5">
      <c r="A2732" s="1" t="s">
        <v>507</v>
      </c>
      <c r="B2732" s="1" t="s">
        <v>35</v>
      </c>
      <c r="C2732" s="1" t="s">
        <v>581</v>
      </c>
      <c r="D2732" s="1" t="s">
        <v>608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507</v>
      </c>
      <c r="B2733" s="1" t="s">
        <v>36</v>
      </c>
      <c r="C2733" s="1" t="s">
        <v>582</v>
      </c>
      <c r="D2733" s="1" t="s">
        <v>232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507</v>
      </c>
      <c r="B2734" s="1" t="s">
        <v>37</v>
      </c>
      <c r="C2734" s="1" t="s">
        <v>583</v>
      </c>
      <c r="D2734" s="1" t="s">
        <v>232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507</v>
      </c>
      <c r="B2735" s="1" t="s">
        <v>38</v>
      </c>
      <c r="C2735" s="1" t="s">
        <v>584</v>
      </c>
      <c r="D2735" s="1" t="s">
        <v>607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507</v>
      </c>
      <c r="B2736" s="1" t="s">
        <v>39</v>
      </c>
      <c r="C2736" s="1" t="s">
        <v>585</v>
      </c>
      <c r="D2736" s="1" t="s">
        <v>145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507</v>
      </c>
      <c r="B2737" s="1" t="s">
        <v>567</v>
      </c>
      <c r="C2737" s="1" t="s">
        <v>586</v>
      </c>
      <c r="D2737" s="1" t="s">
        <v>141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507</v>
      </c>
      <c r="B2738" s="1" t="s">
        <v>40</v>
      </c>
      <c r="C2738" s="1" t="s">
        <v>588</v>
      </c>
      <c r="D2738" s="1" t="s">
        <v>662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5">
      <c r="A2739" s="1" t="s">
        <v>507</v>
      </c>
      <c r="B2739" s="1" t="s">
        <v>569</v>
      </c>
      <c r="C2739" s="1" t="s">
        <v>589</v>
      </c>
      <c r="D2739" s="1" t="s">
        <v>78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 t="s">
        <v>507</v>
      </c>
      <c r="B2740" s="1" t="s">
        <v>571</v>
      </c>
      <c r="C2740" s="1" t="s">
        <v>591</v>
      </c>
      <c r="D2740" s="1" t="s">
        <v>95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5">
      <c r="A2741" s="1" t="s">
        <v>435</v>
      </c>
      <c r="B2741" s="1" t="s">
        <v>33</v>
      </c>
      <c r="C2741" s="1" t="s">
        <v>579</v>
      </c>
      <c r="D2741" s="1" t="s">
        <v>722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5">
      <c r="A2742" s="1" t="s">
        <v>435</v>
      </c>
      <c r="B2742" s="1" t="s">
        <v>34</v>
      </c>
      <c r="C2742" s="1" t="s">
        <v>580</v>
      </c>
      <c r="D2742" s="1" t="s">
        <v>905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 t="s">
        <v>435</v>
      </c>
      <c r="B2743" s="1" t="s">
        <v>35</v>
      </c>
      <c r="C2743" s="1" t="s">
        <v>581</v>
      </c>
      <c r="D2743" s="1" t="s">
        <v>906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5">
      <c r="A2744" s="1" t="s">
        <v>435</v>
      </c>
      <c r="B2744" s="1" t="s">
        <v>36</v>
      </c>
      <c r="C2744" s="1" t="s">
        <v>582</v>
      </c>
      <c r="D2744" s="1" t="s">
        <v>233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 t="s">
        <v>435</v>
      </c>
      <c r="B2745" s="1" t="s">
        <v>37</v>
      </c>
      <c r="C2745" s="1" t="s">
        <v>583</v>
      </c>
      <c r="D2745" s="1" t="s">
        <v>245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5">
      <c r="A2746" s="1" t="s">
        <v>435</v>
      </c>
      <c r="B2746" s="1" t="s">
        <v>38</v>
      </c>
      <c r="C2746" s="1" t="s">
        <v>584</v>
      </c>
      <c r="D2746" s="1" t="s">
        <v>907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5">
      <c r="A2747" s="1" t="s">
        <v>435</v>
      </c>
      <c r="B2747" s="1" t="s">
        <v>39</v>
      </c>
      <c r="C2747" s="1" t="s">
        <v>585</v>
      </c>
      <c r="D2747" s="1" t="s">
        <v>230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 t="s">
        <v>435</v>
      </c>
      <c r="B2748" s="1" t="s">
        <v>40</v>
      </c>
      <c r="C2748" s="1" t="s">
        <v>588</v>
      </c>
      <c r="D2748" s="1" t="s">
        <v>908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1" t="s">
        <v>435</v>
      </c>
      <c r="B2749" s="1" t="s">
        <v>571</v>
      </c>
      <c r="C2749" s="1" t="s">
        <v>591</v>
      </c>
      <c r="D2749" s="1" t="s">
        <v>223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5">
      <c r="A2750" s="1" t="s">
        <v>530</v>
      </c>
      <c r="B2750" s="1" t="s">
        <v>174</v>
      </c>
      <c r="C2750" s="1" t="s">
        <v>574</v>
      </c>
      <c r="D2750" s="1" t="s">
        <v>95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5">
      <c r="A2751" s="1" t="s">
        <v>530</v>
      </c>
      <c r="B2751" s="1" t="s">
        <v>563</v>
      </c>
      <c r="C2751" s="1" t="s">
        <v>575</v>
      </c>
      <c r="D2751" s="1" t="s">
        <v>78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5">
      <c r="A2752" s="1" t="s">
        <v>530</v>
      </c>
      <c r="B2752" s="1" t="s">
        <v>564</v>
      </c>
      <c r="C2752" s="1" t="s">
        <v>576</v>
      </c>
      <c r="D2752" s="1" t="s">
        <v>909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5">
      <c r="A2753" s="1" t="s">
        <v>530</v>
      </c>
      <c r="B2753" s="1" t="s">
        <v>565</v>
      </c>
      <c r="C2753" s="1" t="s">
        <v>577</v>
      </c>
      <c r="D2753" s="1" t="s">
        <v>230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5">
      <c r="A2754" s="1" t="s">
        <v>530</v>
      </c>
      <c r="B2754" s="1" t="s">
        <v>566</v>
      </c>
      <c r="C2754" s="1" t="s">
        <v>578</v>
      </c>
      <c r="D2754" s="1" t="s">
        <v>275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5">
      <c r="A2755" s="1" t="s">
        <v>530</v>
      </c>
      <c r="B2755" s="1" t="s">
        <v>33</v>
      </c>
      <c r="C2755" s="1" t="s">
        <v>579</v>
      </c>
      <c r="D2755" s="1" t="s">
        <v>910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5">
      <c r="A2756" s="1" t="s">
        <v>530</v>
      </c>
      <c r="B2756" s="1" t="s">
        <v>34</v>
      </c>
      <c r="C2756" s="1" t="s">
        <v>580</v>
      </c>
      <c r="D2756" s="1" t="s">
        <v>911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1" t="s">
        <v>530</v>
      </c>
      <c r="B2757" s="1" t="s">
        <v>35</v>
      </c>
      <c r="C2757" s="1" t="s">
        <v>581</v>
      </c>
      <c r="D2757" s="1" t="s">
        <v>912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5">
      <c r="A2758" s="1" t="s">
        <v>530</v>
      </c>
      <c r="B2758" s="1" t="s">
        <v>36</v>
      </c>
      <c r="C2758" s="1" t="s">
        <v>582</v>
      </c>
      <c r="D2758" s="1" t="s">
        <v>295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5">
      <c r="A2759" s="1" t="s">
        <v>530</v>
      </c>
      <c r="B2759" s="1" t="s">
        <v>37</v>
      </c>
      <c r="C2759" s="1" t="s">
        <v>583</v>
      </c>
      <c r="D2759" s="1" t="s">
        <v>733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530</v>
      </c>
      <c r="B2760" s="1" t="s">
        <v>38</v>
      </c>
      <c r="C2760" s="1" t="s">
        <v>584</v>
      </c>
      <c r="D2760" s="1" t="s">
        <v>913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5">
      <c r="A2761" s="1" t="s">
        <v>530</v>
      </c>
      <c r="B2761" s="1" t="s">
        <v>39</v>
      </c>
      <c r="C2761" s="1" t="s">
        <v>585</v>
      </c>
      <c r="D2761" s="1" t="s">
        <v>228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5">
      <c r="A2762" s="1" t="s">
        <v>530</v>
      </c>
      <c r="B2762" s="1" t="s">
        <v>567</v>
      </c>
      <c r="C2762" s="1" t="s">
        <v>586</v>
      </c>
      <c r="D2762" s="1" t="s">
        <v>92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530</v>
      </c>
      <c r="B2763" s="1" t="s">
        <v>568</v>
      </c>
      <c r="C2763" s="1" t="s">
        <v>587</v>
      </c>
      <c r="D2763" s="1" t="s">
        <v>95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530</v>
      </c>
      <c r="B2764" s="1" t="s">
        <v>40</v>
      </c>
      <c r="C2764" s="1" t="s">
        <v>588</v>
      </c>
      <c r="D2764" s="1" t="s">
        <v>914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530</v>
      </c>
      <c r="B2765" s="1" t="s">
        <v>569</v>
      </c>
      <c r="C2765" s="1" t="s">
        <v>589</v>
      </c>
      <c r="D2765" s="1" t="s">
        <v>275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5">
      <c r="A2766" s="1" t="s">
        <v>530</v>
      </c>
      <c r="B2766" s="1" t="s">
        <v>570</v>
      </c>
      <c r="C2766" s="1" t="s">
        <v>590</v>
      </c>
      <c r="D2766" s="1" t="s">
        <v>223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5">
      <c r="A2767" s="1" t="s">
        <v>530</v>
      </c>
      <c r="B2767" s="1" t="s">
        <v>571</v>
      </c>
      <c r="C2767" s="1" t="s">
        <v>591</v>
      </c>
      <c r="D2767" s="1" t="s">
        <v>245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 t="s">
        <v>530</v>
      </c>
      <c r="B2768" s="1" t="s">
        <v>572</v>
      </c>
      <c r="C2768" s="1" t="s">
        <v>592</v>
      </c>
      <c r="D2768" s="1" t="s">
        <v>95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5">
      <c r="A2769" s="1" t="s">
        <v>530</v>
      </c>
      <c r="B2769" s="1" t="s">
        <v>573</v>
      </c>
      <c r="C2769" s="1" t="s">
        <v>593</v>
      </c>
      <c r="D2769" s="1" t="s">
        <v>223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5">
      <c r="A2770" s="1" t="s">
        <v>531</v>
      </c>
      <c r="B2770" s="1" t="s">
        <v>174</v>
      </c>
      <c r="C2770" s="1" t="s">
        <v>574</v>
      </c>
      <c r="D2770" s="1" t="s">
        <v>78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5">
      <c r="A2771" s="1" t="s">
        <v>531</v>
      </c>
      <c r="B2771" s="1" t="s">
        <v>563</v>
      </c>
      <c r="C2771" s="1" t="s">
        <v>575</v>
      </c>
      <c r="D2771" s="1" t="s">
        <v>78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5">
      <c r="A2772" s="1" t="s">
        <v>531</v>
      </c>
      <c r="B2772" s="1" t="s">
        <v>564</v>
      </c>
      <c r="C2772" s="1" t="s">
        <v>576</v>
      </c>
      <c r="D2772" s="1" t="s">
        <v>141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5">
      <c r="A2773" s="1" t="s">
        <v>531</v>
      </c>
      <c r="B2773" s="1" t="s">
        <v>565</v>
      </c>
      <c r="C2773" s="1" t="s">
        <v>577</v>
      </c>
      <c r="D2773" s="1" t="s">
        <v>95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5">
      <c r="A2774" s="1" t="s">
        <v>531</v>
      </c>
      <c r="B2774" s="1" t="s">
        <v>566</v>
      </c>
      <c r="C2774" s="1" t="s">
        <v>578</v>
      </c>
      <c r="D2774" s="1" t="s">
        <v>78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1" t="s">
        <v>531</v>
      </c>
      <c r="B2775" s="1" t="s">
        <v>33</v>
      </c>
      <c r="C2775" s="1" t="s">
        <v>579</v>
      </c>
      <c r="D2775" s="1" t="s">
        <v>663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5">
      <c r="A2776" s="1" t="s">
        <v>531</v>
      </c>
      <c r="B2776" s="1" t="s">
        <v>34</v>
      </c>
      <c r="C2776" s="1" t="s">
        <v>580</v>
      </c>
      <c r="D2776" s="1" t="s">
        <v>915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5">
      <c r="A2777" s="1" t="s">
        <v>531</v>
      </c>
      <c r="B2777" s="1" t="s">
        <v>35</v>
      </c>
      <c r="C2777" s="1" t="s">
        <v>581</v>
      </c>
      <c r="D2777" s="1" t="s">
        <v>916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5">
      <c r="A2778" s="1" t="s">
        <v>531</v>
      </c>
      <c r="B2778" s="1" t="s">
        <v>36</v>
      </c>
      <c r="C2778" s="1" t="s">
        <v>582</v>
      </c>
      <c r="D2778" s="1" t="s">
        <v>240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 t="s">
        <v>531</v>
      </c>
      <c r="B2779" s="1" t="s">
        <v>37</v>
      </c>
      <c r="C2779" s="1" t="s">
        <v>583</v>
      </c>
      <c r="D2779" s="1" t="s">
        <v>227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 t="s">
        <v>531</v>
      </c>
      <c r="B2780" s="1" t="s">
        <v>38</v>
      </c>
      <c r="C2780" s="1" t="s">
        <v>584</v>
      </c>
      <c r="D2780" s="1" t="s">
        <v>917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5">
      <c r="A2781" s="1" t="s">
        <v>531</v>
      </c>
      <c r="B2781" s="1" t="s">
        <v>39</v>
      </c>
      <c r="C2781" s="1" t="s">
        <v>585</v>
      </c>
      <c r="D2781" s="1" t="s">
        <v>374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5">
      <c r="A2782" s="1" t="s">
        <v>531</v>
      </c>
      <c r="B2782" s="1" t="s">
        <v>567</v>
      </c>
      <c r="C2782" s="1" t="s">
        <v>586</v>
      </c>
      <c r="D2782" s="1" t="s">
        <v>141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 t="s">
        <v>531</v>
      </c>
      <c r="B2783" s="1" t="s">
        <v>568</v>
      </c>
      <c r="C2783" s="1" t="s">
        <v>587</v>
      </c>
      <c r="D2783" s="1" t="s">
        <v>78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5">
      <c r="A2784" s="1" t="s">
        <v>531</v>
      </c>
      <c r="B2784" s="1" t="s">
        <v>40</v>
      </c>
      <c r="C2784" s="1" t="s">
        <v>588</v>
      </c>
      <c r="D2784" s="1" t="s">
        <v>918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 t="s">
        <v>531</v>
      </c>
      <c r="B2785" s="1" t="s">
        <v>569</v>
      </c>
      <c r="C2785" s="1" t="s">
        <v>589</v>
      </c>
      <c r="D2785" s="1" t="s">
        <v>78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5">
      <c r="A2786" s="1" t="s">
        <v>531</v>
      </c>
      <c r="B2786" s="1" t="s">
        <v>570</v>
      </c>
      <c r="C2786" s="1" t="s">
        <v>590</v>
      </c>
      <c r="D2786" s="1" t="s">
        <v>95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5">
      <c r="A2787" s="1" t="s">
        <v>531</v>
      </c>
      <c r="B2787" s="1" t="s">
        <v>571</v>
      </c>
      <c r="C2787" s="1" t="s">
        <v>591</v>
      </c>
      <c r="D2787" s="1" t="s">
        <v>245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 t="s">
        <v>531</v>
      </c>
      <c r="B2788" s="1" t="s">
        <v>572</v>
      </c>
      <c r="C2788" s="1" t="s">
        <v>592</v>
      </c>
      <c r="D2788" s="1" t="s">
        <v>78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5">
      <c r="A2789" s="1" t="s">
        <v>531</v>
      </c>
      <c r="B2789" s="1" t="s">
        <v>573</v>
      </c>
      <c r="C2789" s="1" t="s">
        <v>593</v>
      </c>
      <c r="D2789" s="1" t="s">
        <v>232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5">
      <c r="A2790" s="1" t="s">
        <v>532</v>
      </c>
      <c r="B2790" s="1" t="s">
        <v>174</v>
      </c>
      <c r="C2790" s="1" t="s">
        <v>574</v>
      </c>
      <c r="D2790" s="1" t="s">
        <v>95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5">
      <c r="A2791" s="1" t="s">
        <v>532</v>
      </c>
      <c r="B2791" s="1" t="s">
        <v>563</v>
      </c>
      <c r="C2791" s="1" t="s">
        <v>575</v>
      </c>
      <c r="D2791" s="1" t="s">
        <v>78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5">
      <c r="A2792" s="1" t="s">
        <v>532</v>
      </c>
      <c r="B2792" s="1" t="s">
        <v>564</v>
      </c>
      <c r="C2792" s="1" t="s">
        <v>576</v>
      </c>
      <c r="D2792" s="1" t="s">
        <v>92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5">
      <c r="A2793" s="1" t="s">
        <v>532</v>
      </c>
      <c r="B2793" s="1" t="s">
        <v>565</v>
      </c>
      <c r="C2793" s="1" t="s">
        <v>577</v>
      </c>
      <c r="D2793" s="1" t="s">
        <v>78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5">
      <c r="A2794" s="1" t="s">
        <v>532</v>
      </c>
      <c r="B2794" s="1" t="s">
        <v>566</v>
      </c>
      <c r="C2794" s="1" t="s">
        <v>578</v>
      </c>
      <c r="D2794" s="1" t="s">
        <v>78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5">
      <c r="A2795" s="1" t="s">
        <v>532</v>
      </c>
      <c r="B2795" s="1" t="s">
        <v>33</v>
      </c>
      <c r="C2795" s="1" t="s">
        <v>579</v>
      </c>
      <c r="D2795" s="1" t="s">
        <v>919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5">
      <c r="A2796" s="1" t="s">
        <v>532</v>
      </c>
      <c r="B2796" s="1" t="s">
        <v>34</v>
      </c>
      <c r="C2796" s="1" t="s">
        <v>580</v>
      </c>
      <c r="D2796" s="1" t="s">
        <v>920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5">
      <c r="A2797" s="1" t="s">
        <v>532</v>
      </c>
      <c r="B2797" s="1" t="s">
        <v>35</v>
      </c>
      <c r="C2797" s="1" t="s">
        <v>581</v>
      </c>
      <c r="D2797" s="1" t="s">
        <v>921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5">
      <c r="A2798" s="1" t="s">
        <v>532</v>
      </c>
      <c r="B2798" s="1" t="s">
        <v>36</v>
      </c>
      <c r="C2798" s="1" t="s">
        <v>582</v>
      </c>
      <c r="D2798" s="1" t="s">
        <v>234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532</v>
      </c>
      <c r="B2799" s="1" t="s">
        <v>37</v>
      </c>
      <c r="C2799" s="1" t="s">
        <v>583</v>
      </c>
      <c r="D2799" s="1" t="s">
        <v>374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532</v>
      </c>
      <c r="B2800" s="1" t="s">
        <v>38</v>
      </c>
      <c r="C2800" s="1" t="s">
        <v>584</v>
      </c>
      <c r="D2800" s="1" t="s">
        <v>922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532</v>
      </c>
      <c r="B2801" s="1" t="s">
        <v>39</v>
      </c>
      <c r="C2801" s="1" t="s">
        <v>585</v>
      </c>
      <c r="D2801" s="1" t="s">
        <v>425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532</v>
      </c>
      <c r="B2802" s="1" t="s">
        <v>567</v>
      </c>
      <c r="C2802" s="1" t="s">
        <v>586</v>
      </c>
      <c r="D2802" s="1" t="s">
        <v>141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532</v>
      </c>
      <c r="B2803" s="1" t="s">
        <v>568</v>
      </c>
      <c r="C2803" s="1" t="s">
        <v>587</v>
      </c>
      <c r="D2803" s="1" t="s">
        <v>78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5">
      <c r="A2804" s="1" t="s">
        <v>532</v>
      </c>
      <c r="B2804" s="1" t="s">
        <v>40</v>
      </c>
      <c r="C2804" s="1" t="s">
        <v>588</v>
      </c>
      <c r="D2804" s="1" t="s">
        <v>923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532</v>
      </c>
      <c r="B2805" s="1" t="s">
        <v>569</v>
      </c>
      <c r="C2805" s="1" t="s">
        <v>589</v>
      </c>
      <c r="D2805" s="1" t="s">
        <v>95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532</v>
      </c>
      <c r="B2806" s="1" t="s">
        <v>570</v>
      </c>
      <c r="C2806" s="1" t="s">
        <v>590</v>
      </c>
      <c r="D2806" s="1" t="s">
        <v>145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532</v>
      </c>
      <c r="B2807" s="1" t="s">
        <v>571</v>
      </c>
      <c r="C2807" s="1" t="s">
        <v>591</v>
      </c>
      <c r="D2807" s="1" t="s">
        <v>245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532</v>
      </c>
      <c r="B2808" s="1" t="s">
        <v>572</v>
      </c>
      <c r="C2808" s="1" t="s">
        <v>592</v>
      </c>
      <c r="D2808" s="1" t="s">
        <v>78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532</v>
      </c>
      <c r="B2809" s="1" t="s">
        <v>573</v>
      </c>
      <c r="C2809" s="1" t="s">
        <v>593</v>
      </c>
      <c r="D2809" s="1" t="s">
        <v>275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508</v>
      </c>
      <c r="B2810" s="1" t="s">
        <v>174</v>
      </c>
      <c r="C2810" s="1" t="s">
        <v>574</v>
      </c>
      <c r="D2810" s="1" t="s">
        <v>232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5">
      <c r="A2811" s="1" t="s">
        <v>508</v>
      </c>
      <c r="B2811" s="1" t="s">
        <v>563</v>
      </c>
      <c r="C2811" s="1" t="s">
        <v>575</v>
      </c>
      <c r="D2811" s="1" t="s">
        <v>95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1" t="s">
        <v>508</v>
      </c>
      <c r="B2812" s="1" t="s">
        <v>564</v>
      </c>
      <c r="C2812" s="1" t="s">
        <v>576</v>
      </c>
      <c r="D2812" s="1" t="s">
        <v>600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508</v>
      </c>
      <c r="B2813" s="1" t="s">
        <v>565</v>
      </c>
      <c r="C2813" s="1" t="s">
        <v>577</v>
      </c>
      <c r="D2813" s="1" t="s">
        <v>275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5">
      <c r="A2814" s="1" t="s">
        <v>508</v>
      </c>
      <c r="B2814" s="1" t="s">
        <v>33</v>
      </c>
      <c r="C2814" s="1" t="s">
        <v>579</v>
      </c>
      <c r="D2814" s="1" t="s">
        <v>924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5">
      <c r="A2815" s="1" t="s">
        <v>508</v>
      </c>
      <c r="B2815" s="1" t="s">
        <v>34</v>
      </c>
      <c r="C2815" s="1" t="s">
        <v>580</v>
      </c>
      <c r="D2815" s="1" t="s">
        <v>925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5">
      <c r="A2816" s="1" t="s">
        <v>508</v>
      </c>
      <c r="B2816" s="1" t="s">
        <v>35</v>
      </c>
      <c r="C2816" s="1" t="s">
        <v>581</v>
      </c>
      <c r="D2816" s="1" t="s">
        <v>926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5">
      <c r="A2817" s="1" t="s">
        <v>508</v>
      </c>
      <c r="B2817" s="1" t="s">
        <v>36</v>
      </c>
      <c r="C2817" s="1" t="s">
        <v>582</v>
      </c>
      <c r="D2817" s="1" t="s">
        <v>289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5">
      <c r="A2818" s="1" t="s">
        <v>508</v>
      </c>
      <c r="B2818" s="1" t="s">
        <v>37</v>
      </c>
      <c r="C2818" s="1" t="s">
        <v>583</v>
      </c>
      <c r="D2818" s="1" t="s">
        <v>417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 t="s">
        <v>508</v>
      </c>
      <c r="B2819" s="1" t="s">
        <v>38</v>
      </c>
      <c r="C2819" s="1" t="s">
        <v>584</v>
      </c>
      <c r="D2819" s="1" t="s">
        <v>927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 t="s">
        <v>508</v>
      </c>
      <c r="B2820" s="1" t="s">
        <v>39</v>
      </c>
      <c r="C2820" s="1" t="s">
        <v>585</v>
      </c>
      <c r="D2820" s="1" t="s">
        <v>374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5">
      <c r="A2821" s="1" t="s">
        <v>508</v>
      </c>
      <c r="B2821" s="1" t="s">
        <v>567</v>
      </c>
      <c r="C2821" s="1" t="s">
        <v>586</v>
      </c>
      <c r="D2821" s="1" t="s">
        <v>141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5">
      <c r="A2822" s="1" t="s">
        <v>508</v>
      </c>
      <c r="B2822" s="1" t="s">
        <v>568</v>
      </c>
      <c r="C2822" s="1" t="s">
        <v>587</v>
      </c>
      <c r="D2822" s="1" t="s">
        <v>223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 t="s">
        <v>508</v>
      </c>
      <c r="B2823" s="1" t="s">
        <v>40</v>
      </c>
      <c r="C2823" s="1" t="s">
        <v>588</v>
      </c>
      <c r="D2823" s="1" t="s">
        <v>928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5">
      <c r="A2824" s="1" t="s">
        <v>508</v>
      </c>
      <c r="B2824" s="1" t="s">
        <v>569</v>
      </c>
      <c r="C2824" s="1" t="s">
        <v>589</v>
      </c>
      <c r="D2824" s="1" t="s">
        <v>95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 t="s">
        <v>508</v>
      </c>
      <c r="B2825" s="1" t="s">
        <v>570</v>
      </c>
      <c r="C2825" s="1" t="s">
        <v>590</v>
      </c>
      <c r="D2825" s="1" t="s">
        <v>97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5">
      <c r="A2826" s="1" t="s">
        <v>508</v>
      </c>
      <c r="B2826" s="1" t="s">
        <v>571</v>
      </c>
      <c r="C2826" s="1" t="s">
        <v>591</v>
      </c>
      <c r="D2826" s="1" t="s">
        <v>232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5">
      <c r="A2827" s="1" t="s">
        <v>508</v>
      </c>
      <c r="B2827" s="1" t="s">
        <v>572</v>
      </c>
      <c r="C2827" s="1" t="s">
        <v>592</v>
      </c>
      <c r="D2827" s="1" t="s">
        <v>223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 t="s">
        <v>509</v>
      </c>
      <c r="B2828" s="1" t="s">
        <v>33</v>
      </c>
      <c r="C2828" s="1" t="s">
        <v>579</v>
      </c>
      <c r="D2828" s="1" t="s">
        <v>141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5">
      <c r="A2829" s="1" t="s">
        <v>509</v>
      </c>
      <c r="B2829" s="1" t="s">
        <v>34</v>
      </c>
      <c r="C2829" s="1" t="s">
        <v>580</v>
      </c>
      <c r="D2829" s="1" t="s">
        <v>629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5">
      <c r="A2830" s="1" t="s">
        <v>509</v>
      </c>
      <c r="B2830" s="1" t="s">
        <v>35</v>
      </c>
      <c r="C2830" s="1" t="s">
        <v>581</v>
      </c>
      <c r="D2830" s="1" t="s">
        <v>630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5">
      <c r="A2831" s="1" t="s">
        <v>509</v>
      </c>
      <c r="B2831" s="1" t="s">
        <v>36</v>
      </c>
      <c r="C2831" s="1" t="s">
        <v>582</v>
      </c>
      <c r="D2831" s="1" t="s">
        <v>275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5">
      <c r="A2832" s="1" t="s">
        <v>509</v>
      </c>
      <c r="B2832" s="1" t="s">
        <v>37</v>
      </c>
      <c r="C2832" s="1" t="s">
        <v>583</v>
      </c>
      <c r="D2832" s="1" t="s">
        <v>275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 t="s">
        <v>509</v>
      </c>
      <c r="B2833" s="1" t="s">
        <v>38</v>
      </c>
      <c r="C2833" s="1" t="s">
        <v>584</v>
      </c>
      <c r="D2833" s="1" t="s">
        <v>629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5">
      <c r="A2834" s="1" t="s">
        <v>509</v>
      </c>
      <c r="B2834" s="1" t="s">
        <v>39</v>
      </c>
      <c r="C2834" s="1" t="s">
        <v>585</v>
      </c>
      <c r="D2834" s="1" t="s">
        <v>417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5">
      <c r="A2835" s="1" t="s">
        <v>509</v>
      </c>
      <c r="B2835" s="1" t="s">
        <v>567</v>
      </c>
      <c r="C2835" s="1" t="s">
        <v>586</v>
      </c>
      <c r="D2835" s="1" t="s">
        <v>141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5">
      <c r="A2836" s="1" t="s">
        <v>509</v>
      </c>
      <c r="B2836" s="1" t="s">
        <v>40</v>
      </c>
      <c r="C2836" s="1" t="s">
        <v>588</v>
      </c>
      <c r="D2836" s="1" t="s">
        <v>929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5">
      <c r="A2837" s="1" t="s">
        <v>509</v>
      </c>
      <c r="B2837" s="1" t="s">
        <v>569</v>
      </c>
      <c r="C2837" s="1" t="s">
        <v>589</v>
      </c>
      <c r="D2837" s="1" t="s">
        <v>78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5">
      <c r="A2838" s="1" t="s">
        <v>509</v>
      </c>
      <c r="B2838" s="1" t="s">
        <v>571</v>
      </c>
      <c r="C2838" s="1" t="s">
        <v>591</v>
      </c>
      <c r="D2838" s="1" t="s">
        <v>95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 t="s">
        <v>510</v>
      </c>
      <c r="B2839" s="1" t="s">
        <v>174</v>
      </c>
      <c r="C2839" s="1" t="s">
        <v>574</v>
      </c>
      <c r="D2839" s="1" t="s">
        <v>223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 t="s">
        <v>510</v>
      </c>
      <c r="B2840" s="1" t="s">
        <v>563</v>
      </c>
      <c r="C2840" s="1" t="s">
        <v>575</v>
      </c>
      <c r="D2840" s="1" t="s">
        <v>95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5">
      <c r="A2841" s="1" t="s">
        <v>510</v>
      </c>
      <c r="B2841" s="1" t="s">
        <v>564</v>
      </c>
      <c r="C2841" s="1" t="s">
        <v>576</v>
      </c>
      <c r="D2841" s="1" t="s">
        <v>600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5">
      <c r="A2842" s="1" t="s">
        <v>510</v>
      </c>
      <c r="B2842" s="1" t="s">
        <v>565</v>
      </c>
      <c r="C2842" s="1" t="s">
        <v>577</v>
      </c>
      <c r="D2842" s="1" t="s">
        <v>223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 t="s">
        <v>510</v>
      </c>
      <c r="B2843" s="1" t="s">
        <v>33</v>
      </c>
      <c r="C2843" s="1" t="s">
        <v>579</v>
      </c>
      <c r="D2843" s="1" t="s">
        <v>919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5">
      <c r="A2844" s="1" t="s">
        <v>510</v>
      </c>
      <c r="B2844" s="1" t="s">
        <v>34</v>
      </c>
      <c r="C2844" s="1" t="s">
        <v>580</v>
      </c>
      <c r="D2844" s="1" t="s">
        <v>930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 t="s">
        <v>510</v>
      </c>
      <c r="B2845" s="1" t="s">
        <v>35</v>
      </c>
      <c r="C2845" s="1" t="s">
        <v>581</v>
      </c>
      <c r="D2845" s="1" t="s">
        <v>931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5">
      <c r="A2846" s="1" t="s">
        <v>510</v>
      </c>
      <c r="B2846" s="1" t="s">
        <v>36</v>
      </c>
      <c r="C2846" s="1" t="s">
        <v>582</v>
      </c>
      <c r="D2846" s="1" t="s">
        <v>390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5">
      <c r="A2847" s="1" t="s">
        <v>510</v>
      </c>
      <c r="B2847" s="1" t="s">
        <v>37</v>
      </c>
      <c r="C2847" s="1" t="s">
        <v>583</v>
      </c>
      <c r="D2847" s="1" t="s">
        <v>287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510</v>
      </c>
      <c r="B2848" s="1" t="s">
        <v>38</v>
      </c>
      <c r="C2848" s="1" t="s">
        <v>584</v>
      </c>
      <c r="D2848" s="1" t="s">
        <v>932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5">
      <c r="A2849" s="1" t="s">
        <v>510</v>
      </c>
      <c r="B2849" s="1" t="s">
        <v>39</v>
      </c>
      <c r="C2849" s="1" t="s">
        <v>585</v>
      </c>
      <c r="D2849" s="1" t="s">
        <v>374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5">
      <c r="A2850" s="1" t="s">
        <v>510</v>
      </c>
      <c r="B2850" s="1" t="s">
        <v>567</v>
      </c>
      <c r="C2850" s="1" t="s">
        <v>586</v>
      </c>
      <c r="D2850" s="1" t="s">
        <v>141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5">
      <c r="A2851" s="1" t="s">
        <v>510</v>
      </c>
      <c r="B2851" s="1" t="s">
        <v>568</v>
      </c>
      <c r="C2851" s="1" t="s">
        <v>587</v>
      </c>
      <c r="D2851" s="1" t="s">
        <v>95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5">
      <c r="A2852" s="1" t="s">
        <v>510</v>
      </c>
      <c r="B2852" s="1" t="s">
        <v>40</v>
      </c>
      <c r="C2852" s="1" t="s">
        <v>588</v>
      </c>
      <c r="D2852" s="1" t="s">
        <v>933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510</v>
      </c>
      <c r="B2853" s="1" t="s">
        <v>569</v>
      </c>
      <c r="C2853" s="1" t="s">
        <v>589</v>
      </c>
      <c r="D2853" s="1" t="s">
        <v>78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5">
      <c r="A2854" s="1" t="s">
        <v>510</v>
      </c>
      <c r="B2854" s="1" t="s">
        <v>570</v>
      </c>
      <c r="C2854" s="1" t="s">
        <v>590</v>
      </c>
      <c r="D2854" s="1" t="s">
        <v>275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5">
      <c r="A2855" s="1" t="s">
        <v>510</v>
      </c>
      <c r="B2855" s="1" t="s">
        <v>571</v>
      </c>
      <c r="C2855" s="1" t="s">
        <v>591</v>
      </c>
      <c r="D2855" s="1" t="s">
        <v>223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5">
      <c r="A2856" s="1" t="s">
        <v>510</v>
      </c>
      <c r="B2856" s="1" t="s">
        <v>572</v>
      </c>
      <c r="C2856" s="1" t="s">
        <v>592</v>
      </c>
      <c r="D2856" s="1" t="s">
        <v>95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5">
      <c r="A2857" s="1" t="s">
        <v>511</v>
      </c>
      <c r="B2857" s="1" t="s">
        <v>33</v>
      </c>
      <c r="C2857" s="1" t="s">
        <v>579</v>
      </c>
      <c r="D2857" s="1" t="s">
        <v>141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5">
      <c r="A2858" s="1" t="s">
        <v>511</v>
      </c>
      <c r="B2858" s="1" t="s">
        <v>34</v>
      </c>
      <c r="C2858" s="1" t="s">
        <v>580</v>
      </c>
      <c r="D2858" s="1" t="s">
        <v>629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511</v>
      </c>
      <c r="B2859" s="1" t="s">
        <v>35</v>
      </c>
      <c r="C2859" s="1" t="s">
        <v>581</v>
      </c>
      <c r="D2859" s="1" t="s">
        <v>630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511</v>
      </c>
      <c r="B2860" s="1" t="s">
        <v>36</v>
      </c>
      <c r="C2860" s="1" t="s">
        <v>582</v>
      </c>
      <c r="D2860" s="1" t="s">
        <v>275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5">
      <c r="A2861" s="1" t="s">
        <v>511</v>
      </c>
      <c r="B2861" s="1" t="s">
        <v>37</v>
      </c>
      <c r="C2861" s="1" t="s">
        <v>583</v>
      </c>
      <c r="D2861" s="1" t="s">
        <v>275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5">
      <c r="A2862" s="1" t="s">
        <v>511</v>
      </c>
      <c r="B2862" s="1" t="s">
        <v>38</v>
      </c>
      <c r="C2862" s="1" t="s">
        <v>584</v>
      </c>
      <c r="D2862" s="1" t="s">
        <v>629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511</v>
      </c>
      <c r="B2863" s="1" t="s">
        <v>39</v>
      </c>
      <c r="C2863" s="1" t="s">
        <v>585</v>
      </c>
      <c r="D2863" s="1" t="s">
        <v>417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5">
      <c r="A2864" s="1" t="s">
        <v>511</v>
      </c>
      <c r="B2864" s="1" t="s">
        <v>567</v>
      </c>
      <c r="C2864" s="1" t="s">
        <v>586</v>
      </c>
      <c r="D2864" s="1" t="s">
        <v>141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511</v>
      </c>
      <c r="B2865" s="1" t="s">
        <v>40</v>
      </c>
      <c r="C2865" s="1" t="s">
        <v>588</v>
      </c>
      <c r="D2865" s="1" t="s">
        <v>929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5">
      <c r="A2866" s="1" t="s">
        <v>511</v>
      </c>
      <c r="B2866" s="1" t="s">
        <v>569</v>
      </c>
      <c r="C2866" s="1" t="s">
        <v>589</v>
      </c>
      <c r="D2866" s="1" t="s">
        <v>78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5">
      <c r="A2867" s="1" t="s">
        <v>511</v>
      </c>
      <c r="B2867" s="1" t="s">
        <v>571</v>
      </c>
      <c r="C2867" s="1" t="s">
        <v>591</v>
      </c>
      <c r="D2867" s="1" t="s">
        <v>95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512</v>
      </c>
      <c r="B2868" s="1" t="s">
        <v>174</v>
      </c>
      <c r="C2868" s="1" t="s">
        <v>574</v>
      </c>
      <c r="D2868" s="1" t="s">
        <v>223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5">
      <c r="A2869" s="1" t="s">
        <v>512</v>
      </c>
      <c r="B2869" s="1" t="s">
        <v>563</v>
      </c>
      <c r="C2869" s="1" t="s">
        <v>575</v>
      </c>
      <c r="D2869" s="1" t="s">
        <v>95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5">
      <c r="A2870" s="1" t="s">
        <v>512</v>
      </c>
      <c r="B2870" s="1" t="s">
        <v>564</v>
      </c>
      <c r="C2870" s="1" t="s">
        <v>576</v>
      </c>
      <c r="D2870" s="1" t="s">
        <v>600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5">
      <c r="A2871" s="1" t="s">
        <v>512</v>
      </c>
      <c r="B2871" s="1" t="s">
        <v>565</v>
      </c>
      <c r="C2871" s="1" t="s">
        <v>577</v>
      </c>
      <c r="D2871" s="1" t="s">
        <v>223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512</v>
      </c>
      <c r="B2872" s="1" t="s">
        <v>33</v>
      </c>
      <c r="C2872" s="1" t="s">
        <v>579</v>
      </c>
      <c r="D2872" s="1" t="s">
        <v>934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512</v>
      </c>
      <c r="B2873" s="1" t="s">
        <v>34</v>
      </c>
      <c r="C2873" s="1" t="s">
        <v>580</v>
      </c>
      <c r="D2873" s="1" t="s">
        <v>935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512</v>
      </c>
      <c r="B2874" s="1" t="s">
        <v>35</v>
      </c>
      <c r="C2874" s="1" t="s">
        <v>581</v>
      </c>
      <c r="D2874" s="1" t="s">
        <v>936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5">
      <c r="A2875" s="1" t="s">
        <v>512</v>
      </c>
      <c r="B2875" s="1" t="s">
        <v>36</v>
      </c>
      <c r="C2875" s="1" t="s">
        <v>582</v>
      </c>
      <c r="D2875" s="1" t="s">
        <v>390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5">
      <c r="A2876" s="1" t="s">
        <v>512</v>
      </c>
      <c r="B2876" s="1" t="s">
        <v>37</v>
      </c>
      <c r="C2876" s="1" t="s">
        <v>583</v>
      </c>
      <c r="D2876" s="1" t="s">
        <v>417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512</v>
      </c>
      <c r="B2877" s="1" t="s">
        <v>38</v>
      </c>
      <c r="C2877" s="1" t="s">
        <v>584</v>
      </c>
      <c r="D2877" s="1" t="s">
        <v>937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512</v>
      </c>
      <c r="B2878" s="1" t="s">
        <v>39</v>
      </c>
      <c r="C2878" s="1" t="s">
        <v>585</v>
      </c>
      <c r="D2878" s="1" t="s">
        <v>374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512</v>
      </c>
      <c r="B2879" s="1" t="s">
        <v>567</v>
      </c>
      <c r="C2879" s="1" t="s">
        <v>586</v>
      </c>
      <c r="D2879" s="1" t="s">
        <v>141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512</v>
      </c>
      <c r="B2880" s="1" t="s">
        <v>568</v>
      </c>
      <c r="C2880" s="1" t="s">
        <v>587</v>
      </c>
      <c r="D2880" s="1" t="s">
        <v>95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512</v>
      </c>
      <c r="B2881" s="1" t="s">
        <v>40</v>
      </c>
      <c r="C2881" s="1" t="s">
        <v>588</v>
      </c>
      <c r="D2881" s="1" t="s">
        <v>938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512</v>
      </c>
      <c r="B2882" s="1" t="s">
        <v>569</v>
      </c>
      <c r="C2882" s="1" t="s">
        <v>589</v>
      </c>
      <c r="D2882" s="1" t="s">
        <v>78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 t="s">
        <v>512</v>
      </c>
      <c r="B2883" s="1" t="s">
        <v>570</v>
      </c>
      <c r="C2883" s="1" t="s">
        <v>590</v>
      </c>
      <c r="D2883" s="1" t="s">
        <v>275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5">
      <c r="A2884" s="1" t="s">
        <v>512</v>
      </c>
      <c r="B2884" s="1" t="s">
        <v>571</v>
      </c>
      <c r="C2884" s="1" t="s">
        <v>591</v>
      </c>
      <c r="D2884" s="1" t="s">
        <v>223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 t="s">
        <v>512</v>
      </c>
      <c r="B2885" s="1" t="s">
        <v>572</v>
      </c>
      <c r="C2885" s="1" t="s">
        <v>592</v>
      </c>
      <c r="D2885" s="1" t="s">
        <v>95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5">
      <c r="A2886" s="1" t="s">
        <v>513</v>
      </c>
      <c r="B2886" s="1" t="s">
        <v>33</v>
      </c>
      <c r="C2886" s="1" t="s">
        <v>579</v>
      </c>
      <c r="D2886" s="1" t="s">
        <v>141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5">
      <c r="A2887" s="1" t="s">
        <v>513</v>
      </c>
      <c r="B2887" s="1" t="s">
        <v>34</v>
      </c>
      <c r="C2887" s="1" t="s">
        <v>580</v>
      </c>
      <c r="D2887" s="1" t="s">
        <v>629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 t="s">
        <v>513</v>
      </c>
      <c r="B2888" s="1" t="s">
        <v>35</v>
      </c>
      <c r="C2888" s="1" t="s">
        <v>581</v>
      </c>
      <c r="D2888" s="1" t="s">
        <v>630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5">
      <c r="A2889" s="1" t="s">
        <v>513</v>
      </c>
      <c r="B2889" s="1" t="s">
        <v>36</v>
      </c>
      <c r="C2889" s="1" t="s">
        <v>582</v>
      </c>
      <c r="D2889" s="1" t="s">
        <v>275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5">
      <c r="A2890" s="1" t="s">
        <v>513</v>
      </c>
      <c r="B2890" s="1" t="s">
        <v>37</v>
      </c>
      <c r="C2890" s="1" t="s">
        <v>583</v>
      </c>
      <c r="D2890" s="1" t="s">
        <v>275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5">
      <c r="A2891" s="1" t="s">
        <v>513</v>
      </c>
      <c r="B2891" s="1" t="s">
        <v>38</v>
      </c>
      <c r="C2891" s="1" t="s">
        <v>584</v>
      </c>
      <c r="D2891" s="1" t="s">
        <v>629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5">
      <c r="A2892" s="1" t="s">
        <v>513</v>
      </c>
      <c r="B2892" s="1" t="s">
        <v>39</v>
      </c>
      <c r="C2892" s="1" t="s">
        <v>585</v>
      </c>
      <c r="D2892" s="1" t="s">
        <v>417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 t="s">
        <v>513</v>
      </c>
      <c r="B2893" s="1" t="s">
        <v>567</v>
      </c>
      <c r="C2893" s="1" t="s">
        <v>586</v>
      </c>
      <c r="D2893" s="1" t="s">
        <v>141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5">
      <c r="A2894" s="1" t="s">
        <v>513</v>
      </c>
      <c r="B2894" s="1" t="s">
        <v>40</v>
      </c>
      <c r="C2894" s="1" t="s">
        <v>588</v>
      </c>
      <c r="D2894" s="1" t="s">
        <v>929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5">
      <c r="A2895" s="1" t="s">
        <v>513</v>
      </c>
      <c r="B2895" s="1" t="s">
        <v>569</v>
      </c>
      <c r="C2895" s="1" t="s">
        <v>589</v>
      </c>
      <c r="D2895" s="1" t="s">
        <v>78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5">
      <c r="A2896" s="1" t="s">
        <v>513</v>
      </c>
      <c r="B2896" s="1" t="s">
        <v>571</v>
      </c>
      <c r="C2896" s="1" t="s">
        <v>591</v>
      </c>
      <c r="D2896" s="1" t="s">
        <v>95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5">
      <c r="A2897" s="1" t="s">
        <v>514</v>
      </c>
      <c r="B2897" s="1" t="s">
        <v>33</v>
      </c>
      <c r="C2897" s="1" t="s">
        <v>579</v>
      </c>
      <c r="D2897" s="1" t="s">
        <v>141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5">
      <c r="A2898" s="1" t="s">
        <v>514</v>
      </c>
      <c r="B2898" s="1" t="s">
        <v>34</v>
      </c>
      <c r="C2898" s="1" t="s">
        <v>580</v>
      </c>
      <c r="D2898" s="1" t="s">
        <v>629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5">
      <c r="A2899" s="1" t="s">
        <v>514</v>
      </c>
      <c r="B2899" s="1" t="s">
        <v>35</v>
      </c>
      <c r="C2899" s="1" t="s">
        <v>581</v>
      </c>
      <c r="D2899" s="1" t="s">
        <v>630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 t="s">
        <v>514</v>
      </c>
      <c r="B2900" s="1" t="s">
        <v>36</v>
      </c>
      <c r="C2900" s="1" t="s">
        <v>582</v>
      </c>
      <c r="D2900" s="1" t="s">
        <v>275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5">
      <c r="A2901" s="1" t="s">
        <v>514</v>
      </c>
      <c r="B2901" s="1" t="s">
        <v>37</v>
      </c>
      <c r="C2901" s="1" t="s">
        <v>583</v>
      </c>
      <c r="D2901" s="1" t="s">
        <v>275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5">
      <c r="A2902" s="1" t="s">
        <v>514</v>
      </c>
      <c r="B2902" s="1" t="s">
        <v>38</v>
      </c>
      <c r="C2902" s="1" t="s">
        <v>584</v>
      </c>
      <c r="D2902" s="1" t="s">
        <v>629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 t="s">
        <v>514</v>
      </c>
      <c r="B2903" s="1" t="s">
        <v>39</v>
      </c>
      <c r="C2903" s="1" t="s">
        <v>585</v>
      </c>
      <c r="D2903" s="1" t="s">
        <v>245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 t="s">
        <v>514</v>
      </c>
      <c r="B2904" s="1" t="s">
        <v>567</v>
      </c>
      <c r="C2904" s="1" t="s">
        <v>586</v>
      </c>
      <c r="D2904" s="1" t="s">
        <v>141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514</v>
      </c>
      <c r="B2905" s="1" t="s">
        <v>40</v>
      </c>
      <c r="C2905" s="1" t="s">
        <v>588</v>
      </c>
      <c r="D2905" s="1" t="s">
        <v>939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 t="s">
        <v>514</v>
      </c>
      <c r="B2906" s="1" t="s">
        <v>569</v>
      </c>
      <c r="C2906" s="1" t="s">
        <v>589</v>
      </c>
      <c r="D2906" s="1" t="s">
        <v>78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5">
      <c r="A2907" s="1" t="s">
        <v>514</v>
      </c>
      <c r="B2907" s="1" t="s">
        <v>571</v>
      </c>
      <c r="C2907" s="1" t="s">
        <v>591</v>
      </c>
      <c r="D2907" s="1" t="s">
        <v>95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 t="s">
        <v>515</v>
      </c>
      <c r="B2908" s="1" t="s">
        <v>174</v>
      </c>
      <c r="C2908" s="1" t="s">
        <v>574</v>
      </c>
      <c r="D2908" s="1" t="s">
        <v>223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 t="s">
        <v>515</v>
      </c>
      <c r="B2909" s="1" t="s">
        <v>563</v>
      </c>
      <c r="C2909" s="1" t="s">
        <v>575</v>
      </c>
      <c r="D2909" s="1" t="s">
        <v>95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515</v>
      </c>
      <c r="B2910" s="1" t="s">
        <v>564</v>
      </c>
      <c r="C2910" s="1" t="s">
        <v>576</v>
      </c>
      <c r="D2910" s="1" t="s">
        <v>600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515</v>
      </c>
      <c r="B2911" s="1" t="s">
        <v>565</v>
      </c>
      <c r="C2911" s="1" t="s">
        <v>577</v>
      </c>
      <c r="D2911" s="1" t="s">
        <v>223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515</v>
      </c>
      <c r="B2912" s="1" t="s">
        <v>33</v>
      </c>
      <c r="C2912" s="1" t="s">
        <v>579</v>
      </c>
      <c r="D2912" s="1" t="s">
        <v>919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515</v>
      </c>
      <c r="B2913" s="1" t="s">
        <v>34</v>
      </c>
      <c r="C2913" s="1" t="s">
        <v>580</v>
      </c>
      <c r="D2913" s="1" t="s">
        <v>930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 t="s">
        <v>515</v>
      </c>
      <c r="B2914" s="1" t="s">
        <v>35</v>
      </c>
      <c r="C2914" s="1" t="s">
        <v>581</v>
      </c>
      <c r="D2914" s="1" t="s">
        <v>931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5">
      <c r="A2915" s="1" t="s">
        <v>515</v>
      </c>
      <c r="B2915" s="1" t="s">
        <v>36</v>
      </c>
      <c r="C2915" s="1" t="s">
        <v>582</v>
      </c>
      <c r="D2915" s="1" t="s">
        <v>390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5">
      <c r="A2916" s="1" t="s">
        <v>515</v>
      </c>
      <c r="B2916" s="1" t="s">
        <v>37</v>
      </c>
      <c r="C2916" s="1" t="s">
        <v>583</v>
      </c>
      <c r="D2916" s="1" t="s">
        <v>287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5">
      <c r="A2917" s="1" t="s">
        <v>515</v>
      </c>
      <c r="B2917" s="1" t="s">
        <v>38</v>
      </c>
      <c r="C2917" s="1" t="s">
        <v>584</v>
      </c>
      <c r="D2917" s="1" t="s">
        <v>932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5">
      <c r="A2918" s="1" t="s">
        <v>515</v>
      </c>
      <c r="B2918" s="1" t="s">
        <v>39</v>
      </c>
      <c r="C2918" s="1" t="s">
        <v>585</v>
      </c>
      <c r="D2918" s="1" t="s">
        <v>374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5">
      <c r="A2919" s="1" t="s">
        <v>515</v>
      </c>
      <c r="B2919" s="1" t="s">
        <v>567</v>
      </c>
      <c r="C2919" s="1" t="s">
        <v>586</v>
      </c>
      <c r="D2919" s="1" t="s">
        <v>141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515</v>
      </c>
      <c r="B2920" s="1" t="s">
        <v>568</v>
      </c>
      <c r="C2920" s="1" t="s">
        <v>587</v>
      </c>
      <c r="D2920" s="1" t="s">
        <v>95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5">
      <c r="A2921" s="1" t="s">
        <v>515</v>
      </c>
      <c r="B2921" s="1" t="s">
        <v>40</v>
      </c>
      <c r="C2921" s="1" t="s">
        <v>588</v>
      </c>
      <c r="D2921" s="1" t="s">
        <v>933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5">
      <c r="A2922" s="1" t="s">
        <v>515</v>
      </c>
      <c r="B2922" s="1" t="s">
        <v>569</v>
      </c>
      <c r="C2922" s="1" t="s">
        <v>589</v>
      </c>
      <c r="D2922" s="1" t="s">
        <v>78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515</v>
      </c>
      <c r="B2923" s="1" t="s">
        <v>570</v>
      </c>
      <c r="C2923" s="1" t="s">
        <v>590</v>
      </c>
      <c r="D2923" s="1" t="s">
        <v>275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5">
      <c r="A2924" s="1" t="s">
        <v>515</v>
      </c>
      <c r="B2924" s="1" t="s">
        <v>571</v>
      </c>
      <c r="C2924" s="1" t="s">
        <v>591</v>
      </c>
      <c r="D2924" s="1" t="s">
        <v>223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515</v>
      </c>
      <c r="B2925" s="1" t="s">
        <v>572</v>
      </c>
      <c r="C2925" s="1" t="s">
        <v>592</v>
      </c>
      <c r="D2925" s="1" t="s">
        <v>95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5">
      <c r="A2926" s="1" t="s">
        <v>516</v>
      </c>
      <c r="B2926" s="1" t="s">
        <v>33</v>
      </c>
      <c r="C2926" s="1" t="s">
        <v>579</v>
      </c>
      <c r="D2926" s="1" t="s">
        <v>141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5">
      <c r="A2927" s="1" t="s">
        <v>516</v>
      </c>
      <c r="B2927" s="1" t="s">
        <v>34</v>
      </c>
      <c r="C2927" s="1" t="s">
        <v>580</v>
      </c>
      <c r="D2927" s="1" t="s">
        <v>629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516</v>
      </c>
      <c r="B2928" s="1" t="s">
        <v>35</v>
      </c>
      <c r="C2928" s="1" t="s">
        <v>581</v>
      </c>
      <c r="D2928" s="1" t="s">
        <v>630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5">
      <c r="A2929" s="1" t="s">
        <v>516</v>
      </c>
      <c r="B2929" s="1" t="s">
        <v>36</v>
      </c>
      <c r="C2929" s="1" t="s">
        <v>582</v>
      </c>
      <c r="D2929" s="1" t="s">
        <v>275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5">
      <c r="A2930" s="1" t="s">
        <v>516</v>
      </c>
      <c r="B2930" s="1" t="s">
        <v>37</v>
      </c>
      <c r="C2930" s="1" t="s">
        <v>583</v>
      </c>
      <c r="D2930" s="1" t="s">
        <v>275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5">
      <c r="A2931" s="1" t="s">
        <v>516</v>
      </c>
      <c r="B2931" s="1" t="s">
        <v>38</v>
      </c>
      <c r="C2931" s="1" t="s">
        <v>584</v>
      </c>
      <c r="D2931" s="1" t="s">
        <v>629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5">
      <c r="A2932" s="1" t="s">
        <v>516</v>
      </c>
      <c r="B2932" s="1" t="s">
        <v>39</v>
      </c>
      <c r="C2932" s="1" t="s">
        <v>585</v>
      </c>
      <c r="D2932" s="1" t="s">
        <v>245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5">
      <c r="A2933" s="1" t="s">
        <v>516</v>
      </c>
      <c r="B2933" s="1" t="s">
        <v>567</v>
      </c>
      <c r="C2933" s="1" t="s">
        <v>586</v>
      </c>
      <c r="D2933" s="1" t="s">
        <v>141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5">
      <c r="A2934" s="1" t="s">
        <v>516</v>
      </c>
      <c r="B2934" s="1" t="s">
        <v>40</v>
      </c>
      <c r="C2934" s="1" t="s">
        <v>588</v>
      </c>
      <c r="D2934" s="1" t="s">
        <v>939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5">
      <c r="A2935" s="1" t="s">
        <v>516</v>
      </c>
      <c r="B2935" s="1" t="s">
        <v>569</v>
      </c>
      <c r="C2935" s="1" t="s">
        <v>589</v>
      </c>
      <c r="D2935" s="1" t="s">
        <v>78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5">
      <c r="A2936" s="1" t="s">
        <v>516</v>
      </c>
      <c r="B2936" s="1" t="s">
        <v>571</v>
      </c>
      <c r="C2936" s="1" t="s">
        <v>591</v>
      </c>
      <c r="D2936" s="1" t="s">
        <v>95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5">
      <c r="A2937" s="1" t="s">
        <v>517</v>
      </c>
      <c r="B2937" s="1" t="s">
        <v>174</v>
      </c>
      <c r="C2937" s="1" t="s">
        <v>574</v>
      </c>
      <c r="D2937" s="1" t="s">
        <v>223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5">
      <c r="A2938" s="1" t="s">
        <v>517</v>
      </c>
      <c r="B2938" s="1" t="s">
        <v>563</v>
      </c>
      <c r="C2938" s="1" t="s">
        <v>575</v>
      </c>
      <c r="D2938" s="1" t="s">
        <v>95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5">
      <c r="A2939" s="1" t="s">
        <v>517</v>
      </c>
      <c r="B2939" s="1" t="s">
        <v>564</v>
      </c>
      <c r="C2939" s="1" t="s">
        <v>576</v>
      </c>
      <c r="D2939" s="1" t="s">
        <v>600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 t="s">
        <v>517</v>
      </c>
      <c r="B2940" s="1" t="s">
        <v>565</v>
      </c>
      <c r="C2940" s="1" t="s">
        <v>577</v>
      </c>
      <c r="D2940" s="1" t="s">
        <v>223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5">
      <c r="A2941" s="1" t="s">
        <v>517</v>
      </c>
      <c r="B2941" s="1" t="s">
        <v>33</v>
      </c>
      <c r="C2941" s="1" t="s">
        <v>579</v>
      </c>
      <c r="D2941" s="1" t="s">
        <v>934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5">
      <c r="A2942" s="1" t="s">
        <v>517</v>
      </c>
      <c r="B2942" s="1" t="s">
        <v>34</v>
      </c>
      <c r="C2942" s="1" t="s">
        <v>580</v>
      </c>
      <c r="D2942" s="1" t="s">
        <v>935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 t="s">
        <v>517</v>
      </c>
      <c r="B2943" s="1" t="s">
        <v>35</v>
      </c>
      <c r="C2943" s="1" t="s">
        <v>581</v>
      </c>
      <c r="D2943" s="1" t="s">
        <v>936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5">
      <c r="A2944" s="1" t="s">
        <v>517</v>
      </c>
      <c r="B2944" s="1" t="s">
        <v>36</v>
      </c>
      <c r="C2944" s="1" t="s">
        <v>582</v>
      </c>
      <c r="D2944" s="1" t="s">
        <v>390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 t="s">
        <v>517</v>
      </c>
      <c r="B2945" s="1" t="s">
        <v>37</v>
      </c>
      <c r="C2945" s="1" t="s">
        <v>583</v>
      </c>
      <c r="D2945" s="1" t="s">
        <v>417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5">
      <c r="A2946" s="1" t="s">
        <v>517</v>
      </c>
      <c r="B2946" s="1" t="s">
        <v>38</v>
      </c>
      <c r="C2946" s="1" t="s">
        <v>584</v>
      </c>
      <c r="D2946" s="1" t="s">
        <v>937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5">
      <c r="A2947" s="1" t="s">
        <v>517</v>
      </c>
      <c r="B2947" s="1" t="s">
        <v>39</v>
      </c>
      <c r="C2947" s="1" t="s">
        <v>585</v>
      </c>
      <c r="D2947" s="1" t="s">
        <v>374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 t="s">
        <v>517</v>
      </c>
      <c r="B2948" s="1" t="s">
        <v>567</v>
      </c>
      <c r="C2948" s="1" t="s">
        <v>586</v>
      </c>
      <c r="D2948" s="1" t="s">
        <v>141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5">
      <c r="A2949" s="1" t="s">
        <v>517</v>
      </c>
      <c r="B2949" s="1" t="s">
        <v>568</v>
      </c>
      <c r="C2949" s="1" t="s">
        <v>587</v>
      </c>
      <c r="D2949" s="1" t="s">
        <v>95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5">
      <c r="A2950" s="1" t="s">
        <v>517</v>
      </c>
      <c r="B2950" s="1" t="s">
        <v>40</v>
      </c>
      <c r="C2950" s="1" t="s">
        <v>588</v>
      </c>
      <c r="D2950" s="1" t="s">
        <v>938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5">
      <c r="A2951" s="1" t="s">
        <v>517</v>
      </c>
      <c r="B2951" s="1" t="s">
        <v>569</v>
      </c>
      <c r="C2951" s="1" t="s">
        <v>589</v>
      </c>
      <c r="D2951" s="1" t="s">
        <v>78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5">
      <c r="A2952" s="1" t="s">
        <v>517</v>
      </c>
      <c r="B2952" s="1" t="s">
        <v>570</v>
      </c>
      <c r="C2952" s="1" t="s">
        <v>590</v>
      </c>
      <c r="D2952" s="1" t="s">
        <v>275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5">
      <c r="A2953" s="1" t="s">
        <v>517</v>
      </c>
      <c r="B2953" s="1" t="s">
        <v>571</v>
      </c>
      <c r="C2953" s="1" t="s">
        <v>591</v>
      </c>
      <c r="D2953" s="1" t="s">
        <v>223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5">
      <c r="A2954" s="1" t="s">
        <v>517</v>
      </c>
      <c r="B2954" s="1" t="s">
        <v>572</v>
      </c>
      <c r="C2954" s="1" t="s">
        <v>592</v>
      </c>
      <c r="D2954" s="1" t="s">
        <v>95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5">
      <c r="A2955" s="1" t="s">
        <v>518</v>
      </c>
      <c r="B2955" s="1" t="s">
        <v>566</v>
      </c>
      <c r="C2955" s="1" t="s">
        <v>578</v>
      </c>
      <c r="D2955" s="1" t="s">
        <v>95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5">
      <c r="A2956" s="1" t="s">
        <v>518</v>
      </c>
      <c r="B2956" s="1" t="s">
        <v>33</v>
      </c>
      <c r="C2956" s="1" t="s">
        <v>579</v>
      </c>
      <c r="D2956" s="1" t="s">
        <v>940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5">
      <c r="A2957" s="1" t="s">
        <v>518</v>
      </c>
      <c r="B2957" s="1" t="s">
        <v>34</v>
      </c>
      <c r="C2957" s="1" t="s">
        <v>580</v>
      </c>
      <c r="D2957" s="1" t="s">
        <v>941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5">
      <c r="A2958" s="1" t="s">
        <v>518</v>
      </c>
      <c r="B2958" s="1" t="s">
        <v>35</v>
      </c>
      <c r="C2958" s="1" t="s">
        <v>581</v>
      </c>
      <c r="D2958" s="1" t="s">
        <v>942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5">
      <c r="A2959" s="1" t="s">
        <v>518</v>
      </c>
      <c r="B2959" s="1" t="s">
        <v>36</v>
      </c>
      <c r="C2959" s="1" t="s">
        <v>582</v>
      </c>
      <c r="D2959" s="1" t="s">
        <v>289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 t="s">
        <v>518</v>
      </c>
      <c r="B2960" s="1" t="s">
        <v>37</v>
      </c>
      <c r="C2960" s="1" t="s">
        <v>583</v>
      </c>
      <c r="D2960" s="1" t="s">
        <v>227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5">
      <c r="A2961" s="1" t="s">
        <v>518</v>
      </c>
      <c r="B2961" s="1" t="s">
        <v>38</v>
      </c>
      <c r="C2961" s="1" t="s">
        <v>584</v>
      </c>
      <c r="D2961" s="1" t="s">
        <v>943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 t="s">
        <v>518</v>
      </c>
      <c r="B2962" s="1" t="s">
        <v>39</v>
      </c>
      <c r="C2962" s="1" t="s">
        <v>585</v>
      </c>
      <c r="D2962" s="1" t="s">
        <v>262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5">
      <c r="A2963" s="1" t="s">
        <v>518</v>
      </c>
      <c r="B2963" s="1" t="s">
        <v>40</v>
      </c>
      <c r="C2963" s="1" t="s">
        <v>588</v>
      </c>
      <c r="D2963" s="1" t="s">
        <v>944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5">
      <c r="A2964" s="1" t="s">
        <v>518</v>
      </c>
      <c r="B2964" s="1" t="s">
        <v>569</v>
      </c>
      <c r="C2964" s="1" t="s">
        <v>589</v>
      </c>
      <c r="D2964" s="1" t="s">
        <v>78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 t="s">
        <v>518</v>
      </c>
      <c r="B2965" s="1" t="s">
        <v>570</v>
      </c>
      <c r="C2965" s="1" t="s">
        <v>590</v>
      </c>
      <c r="D2965" s="1" t="s">
        <v>232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5">
      <c r="A2966" s="1" t="s">
        <v>518</v>
      </c>
      <c r="B2966" s="1" t="s">
        <v>571</v>
      </c>
      <c r="C2966" s="1" t="s">
        <v>591</v>
      </c>
      <c r="D2966" s="1" t="s">
        <v>95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5">
      <c r="A2967" s="1" t="s">
        <v>519</v>
      </c>
      <c r="B2967" s="1" t="s">
        <v>174</v>
      </c>
      <c r="C2967" s="1" t="s">
        <v>574</v>
      </c>
      <c r="D2967" s="1" t="s">
        <v>223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519</v>
      </c>
      <c r="B2968" s="1" t="s">
        <v>563</v>
      </c>
      <c r="C2968" s="1" t="s">
        <v>575</v>
      </c>
      <c r="D2968" s="1" t="s">
        <v>95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5">
      <c r="A2969" s="1" t="s">
        <v>519</v>
      </c>
      <c r="B2969" s="1" t="s">
        <v>564</v>
      </c>
      <c r="C2969" s="1" t="s">
        <v>576</v>
      </c>
      <c r="D2969" s="1" t="s">
        <v>600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5">
      <c r="A2970" s="1" t="s">
        <v>519</v>
      </c>
      <c r="B2970" s="1" t="s">
        <v>565</v>
      </c>
      <c r="C2970" s="1" t="s">
        <v>577</v>
      </c>
      <c r="D2970" s="1" t="s">
        <v>223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5">
      <c r="A2971" s="1" t="s">
        <v>519</v>
      </c>
      <c r="B2971" s="1" t="s">
        <v>33</v>
      </c>
      <c r="C2971" s="1" t="s">
        <v>579</v>
      </c>
      <c r="D2971" s="1" t="s">
        <v>945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5">
      <c r="A2972" s="1" t="s">
        <v>519</v>
      </c>
      <c r="B2972" s="1" t="s">
        <v>34</v>
      </c>
      <c r="C2972" s="1" t="s">
        <v>580</v>
      </c>
      <c r="D2972" s="1" t="s">
        <v>946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5">
      <c r="A2973" s="1" t="s">
        <v>519</v>
      </c>
      <c r="B2973" s="1" t="s">
        <v>35</v>
      </c>
      <c r="C2973" s="1" t="s">
        <v>581</v>
      </c>
      <c r="D2973" s="1" t="s">
        <v>947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5">
      <c r="A2974" s="1" t="s">
        <v>519</v>
      </c>
      <c r="B2974" s="1" t="s">
        <v>36</v>
      </c>
      <c r="C2974" s="1" t="s">
        <v>582</v>
      </c>
      <c r="D2974" s="1" t="s">
        <v>307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5">
      <c r="A2975" s="1" t="s">
        <v>519</v>
      </c>
      <c r="B2975" s="1" t="s">
        <v>37</v>
      </c>
      <c r="C2975" s="1" t="s">
        <v>583</v>
      </c>
      <c r="D2975" s="1" t="s">
        <v>122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519</v>
      </c>
      <c r="B2976" s="1" t="s">
        <v>38</v>
      </c>
      <c r="C2976" s="1" t="s">
        <v>584</v>
      </c>
      <c r="D2976" s="1" t="s">
        <v>948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519</v>
      </c>
      <c r="B2977" s="1" t="s">
        <v>39</v>
      </c>
      <c r="C2977" s="1" t="s">
        <v>585</v>
      </c>
      <c r="D2977" s="1" t="s">
        <v>122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519</v>
      </c>
      <c r="B2978" s="1" t="s">
        <v>567</v>
      </c>
      <c r="C2978" s="1" t="s">
        <v>586</v>
      </c>
      <c r="D2978" s="1" t="s">
        <v>141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5">
      <c r="A2979" s="1" t="s">
        <v>519</v>
      </c>
      <c r="B2979" s="1" t="s">
        <v>568</v>
      </c>
      <c r="C2979" s="1" t="s">
        <v>587</v>
      </c>
      <c r="D2979" s="1" t="s">
        <v>95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 t="s">
        <v>519</v>
      </c>
      <c r="B2980" s="1" t="s">
        <v>40</v>
      </c>
      <c r="C2980" s="1" t="s">
        <v>588</v>
      </c>
      <c r="D2980" s="1" t="s">
        <v>949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519</v>
      </c>
      <c r="B2981" s="1" t="s">
        <v>569</v>
      </c>
      <c r="C2981" s="1" t="s">
        <v>589</v>
      </c>
      <c r="D2981" s="1" t="s">
        <v>78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519</v>
      </c>
      <c r="B2982" s="1" t="s">
        <v>570</v>
      </c>
      <c r="C2982" s="1" t="s">
        <v>590</v>
      </c>
      <c r="D2982" s="1" t="s">
        <v>275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519</v>
      </c>
      <c r="B2983" s="1" t="s">
        <v>571</v>
      </c>
      <c r="C2983" s="1" t="s">
        <v>591</v>
      </c>
      <c r="D2983" s="1" t="s">
        <v>223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519</v>
      </c>
      <c r="B2984" s="1" t="s">
        <v>572</v>
      </c>
      <c r="C2984" s="1" t="s">
        <v>592</v>
      </c>
      <c r="D2984" s="1" t="s">
        <v>95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520</v>
      </c>
      <c r="B2985" s="1" t="s">
        <v>174</v>
      </c>
      <c r="C2985" s="1" t="s">
        <v>574</v>
      </c>
      <c r="D2985" s="1" t="s">
        <v>223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520</v>
      </c>
      <c r="B2986" s="1" t="s">
        <v>563</v>
      </c>
      <c r="C2986" s="1" t="s">
        <v>575</v>
      </c>
      <c r="D2986" s="1" t="s">
        <v>95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5">
      <c r="A2987" s="1" t="s">
        <v>520</v>
      </c>
      <c r="B2987" s="1" t="s">
        <v>564</v>
      </c>
      <c r="C2987" s="1" t="s">
        <v>576</v>
      </c>
      <c r="D2987" s="1" t="s">
        <v>950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520</v>
      </c>
      <c r="B2988" s="1" t="s">
        <v>565</v>
      </c>
      <c r="C2988" s="1" t="s">
        <v>577</v>
      </c>
      <c r="D2988" s="1" t="s">
        <v>275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5">
      <c r="A2989" s="1" t="s">
        <v>520</v>
      </c>
      <c r="B2989" s="1" t="s">
        <v>33</v>
      </c>
      <c r="C2989" s="1" t="s">
        <v>579</v>
      </c>
      <c r="D2989" s="1" t="s">
        <v>951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5">
      <c r="A2990" s="1" t="s">
        <v>520</v>
      </c>
      <c r="B2990" s="1" t="s">
        <v>34</v>
      </c>
      <c r="C2990" s="1" t="s">
        <v>580</v>
      </c>
      <c r="D2990" s="1" t="s">
        <v>952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5">
      <c r="A2991" s="1" t="s">
        <v>520</v>
      </c>
      <c r="B2991" s="1" t="s">
        <v>35</v>
      </c>
      <c r="C2991" s="1" t="s">
        <v>581</v>
      </c>
      <c r="D2991" s="1" t="s">
        <v>953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 t="s">
        <v>520</v>
      </c>
      <c r="B2992" s="1" t="s">
        <v>36</v>
      </c>
      <c r="C2992" s="1" t="s">
        <v>582</v>
      </c>
      <c r="D2992" s="1" t="s">
        <v>227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5">
      <c r="A2993" s="1" t="s">
        <v>520</v>
      </c>
      <c r="B2993" s="1" t="s">
        <v>37</v>
      </c>
      <c r="C2993" s="1" t="s">
        <v>583</v>
      </c>
      <c r="D2993" s="1" t="s">
        <v>133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5">
      <c r="A2994" s="1" t="s">
        <v>520</v>
      </c>
      <c r="B2994" s="1" t="s">
        <v>38</v>
      </c>
      <c r="C2994" s="1" t="s">
        <v>584</v>
      </c>
      <c r="D2994" s="1" t="s">
        <v>954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5">
      <c r="A2995" s="1" t="s">
        <v>520</v>
      </c>
      <c r="B2995" s="1" t="s">
        <v>39</v>
      </c>
      <c r="C2995" s="1" t="s">
        <v>585</v>
      </c>
      <c r="D2995" s="1" t="s">
        <v>244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5">
      <c r="A2996" s="1" t="s">
        <v>520</v>
      </c>
      <c r="B2996" s="1" t="s">
        <v>567</v>
      </c>
      <c r="C2996" s="1" t="s">
        <v>586</v>
      </c>
      <c r="D2996" s="1" t="s">
        <v>141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5">
      <c r="A2997" s="1" t="s">
        <v>520</v>
      </c>
      <c r="B2997" s="1" t="s">
        <v>568</v>
      </c>
      <c r="C2997" s="1" t="s">
        <v>587</v>
      </c>
      <c r="D2997" s="1" t="s">
        <v>95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5">
      <c r="A2998" s="1" t="s">
        <v>520</v>
      </c>
      <c r="B2998" s="1" t="s">
        <v>40</v>
      </c>
      <c r="C2998" s="1" t="s">
        <v>588</v>
      </c>
      <c r="D2998" s="1" t="s">
        <v>955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5">
      <c r="A2999" s="1" t="s">
        <v>520</v>
      </c>
      <c r="B2999" s="1" t="s">
        <v>569</v>
      </c>
      <c r="C2999" s="1" t="s">
        <v>589</v>
      </c>
      <c r="D2999" s="1" t="s">
        <v>95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520</v>
      </c>
      <c r="B3000" s="1" t="s">
        <v>570</v>
      </c>
      <c r="C3000" s="1" t="s">
        <v>590</v>
      </c>
      <c r="D3000" s="1" t="s">
        <v>275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5">
      <c r="A3001" s="1" t="s">
        <v>520</v>
      </c>
      <c r="B3001" s="1" t="s">
        <v>571</v>
      </c>
      <c r="C3001" s="1" t="s">
        <v>591</v>
      </c>
      <c r="D3001" s="1" t="s">
        <v>223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520</v>
      </c>
      <c r="B3002" s="1" t="s">
        <v>572</v>
      </c>
      <c r="C3002" s="1" t="s">
        <v>592</v>
      </c>
      <c r="D3002" s="1" t="s">
        <v>95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5">
      <c r="A3003" s="1" t="s">
        <v>521</v>
      </c>
      <c r="B3003" s="1" t="s">
        <v>174</v>
      </c>
      <c r="C3003" s="1" t="s">
        <v>574</v>
      </c>
      <c r="D3003" s="1" t="s">
        <v>95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5">
      <c r="A3004" s="1" t="s">
        <v>521</v>
      </c>
      <c r="B3004" s="1" t="s">
        <v>564</v>
      </c>
      <c r="C3004" s="1" t="s">
        <v>576</v>
      </c>
      <c r="D3004" s="1" t="s">
        <v>600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521</v>
      </c>
      <c r="B3005" s="1" t="s">
        <v>565</v>
      </c>
      <c r="C3005" s="1" t="s">
        <v>577</v>
      </c>
      <c r="D3005" s="1" t="s">
        <v>95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5">
      <c r="A3006" s="1" t="s">
        <v>521</v>
      </c>
      <c r="B3006" s="1" t="s">
        <v>33</v>
      </c>
      <c r="C3006" s="1" t="s">
        <v>579</v>
      </c>
      <c r="D3006" s="1" t="s">
        <v>385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5">
      <c r="A3007" s="1" t="s">
        <v>521</v>
      </c>
      <c r="B3007" s="1" t="s">
        <v>34</v>
      </c>
      <c r="C3007" s="1" t="s">
        <v>580</v>
      </c>
      <c r="D3007" s="1" t="s">
        <v>815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521</v>
      </c>
      <c r="B3008" s="1" t="s">
        <v>35</v>
      </c>
      <c r="C3008" s="1" t="s">
        <v>581</v>
      </c>
      <c r="D3008" s="1" t="s">
        <v>816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5">
      <c r="A3009" s="1" t="s">
        <v>521</v>
      </c>
      <c r="B3009" s="1" t="s">
        <v>36</v>
      </c>
      <c r="C3009" s="1" t="s">
        <v>582</v>
      </c>
      <c r="D3009" s="1" t="s">
        <v>262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5">
      <c r="A3010" s="1" t="s">
        <v>521</v>
      </c>
      <c r="B3010" s="1" t="s">
        <v>37</v>
      </c>
      <c r="C3010" s="1" t="s">
        <v>583</v>
      </c>
      <c r="D3010" s="1" t="s">
        <v>262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5">
      <c r="A3011" s="1" t="s">
        <v>521</v>
      </c>
      <c r="B3011" s="1" t="s">
        <v>38</v>
      </c>
      <c r="C3011" s="1" t="s">
        <v>584</v>
      </c>
      <c r="D3011" s="1" t="s">
        <v>817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5">
      <c r="A3012" s="1" t="s">
        <v>521</v>
      </c>
      <c r="B3012" s="1" t="s">
        <v>39</v>
      </c>
      <c r="C3012" s="1" t="s">
        <v>585</v>
      </c>
      <c r="D3012" s="1" t="s">
        <v>133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5">
      <c r="A3013" s="1" t="s">
        <v>521</v>
      </c>
      <c r="B3013" s="1" t="s">
        <v>567</v>
      </c>
      <c r="C3013" s="1" t="s">
        <v>586</v>
      </c>
      <c r="D3013" s="1" t="s">
        <v>141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5">
      <c r="A3014" s="1" t="s">
        <v>521</v>
      </c>
      <c r="B3014" s="1" t="s">
        <v>568</v>
      </c>
      <c r="C3014" s="1" t="s">
        <v>587</v>
      </c>
      <c r="D3014" s="1" t="s">
        <v>95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5">
      <c r="A3015" s="1" t="s">
        <v>521</v>
      </c>
      <c r="B3015" s="1" t="s">
        <v>40</v>
      </c>
      <c r="C3015" s="1" t="s">
        <v>588</v>
      </c>
      <c r="D3015" s="1" t="s">
        <v>956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5">
      <c r="A3016" s="1" t="s">
        <v>521</v>
      </c>
      <c r="B3016" s="1" t="s">
        <v>569</v>
      </c>
      <c r="C3016" s="1" t="s">
        <v>589</v>
      </c>
      <c r="D3016" s="1" t="s">
        <v>78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5">
      <c r="A3017" s="1" t="s">
        <v>521</v>
      </c>
      <c r="B3017" s="1" t="s">
        <v>570</v>
      </c>
      <c r="C3017" s="1" t="s">
        <v>590</v>
      </c>
      <c r="D3017" s="1" t="s">
        <v>223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5">
      <c r="A3018" s="1" t="s">
        <v>521</v>
      </c>
      <c r="B3018" s="1" t="s">
        <v>571</v>
      </c>
      <c r="C3018" s="1" t="s">
        <v>591</v>
      </c>
      <c r="D3018" s="1" t="s">
        <v>95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5">
      <c r="A3019" s="1" t="s">
        <v>521</v>
      </c>
      <c r="B3019" s="1" t="s">
        <v>572</v>
      </c>
      <c r="C3019" s="1" t="s">
        <v>592</v>
      </c>
      <c r="D3019" s="1" t="s">
        <v>95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522</v>
      </c>
      <c r="B3020" s="1" t="s">
        <v>174</v>
      </c>
      <c r="C3020" s="1" t="s">
        <v>574</v>
      </c>
      <c r="D3020" s="1" t="s">
        <v>223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5">
      <c r="A3021" s="1" t="s">
        <v>522</v>
      </c>
      <c r="B3021" s="1" t="s">
        <v>563</v>
      </c>
      <c r="C3021" s="1" t="s">
        <v>575</v>
      </c>
      <c r="D3021" s="1" t="s">
        <v>95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522</v>
      </c>
      <c r="B3022" s="1" t="s">
        <v>564</v>
      </c>
      <c r="C3022" s="1" t="s">
        <v>576</v>
      </c>
      <c r="D3022" s="1" t="s">
        <v>600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5">
      <c r="A3023" s="1" t="s">
        <v>522</v>
      </c>
      <c r="B3023" s="1" t="s">
        <v>565</v>
      </c>
      <c r="C3023" s="1" t="s">
        <v>577</v>
      </c>
      <c r="D3023" s="1" t="s">
        <v>223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5">
      <c r="A3024" s="1" t="s">
        <v>522</v>
      </c>
      <c r="B3024" s="1" t="s">
        <v>33</v>
      </c>
      <c r="C3024" s="1" t="s">
        <v>579</v>
      </c>
      <c r="D3024" s="1" t="s">
        <v>957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522</v>
      </c>
      <c r="B3025" s="1" t="s">
        <v>34</v>
      </c>
      <c r="C3025" s="1" t="s">
        <v>580</v>
      </c>
      <c r="D3025" s="1" t="s">
        <v>958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5">
      <c r="A3026" s="1" t="s">
        <v>522</v>
      </c>
      <c r="B3026" s="1" t="s">
        <v>35</v>
      </c>
      <c r="C3026" s="1" t="s">
        <v>581</v>
      </c>
      <c r="D3026" s="1" t="s">
        <v>959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5">
      <c r="A3027" s="1" t="s">
        <v>522</v>
      </c>
      <c r="B3027" s="1" t="s">
        <v>36</v>
      </c>
      <c r="C3027" s="1" t="s">
        <v>582</v>
      </c>
      <c r="D3027" s="1" t="s">
        <v>122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522</v>
      </c>
      <c r="B3028" s="1" t="s">
        <v>37</v>
      </c>
      <c r="C3028" s="1" t="s">
        <v>583</v>
      </c>
      <c r="D3028" s="1" t="s">
        <v>227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5">
      <c r="A3029" s="1" t="s">
        <v>522</v>
      </c>
      <c r="B3029" s="1" t="s">
        <v>38</v>
      </c>
      <c r="C3029" s="1" t="s">
        <v>584</v>
      </c>
      <c r="D3029" s="1" t="s">
        <v>960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5">
      <c r="A3030" s="1" t="s">
        <v>522</v>
      </c>
      <c r="B3030" s="1" t="s">
        <v>39</v>
      </c>
      <c r="C3030" s="1" t="s">
        <v>585</v>
      </c>
      <c r="D3030" s="1" t="s">
        <v>352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5">
      <c r="A3031" s="1" t="s">
        <v>522</v>
      </c>
      <c r="B3031" s="1" t="s">
        <v>567</v>
      </c>
      <c r="C3031" s="1" t="s">
        <v>586</v>
      </c>
      <c r="D3031" s="1" t="s">
        <v>141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5">
      <c r="A3032" s="1" t="s">
        <v>522</v>
      </c>
      <c r="B3032" s="1" t="s">
        <v>568</v>
      </c>
      <c r="C3032" s="1" t="s">
        <v>587</v>
      </c>
      <c r="D3032" s="1" t="s">
        <v>95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5">
      <c r="A3033" s="1" t="s">
        <v>522</v>
      </c>
      <c r="B3033" s="1" t="s">
        <v>40</v>
      </c>
      <c r="C3033" s="1" t="s">
        <v>588</v>
      </c>
      <c r="D3033" s="1" t="s">
        <v>961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5">
      <c r="A3034" s="1" t="s">
        <v>522</v>
      </c>
      <c r="B3034" s="1" t="s">
        <v>569</v>
      </c>
      <c r="C3034" s="1" t="s">
        <v>589</v>
      </c>
      <c r="D3034" s="1" t="s">
        <v>78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5">
      <c r="A3035" s="1" t="s">
        <v>522</v>
      </c>
      <c r="B3035" s="1" t="s">
        <v>570</v>
      </c>
      <c r="C3035" s="1" t="s">
        <v>590</v>
      </c>
      <c r="D3035" s="1" t="s">
        <v>275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5">
      <c r="A3036" s="1" t="s">
        <v>522</v>
      </c>
      <c r="B3036" s="1" t="s">
        <v>571</v>
      </c>
      <c r="C3036" s="1" t="s">
        <v>591</v>
      </c>
      <c r="D3036" s="1" t="s">
        <v>95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5">
      <c r="A3037" s="1" t="s">
        <v>522</v>
      </c>
      <c r="B3037" s="1" t="s">
        <v>572</v>
      </c>
      <c r="C3037" s="1" t="s">
        <v>592</v>
      </c>
      <c r="D3037" s="1" t="s">
        <v>95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5">
      <c r="A3038" s="1" t="s">
        <v>435</v>
      </c>
      <c r="B3038" s="1" t="s">
        <v>33</v>
      </c>
      <c r="C3038" s="1" t="s">
        <v>579</v>
      </c>
      <c r="D3038" s="1" t="s">
        <v>962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5">
      <c r="A3039" s="1" t="s">
        <v>435</v>
      </c>
      <c r="B3039" s="1" t="s">
        <v>34</v>
      </c>
      <c r="C3039" s="1" t="s">
        <v>580</v>
      </c>
      <c r="D3039" s="1" t="s">
        <v>963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435</v>
      </c>
      <c r="B3040" s="1" t="s">
        <v>35</v>
      </c>
      <c r="C3040" s="1" t="s">
        <v>581</v>
      </c>
      <c r="D3040" s="1" t="s">
        <v>882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435</v>
      </c>
      <c r="B3041" s="1" t="s">
        <v>36</v>
      </c>
      <c r="C3041" s="1" t="s">
        <v>582</v>
      </c>
      <c r="D3041" s="1" t="s">
        <v>245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435</v>
      </c>
      <c r="B3042" s="1" t="s">
        <v>37</v>
      </c>
      <c r="C3042" s="1" t="s">
        <v>583</v>
      </c>
      <c r="D3042" s="1" t="s">
        <v>98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5">
      <c r="A3043" s="1" t="s">
        <v>435</v>
      </c>
      <c r="B3043" s="1" t="s">
        <v>38</v>
      </c>
      <c r="C3043" s="1" t="s">
        <v>584</v>
      </c>
      <c r="D3043" s="1" t="s">
        <v>601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5">
      <c r="A3044" s="1" t="s">
        <v>435</v>
      </c>
      <c r="B3044" s="1" t="s">
        <v>40</v>
      </c>
      <c r="C3044" s="1" t="s">
        <v>588</v>
      </c>
      <c r="D3044" s="1" t="s">
        <v>964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523</v>
      </c>
      <c r="B3045" s="1" t="s">
        <v>174</v>
      </c>
      <c r="C3045" s="1" t="s">
        <v>574</v>
      </c>
      <c r="D3045" s="1" t="s">
        <v>223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5">
      <c r="A3046" s="1" t="s">
        <v>523</v>
      </c>
      <c r="B3046" s="1" t="s">
        <v>563</v>
      </c>
      <c r="C3046" s="1" t="s">
        <v>575</v>
      </c>
      <c r="D3046" s="1" t="s">
        <v>95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5">
      <c r="A3047" s="1" t="s">
        <v>523</v>
      </c>
      <c r="B3047" s="1" t="s">
        <v>564</v>
      </c>
      <c r="C3047" s="1" t="s">
        <v>576</v>
      </c>
      <c r="D3047" s="1" t="s">
        <v>600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523</v>
      </c>
      <c r="B3048" s="1" t="s">
        <v>565</v>
      </c>
      <c r="C3048" s="1" t="s">
        <v>577</v>
      </c>
      <c r="D3048" s="1" t="s">
        <v>223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523</v>
      </c>
      <c r="B3049" s="1" t="s">
        <v>33</v>
      </c>
      <c r="C3049" s="1" t="s">
        <v>579</v>
      </c>
      <c r="D3049" s="1" t="s">
        <v>965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523</v>
      </c>
      <c r="B3050" s="1" t="s">
        <v>34</v>
      </c>
      <c r="C3050" s="1" t="s">
        <v>580</v>
      </c>
      <c r="D3050" s="1" t="s">
        <v>966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5">
      <c r="A3051" s="1" t="s">
        <v>523</v>
      </c>
      <c r="B3051" s="1" t="s">
        <v>35</v>
      </c>
      <c r="C3051" s="1" t="s">
        <v>581</v>
      </c>
      <c r="D3051" s="1" t="s">
        <v>967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5">
      <c r="A3052" s="1" t="s">
        <v>523</v>
      </c>
      <c r="B3052" s="1" t="s">
        <v>36</v>
      </c>
      <c r="C3052" s="1" t="s">
        <v>582</v>
      </c>
      <c r="D3052" s="1" t="s">
        <v>331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523</v>
      </c>
      <c r="B3053" s="1" t="s">
        <v>37</v>
      </c>
      <c r="C3053" s="1" t="s">
        <v>583</v>
      </c>
      <c r="D3053" s="1" t="s">
        <v>244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523</v>
      </c>
      <c r="B3054" s="1" t="s">
        <v>38</v>
      </c>
      <c r="C3054" s="1" t="s">
        <v>584</v>
      </c>
      <c r="D3054" s="1" t="s">
        <v>968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523</v>
      </c>
      <c r="B3055" s="1" t="s">
        <v>39</v>
      </c>
      <c r="C3055" s="1" t="s">
        <v>585</v>
      </c>
      <c r="D3055" s="1" t="s">
        <v>122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523</v>
      </c>
      <c r="B3056" s="1" t="s">
        <v>567</v>
      </c>
      <c r="C3056" s="1" t="s">
        <v>586</v>
      </c>
      <c r="D3056" s="1" t="s">
        <v>141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523</v>
      </c>
      <c r="B3057" s="1" t="s">
        <v>568</v>
      </c>
      <c r="C3057" s="1" t="s">
        <v>587</v>
      </c>
      <c r="D3057" s="1" t="s">
        <v>95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523</v>
      </c>
      <c r="B3058" s="1" t="s">
        <v>40</v>
      </c>
      <c r="C3058" s="1" t="s">
        <v>588</v>
      </c>
      <c r="D3058" s="1" t="s">
        <v>969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5">
      <c r="A3059" s="1" t="s">
        <v>523</v>
      </c>
      <c r="B3059" s="1" t="s">
        <v>569</v>
      </c>
      <c r="C3059" s="1" t="s">
        <v>589</v>
      </c>
      <c r="D3059" s="1" t="s">
        <v>78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523</v>
      </c>
      <c r="B3060" s="1" t="s">
        <v>570</v>
      </c>
      <c r="C3060" s="1" t="s">
        <v>590</v>
      </c>
      <c r="D3060" s="1" t="s">
        <v>275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523</v>
      </c>
      <c r="B3061" s="1" t="s">
        <v>571</v>
      </c>
      <c r="C3061" s="1" t="s">
        <v>591</v>
      </c>
      <c r="D3061" s="1" t="s">
        <v>223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523</v>
      </c>
      <c r="B3062" s="1" t="s">
        <v>572</v>
      </c>
      <c r="C3062" s="1" t="s">
        <v>592</v>
      </c>
      <c r="D3062" s="1" t="s">
        <v>95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5">
      <c r="A3063" s="1" t="s">
        <v>524</v>
      </c>
      <c r="B3063" s="1" t="s">
        <v>174</v>
      </c>
      <c r="C3063" s="1" t="s">
        <v>574</v>
      </c>
      <c r="D3063" s="1" t="s">
        <v>275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5">
      <c r="A3064" s="1" t="s">
        <v>524</v>
      </c>
      <c r="B3064" s="1" t="s">
        <v>563</v>
      </c>
      <c r="C3064" s="1" t="s">
        <v>575</v>
      </c>
      <c r="D3064" s="1" t="s">
        <v>95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524</v>
      </c>
      <c r="B3065" s="1" t="s">
        <v>564</v>
      </c>
      <c r="C3065" s="1" t="s">
        <v>576</v>
      </c>
      <c r="D3065" s="1" t="s">
        <v>594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5">
      <c r="A3066" s="1" t="s">
        <v>524</v>
      </c>
      <c r="B3066" s="1" t="s">
        <v>565</v>
      </c>
      <c r="C3066" s="1" t="s">
        <v>577</v>
      </c>
      <c r="D3066" s="1" t="s">
        <v>232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5">
      <c r="A3067" s="1" t="s">
        <v>524</v>
      </c>
      <c r="B3067" s="1" t="s">
        <v>33</v>
      </c>
      <c r="C3067" s="1" t="s">
        <v>579</v>
      </c>
      <c r="D3067" s="1" t="s">
        <v>970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524</v>
      </c>
      <c r="B3068" s="1" t="s">
        <v>34</v>
      </c>
      <c r="C3068" s="1" t="s">
        <v>580</v>
      </c>
      <c r="D3068" s="1" t="s">
        <v>971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5">
      <c r="A3069" s="1" t="s">
        <v>524</v>
      </c>
      <c r="B3069" s="1" t="s">
        <v>35</v>
      </c>
      <c r="C3069" s="1" t="s">
        <v>581</v>
      </c>
      <c r="D3069" s="1" t="s">
        <v>972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5">
      <c r="A3070" s="1" t="s">
        <v>524</v>
      </c>
      <c r="B3070" s="1" t="s">
        <v>36</v>
      </c>
      <c r="C3070" s="1" t="s">
        <v>582</v>
      </c>
      <c r="D3070" s="1" t="s">
        <v>122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5">
      <c r="A3071" s="1" t="s">
        <v>524</v>
      </c>
      <c r="B3071" s="1" t="s">
        <v>37</v>
      </c>
      <c r="C3071" s="1" t="s">
        <v>583</v>
      </c>
      <c r="D3071" s="1" t="s">
        <v>227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5">
      <c r="A3072" s="1" t="s">
        <v>524</v>
      </c>
      <c r="B3072" s="1" t="s">
        <v>38</v>
      </c>
      <c r="C3072" s="1" t="s">
        <v>584</v>
      </c>
      <c r="D3072" s="1" t="s">
        <v>960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5">
      <c r="A3073" s="1" t="s">
        <v>524</v>
      </c>
      <c r="B3073" s="1" t="s">
        <v>39</v>
      </c>
      <c r="C3073" s="1" t="s">
        <v>585</v>
      </c>
      <c r="D3073" s="1" t="s">
        <v>244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5">
      <c r="A3074" s="1" t="s">
        <v>524</v>
      </c>
      <c r="B3074" s="1" t="s">
        <v>568</v>
      </c>
      <c r="C3074" s="1" t="s">
        <v>587</v>
      </c>
      <c r="D3074" s="1" t="s">
        <v>95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5">
      <c r="A3075" s="1" t="s">
        <v>524</v>
      </c>
      <c r="B3075" s="1" t="s">
        <v>40</v>
      </c>
      <c r="C3075" s="1" t="s">
        <v>588</v>
      </c>
      <c r="D3075" s="1" t="s">
        <v>973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5">
      <c r="A3076" s="1" t="s">
        <v>524</v>
      </c>
      <c r="B3076" s="1" t="s">
        <v>569</v>
      </c>
      <c r="C3076" s="1" t="s">
        <v>589</v>
      </c>
      <c r="D3076" s="1" t="s">
        <v>78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5">
      <c r="A3077" s="1" t="s">
        <v>524</v>
      </c>
      <c r="B3077" s="1" t="s">
        <v>570</v>
      </c>
      <c r="C3077" s="1" t="s">
        <v>590</v>
      </c>
      <c r="D3077" s="1" t="s">
        <v>275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5">
      <c r="A3078" s="1" t="s">
        <v>524</v>
      </c>
      <c r="B3078" s="1" t="s">
        <v>571</v>
      </c>
      <c r="C3078" s="1" t="s">
        <v>591</v>
      </c>
      <c r="D3078" s="1" t="s">
        <v>223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5">
      <c r="A3079" s="1" t="s">
        <v>524</v>
      </c>
      <c r="B3079" s="1" t="s">
        <v>572</v>
      </c>
      <c r="C3079" s="1" t="s">
        <v>592</v>
      </c>
      <c r="D3079" s="1" t="s">
        <v>95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533</v>
      </c>
      <c r="B3080" s="1" t="s">
        <v>174</v>
      </c>
      <c r="C3080" s="1" t="s">
        <v>574</v>
      </c>
      <c r="D3080" s="1" t="s">
        <v>97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533</v>
      </c>
      <c r="B3081" s="1" t="s">
        <v>563</v>
      </c>
      <c r="C3081" s="1" t="s">
        <v>575</v>
      </c>
      <c r="D3081" s="1" t="s">
        <v>223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533</v>
      </c>
      <c r="B3082" s="1" t="s">
        <v>564</v>
      </c>
      <c r="C3082" s="1" t="s">
        <v>576</v>
      </c>
      <c r="D3082" s="1" t="s">
        <v>974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5">
      <c r="A3083" s="1" t="s">
        <v>533</v>
      </c>
      <c r="B3083" s="1" t="s">
        <v>565</v>
      </c>
      <c r="C3083" s="1" t="s">
        <v>577</v>
      </c>
      <c r="D3083" s="1" t="s">
        <v>145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5">
      <c r="A3084" s="1" t="s">
        <v>533</v>
      </c>
      <c r="B3084" s="1" t="s">
        <v>566</v>
      </c>
      <c r="C3084" s="1" t="s">
        <v>578</v>
      </c>
      <c r="D3084" s="1" t="s">
        <v>95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533</v>
      </c>
      <c r="B3085" s="1" t="s">
        <v>33</v>
      </c>
      <c r="C3085" s="1" t="s">
        <v>579</v>
      </c>
      <c r="D3085" s="1" t="s">
        <v>975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5">
      <c r="A3086" s="1" t="s">
        <v>533</v>
      </c>
      <c r="B3086" s="1" t="s">
        <v>34</v>
      </c>
      <c r="C3086" s="1" t="s">
        <v>580</v>
      </c>
      <c r="D3086" s="1" t="s">
        <v>976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5">
      <c r="A3087" s="1" t="s">
        <v>533</v>
      </c>
      <c r="B3087" s="1" t="s">
        <v>35</v>
      </c>
      <c r="C3087" s="1" t="s">
        <v>581</v>
      </c>
      <c r="D3087" s="1" t="s">
        <v>977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 t="s">
        <v>533</v>
      </c>
      <c r="B3088" s="1" t="s">
        <v>36</v>
      </c>
      <c r="C3088" s="1" t="s">
        <v>582</v>
      </c>
      <c r="D3088" s="1" t="s">
        <v>773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5">
      <c r="A3089" s="1" t="s">
        <v>533</v>
      </c>
      <c r="B3089" s="1" t="s">
        <v>37</v>
      </c>
      <c r="C3089" s="1" t="s">
        <v>583</v>
      </c>
      <c r="D3089" s="1" t="s">
        <v>306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5">
      <c r="A3090" s="1" t="s">
        <v>533</v>
      </c>
      <c r="B3090" s="1" t="s">
        <v>38</v>
      </c>
      <c r="C3090" s="1" t="s">
        <v>584</v>
      </c>
      <c r="D3090" s="1" t="s">
        <v>978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5">
      <c r="A3091" s="1" t="s">
        <v>533</v>
      </c>
      <c r="B3091" s="1" t="s">
        <v>39</v>
      </c>
      <c r="C3091" s="1" t="s">
        <v>585</v>
      </c>
      <c r="D3091" s="1" t="s">
        <v>331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5">
      <c r="A3092" s="1" t="s">
        <v>533</v>
      </c>
      <c r="B3092" s="1" t="s">
        <v>567</v>
      </c>
      <c r="C3092" s="1" t="s">
        <v>586</v>
      </c>
      <c r="D3092" s="1" t="s">
        <v>600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5">
      <c r="A3093" s="1" t="s">
        <v>533</v>
      </c>
      <c r="B3093" s="1" t="s">
        <v>568</v>
      </c>
      <c r="C3093" s="1" t="s">
        <v>587</v>
      </c>
      <c r="D3093" s="1" t="s">
        <v>95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5">
      <c r="A3094" s="1" t="s">
        <v>533</v>
      </c>
      <c r="B3094" s="1" t="s">
        <v>40</v>
      </c>
      <c r="C3094" s="1" t="s">
        <v>588</v>
      </c>
      <c r="D3094" s="1" t="s">
        <v>979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5">
      <c r="A3095" s="1" t="s">
        <v>533</v>
      </c>
      <c r="B3095" s="1" t="s">
        <v>569</v>
      </c>
      <c r="C3095" s="1" t="s">
        <v>589</v>
      </c>
      <c r="D3095" s="1" t="s">
        <v>223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5">
      <c r="A3096" s="1" t="s">
        <v>533</v>
      </c>
      <c r="B3096" s="1" t="s">
        <v>570</v>
      </c>
      <c r="C3096" s="1" t="s">
        <v>590</v>
      </c>
      <c r="D3096" s="1" t="s">
        <v>232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5">
      <c r="A3097" s="1" t="s">
        <v>533</v>
      </c>
      <c r="B3097" s="1" t="s">
        <v>571</v>
      </c>
      <c r="C3097" s="1" t="s">
        <v>591</v>
      </c>
      <c r="D3097" s="1" t="s">
        <v>145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5">
      <c r="A3098" s="1" t="s">
        <v>533</v>
      </c>
      <c r="B3098" s="1" t="s">
        <v>572</v>
      </c>
      <c r="C3098" s="1" t="s">
        <v>592</v>
      </c>
      <c r="D3098" s="1" t="s">
        <v>95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5">
      <c r="A3099" s="1" t="s">
        <v>533</v>
      </c>
      <c r="B3099" s="1" t="s">
        <v>573</v>
      </c>
      <c r="C3099" s="1" t="s">
        <v>593</v>
      </c>
      <c r="D3099" s="1" t="s">
        <v>95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 t="s">
        <v>534</v>
      </c>
      <c r="B3100" s="1" t="s">
        <v>174</v>
      </c>
      <c r="C3100" s="1" t="s">
        <v>574</v>
      </c>
      <c r="D3100" s="1" t="s">
        <v>230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 t="s">
        <v>534</v>
      </c>
      <c r="B3101" s="1" t="s">
        <v>563</v>
      </c>
      <c r="C3101" s="1" t="s">
        <v>575</v>
      </c>
      <c r="D3101" s="1" t="s">
        <v>223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 t="s">
        <v>534</v>
      </c>
      <c r="B3102" s="1" t="s">
        <v>564</v>
      </c>
      <c r="C3102" s="1" t="s">
        <v>576</v>
      </c>
      <c r="D3102" s="1" t="s">
        <v>980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5">
      <c r="A3103" s="1" t="s">
        <v>534</v>
      </c>
      <c r="B3103" s="1" t="s">
        <v>565</v>
      </c>
      <c r="C3103" s="1" t="s">
        <v>577</v>
      </c>
      <c r="D3103" s="1" t="s">
        <v>417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5">
      <c r="A3104" s="1" t="s">
        <v>534</v>
      </c>
      <c r="B3104" s="1" t="s">
        <v>566</v>
      </c>
      <c r="C3104" s="1" t="s">
        <v>578</v>
      </c>
      <c r="D3104" s="1" t="s">
        <v>95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 t="s">
        <v>534</v>
      </c>
      <c r="B3105" s="1" t="s">
        <v>33</v>
      </c>
      <c r="C3105" s="1" t="s">
        <v>579</v>
      </c>
      <c r="D3105" s="1" t="s">
        <v>981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5">
      <c r="A3106" s="1" t="s">
        <v>534</v>
      </c>
      <c r="B3106" s="1" t="s">
        <v>34</v>
      </c>
      <c r="C3106" s="1" t="s">
        <v>580</v>
      </c>
      <c r="D3106" s="1" t="s">
        <v>982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5">
      <c r="A3107" s="1" t="s">
        <v>534</v>
      </c>
      <c r="B3107" s="1" t="s">
        <v>35</v>
      </c>
      <c r="C3107" s="1" t="s">
        <v>581</v>
      </c>
      <c r="D3107" s="1" t="s">
        <v>983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 t="s">
        <v>534</v>
      </c>
      <c r="B3108" s="1" t="s">
        <v>36</v>
      </c>
      <c r="C3108" s="1" t="s">
        <v>582</v>
      </c>
      <c r="D3108" s="1" t="s">
        <v>984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5">
      <c r="A3109" s="1" t="s">
        <v>534</v>
      </c>
      <c r="B3109" s="1" t="s">
        <v>37</v>
      </c>
      <c r="C3109" s="1" t="s">
        <v>583</v>
      </c>
      <c r="D3109" s="1" t="s">
        <v>288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5">
      <c r="A3110" s="1" t="s">
        <v>534</v>
      </c>
      <c r="B3110" s="1" t="s">
        <v>38</v>
      </c>
      <c r="C3110" s="1" t="s">
        <v>584</v>
      </c>
      <c r="D3110" s="1" t="s">
        <v>985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5">
      <c r="A3111" s="1" t="s">
        <v>534</v>
      </c>
      <c r="B3111" s="1" t="s">
        <v>39</v>
      </c>
      <c r="C3111" s="1" t="s">
        <v>585</v>
      </c>
      <c r="D3111" s="1" t="s">
        <v>986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5">
      <c r="A3112" s="1" t="s">
        <v>534</v>
      </c>
      <c r="B3112" s="1" t="s">
        <v>567</v>
      </c>
      <c r="C3112" s="1" t="s">
        <v>586</v>
      </c>
      <c r="D3112" s="1" t="s">
        <v>987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5">
      <c r="A3113" s="1" t="s">
        <v>534</v>
      </c>
      <c r="B3113" s="1" t="s">
        <v>568</v>
      </c>
      <c r="C3113" s="1" t="s">
        <v>587</v>
      </c>
      <c r="D3113" s="1" t="s">
        <v>223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5">
      <c r="A3114" s="1" t="s">
        <v>534</v>
      </c>
      <c r="B3114" s="1" t="s">
        <v>40</v>
      </c>
      <c r="C3114" s="1" t="s">
        <v>588</v>
      </c>
      <c r="D3114" s="1" t="s">
        <v>988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5">
      <c r="A3115" s="1" t="s">
        <v>534</v>
      </c>
      <c r="B3115" s="1" t="s">
        <v>569</v>
      </c>
      <c r="C3115" s="1" t="s">
        <v>589</v>
      </c>
      <c r="D3115" s="1" t="s">
        <v>97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5">
      <c r="A3116" s="1" t="s">
        <v>534</v>
      </c>
      <c r="B3116" s="1" t="s">
        <v>570</v>
      </c>
      <c r="C3116" s="1" t="s">
        <v>590</v>
      </c>
      <c r="D3116" s="1" t="s">
        <v>122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5">
      <c r="A3117" s="1" t="s">
        <v>534</v>
      </c>
      <c r="B3117" s="1" t="s">
        <v>571</v>
      </c>
      <c r="C3117" s="1" t="s">
        <v>591</v>
      </c>
      <c r="D3117" s="1" t="s">
        <v>287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5">
      <c r="A3118" s="1" t="s">
        <v>534</v>
      </c>
      <c r="B3118" s="1" t="s">
        <v>572</v>
      </c>
      <c r="C3118" s="1" t="s">
        <v>592</v>
      </c>
      <c r="D3118" s="1" t="s">
        <v>223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5">
      <c r="A3119" s="1" t="s">
        <v>534</v>
      </c>
      <c r="B3119" s="1" t="s">
        <v>573</v>
      </c>
      <c r="C3119" s="1" t="s">
        <v>593</v>
      </c>
      <c r="D3119" s="1" t="s">
        <v>78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535</v>
      </c>
      <c r="B3120" s="1" t="s">
        <v>174</v>
      </c>
      <c r="C3120" s="1" t="s">
        <v>574</v>
      </c>
      <c r="D3120" s="1" t="s">
        <v>78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535</v>
      </c>
      <c r="B3121" s="1" t="s">
        <v>563</v>
      </c>
      <c r="C3121" s="1" t="s">
        <v>575</v>
      </c>
      <c r="D3121" s="1" t="s">
        <v>78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535</v>
      </c>
      <c r="B3122" s="1" t="s">
        <v>564</v>
      </c>
      <c r="C3122" s="1" t="s">
        <v>576</v>
      </c>
      <c r="D3122" s="1" t="s">
        <v>141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5">
      <c r="A3123" s="1" t="s">
        <v>535</v>
      </c>
      <c r="B3123" s="1" t="s">
        <v>565</v>
      </c>
      <c r="C3123" s="1" t="s">
        <v>577</v>
      </c>
      <c r="D3123" s="1" t="s">
        <v>95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5">
      <c r="A3124" s="1" t="s">
        <v>535</v>
      </c>
      <c r="B3124" s="1" t="s">
        <v>566</v>
      </c>
      <c r="C3124" s="1" t="s">
        <v>578</v>
      </c>
      <c r="D3124" s="1" t="s">
        <v>95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535</v>
      </c>
      <c r="B3125" s="1" t="s">
        <v>33</v>
      </c>
      <c r="C3125" s="1" t="s">
        <v>579</v>
      </c>
      <c r="D3125" s="1" t="s">
        <v>989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535</v>
      </c>
      <c r="B3126" s="1" t="s">
        <v>34</v>
      </c>
      <c r="C3126" s="1" t="s">
        <v>580</v>
      </c>
      <c r="D3126" s="1" t="s">
        <v>990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535</v>
      </c>
      <c r="B3127" s="1" t="s">
        <v>35</v>
      </c>
      <c r="C3127" s="1" t="s">
        <v>581</v>
      </c>
      <c r="D3127" s="1" t="s">
        <v>991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535</v>
      </c>
      <c r="B3128" s="1" t="s">
        <v>36</v>
      </c>
      <c r="C3128" s="1" t="s">
        <v>582</v>
      </c>
      <c r="D3128" s="1" t="s">
        <v>290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535</v>
      </c>
      <c r="B3129" s="1" t="s">
        <v>37</v>
      </c>
      <c r="C3129" s="1" t="s">
        <v>583</v>
      </c>
      <c r="D3129" s="1" t="s">
        <v>331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535</v>
      </c>
      <c r="B3130" s="1" t="s">
        <v>38</v>
      </c>
      <c r="C3130" s="1" t="s">
        <v>584</v>
      </c>
      <c r="D3130" s="1" t="s">
        <v>992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5">
      <c r="A3131" s="1" t="s">
        <v>535</v>
      </c>
      <c r="B3131" s="1" t="s">
        <v>39</v>
      </c>
      <c r="C3131" s="1" t="s">
        <v>585</v>
      </c>
      <c r="D3131" s="1" t="s">
        <v>287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5">
      <c r="A3132" s="1" t="s">
        <v>535</v>
      </c>
      <c r="B3132" s="1" t="s">
        <v>567</v>
      </c>
      <c r="C3132" s="1" t="s">
        <v>586</v>
      </c>
      <c r="D3132" s="1" t="s">
        <v>993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5">
      <c r="A3133" s="1" t="s">
        <v>535</v>
      </c>
      <c r="B3133" s="1" t="s">
        <v>568</v>
      </c>
      <c r="C3133" s="1" t="s">
        <v>587</v>
      </c>
      <c r="D3133" s="1" t="s">
        <v>78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5">
      <c r="A3134" s="1" t="s">
        <v>535</v>
      </c>
      <c r="B3134" s="1" t="s">
        <v>40</v>
      </c>
      <c r="C3134" s="1" t="s">
        <v>588</v>
      </c>
      <c r="D3134" s="1" t="s">
        <v>994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5">
      <c r="A3135" s="1" t="s">
        <v>535</v>
      </c>
      <c r="B3135" s="1" t="s">
        <v>569</v>
      </c>
      <c r="C3135" s="1" t="s">
        <v>589</v>
      </c>
      <c r="D3135" s="1" t="s">
        <v>78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5">
      <c r="A3136" s="1" t="s">
        <v>535</v>
      </c>
      <c r="B3136" s="1" t="s">
        <v>570</v>
      </c>
      <c r="C3136" s="1" t="s">
        <v>590</v>
      </c>
      <c r="D3136" s="1" t="s">
        <v>95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5">
      <c r="A3137" s="1" t="s">
        <v>535</v>
      </c>
      <c r="B3137" s="1" t="s">
        <v>571</v>
      </c>
      <c r="C3137" s="1" t="s">
        <v>591</v>
      </c>
      <c r="D3137" s="1" t="s">
        <v>245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5">
      <c r="A3138" s="1" t="s">
        <v>535</v>
      </c>
      <c r="B3138" s="1" t="s">
        <v>572</v>
      </c>
      <c r="C3138" s="1" t="s">
        <v>592</v>
      </c>
      <c r="D3138" s="1" t="s">
        <v>78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5">
      <c r="A3139" s="1" t="s">
        <v>535</v>
      </c>
      <c r="B3139" s="1" t="s">
        <v>573</v>
      </c>
      <c r="C3139" s="1" t="s">
        <v>593</v>
      </c>
      <c r="D3139" s="1" t="s">
        <v>78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536</v>
      </c>
      <c r="B3140" s="1" t="s">
        <v>174</v>
      </c>
      <c r="C3140" s="1" t="s">
        <v>574</v>
      </c>
      <c r="D3140" s="1" t="s">
        <v>145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536</v>
      </c>
      <c r="B3141" s="1" t="s">
        <v>563</v>
      </c>
      <c r="C3141" s="1" t="s">
        <v>575</v>
      </c>
      <c r="D3141" s="1" t="s">
        <v>95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536</v>
      </c>
      <c r="B3142" s="1" t="s">
        <v>564</v>
      </c>
      <c r="C3142" s="1" t="s">
        <v>576</v>
      </c>
      <c r="D3142" s="1" t="s">
        <v>974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5">
      <c r="A3143" s="1" t="s">
        <v>536</v>
      </c>
      <c r="B3143" s="1" t="s">
        <v>565</v>
      </c>
      <c r="C3143" s="1" t="s">
        <v>577</v>
      </c>
      <c r="D3143" s="1" t="s">
        <v>98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5">
      <c r="A3144" s="1" t="s">
        <v>536</v>
      </c>
      <c r="B3144" s="1" t="s">
        <v>566</v>
      </c>
      <c r="C3144" s="1" t="s">
        <v>578</v>
      </c>
      <c r="D3144" s="1" t="s">
        <v>78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536</v>
      </c>
      <c r="B3145" s="1" t="s">
        <v>33</v>
      </c>
      <c r="C3145" s="1" t="s">
        <v>579</v>
      </c>
      <c r="D3145" s="1" t="s">
        <v>995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5">
      <c r="A3146" s="1" t="s">
        <v>536</v>
      </c>
      <c r="B3146" s="1" t="s">
        <v>34</v>
      </c>
      <c r="C3146" s="1" t="s">
        <v>580</v>
      </c>
      <c r="D3146" s="1" t="s">
        <v>996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5">
      <c r="A3147" s="1" t="s">
        <v>536</v>
      </c>
      <c r="B3147" s="1" t="s">
        <v>35</v>
      </c>
      <c r="C3147" s="1" t="s">
        <v>581</v>
      </c>
      <c r="D3147" s="1" t="s">
        <v>997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536</v>
      </c>
      <c r="B3148" s="1" t="s">
        <v>36</v>
      </c>
      <c r="C3148" s="1" t="s">
        <v>582</v>
      </c>
      <c r="D3148" s="1" t="s">
        <v>747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5">
      <c r="A3149" s="1" t="s">
        <v>536</v>
      </c>
      <c r="B3149" s="1" t="s">
        <v>37</v>
      </c>
      <c r="C3149" s="1" t="s">
        <v>583</v>
      </c>
      <c r="D3149" s="1" t="s">
        <v>249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5">
      <c r="A3150" s="1" t="s">
        <v>536</v>
      </c>
      <c r="B3150" s="1" t="s">
        <v>38</v>
      </c>
      <c r="C3150" s="1" t="s">
        <v>584</v>
      </c>
      <c r="D3150" s="1" t="s">
        <v>998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5">
      <c r="A3151" s="1" t="s">
        <v>536</v>
      </c>
      <c r="B3151" s="1" t="s">
        <v>39</v>
      </c>
      <c r="C3151" s="1" t="s">
        <v>585</v>
      </c>
      <c r="D3151" s="1" t="s">
        <v>733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5">
      <c r="A3152" s="1" t="s">
        <v>536</v>
      </c>
      <c r="B3152" s="1" t="s">
        <v>567</v>
      </c>
      <c r="C3152" s="1" t="s">
        <v>586</v>
      </c>
      <c r="D3152" s="1" t="s">
        <v>92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5">
      <c r="A3153" s="1" t="s">
        <v>536</v>
      </c>
      <c r="B3153" s="1" t="s">
        <v>568</v>
      </c>
      <c r="C3153" s="1" t="s">
        <v>587</v>
      </c>
      <c r="D3153" s="1" t="s">
        <v>78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5">
      <c r="A3154" s="1" t="s">
        <v>536</v>
      </c>
      <c r="B3154" s="1" t="s">
        <v>40</v>
      </c>
      <c r="C3154" s="1" t="s">
        <v>588</v>
      </c>
      <c r="D3154" s="1" t="s">
        <v>999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5">
      <c r="A3155" s="1" t="s">
        <v>536</v>
      </c>
      <c r="B3155" s="1" t="s">
        <v>569</v>
      </c>
      <c r="C3155" s="1" t="s">
        <v>589</v>
      </c>
      <c r="D3155" s="1" t="s">
        <v>95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5">
      <c r="A3156" s="1" t="s">
        <v>536</v>
      </c>
      <c r="B3156" s="1" t="s">
        <v>570</v>
      </c>
      <c r="C3156" s="1" t="s">
        <v>590</v>
      </c>
      <c r="D3156" s="1" t="s">
        <v>98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5">
      <c r="A3157" s="1" t="s">
        <v>536</v>
      </c>
      <c r="B3157" s="1" t="s">
        <v>571</v>
      </c>
      <c r="C3157" s="1" t="s">
        <v>591</v>
      </c>
      <c r="D3157" s="1" t="s">
        <v>98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5">
      <c r="A3158" s="1" t="s">
        <v>536</v>
      </c>
      <c r="B3158" s="1" t="s">
        <v>572</v>
      </c>
      <c r="C3158" s="1" t="s">
        <v>592</v>
      </c>
      <c r="D3158" s="1" t="s">
        <v>78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5">
      <c r="A3159" s="1" t="s">
        <v>536</v>
      </c>
      <c r="B3159" s="1" t="s">
        <v>573</v>
      </c>
      <c r="C3159" s="1" t="s">
        <v>593</v>
      </c>
      <c r="D3159" s="1" t="s">
        <v>95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537</v>
      </c>
      <c r="B3160" s="1" t="s">
        <v>174</v>
      </c>
      <c r="C3160" s="1" t="s">
        <v>574</v>
      </c>
      <c r="D3160" s="1" t="s">
        <v>78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5">
      <c r="A3161" s="1" t="s">
        <v>537</v>
      </c>
      <c r="B3161" s="1" t="s">
        <v>563</v>
      </c>
      <c r="C3161" s="1" t="s">
        <v>575</v>
      </c>
      <c r="D3161" s="1" t="s">
        <v>78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537</v>
      </c>
      <c r="B3162" s="1" t="s">
        <v>564</v>
      </c>
      <c r="C3162" s="1" t="s">
        <v>576</v>
      </c>
      <c r="D3162" s="1" t="s">
        <v>141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5">
      <c r="A3163" s="1" t="s">
        <v>537</v>
      </c>
      <c r="B3163" s="1" t="s">
        <v>565</v>
      </c>
      <c r="C3163" s="1" t="s">
        <v>577</v>
      </c>
      <c r="D3163" s="1" t="s">
        <v>95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5">
      <c r="A3164" s="1" t="s">
        <v>537</v>
      </c>
      <c r="B3164" s="1" t="s">
        <v>566</v>
      </c>
      <c r="C3164" s="1" t="s">
        <v>578</v>
      </c>
      <c r="D3164" s="1" t="s">
        <v>78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537</v>
      </c>
      <c r="B3165" s="1" t="s">
        <v>33</v>
      </c>
      <c r="C3165" s="1" t="s">
        <v>579</v>
      </c>
      <c r="D3165" s="1" t="s">
        <v>595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5">
      <c r="A3166" s="1" t="s">
        <v>537</v>
      </c>
      <c r="B3166" s="1" t="s">
        <v>34</v>
      </c>
      <c r="C3166" s="1" t="s">
        <v>580</v>
      </c>
      <c r="D3166" s="1" t="s">
        <v>1000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5">
      <c r="A3167" s="1" t="s">
        <v>537</v>
      </c>
      <c r="B3167" s="1" t="s">
        <v>35</v>
      </c>
      <c r="C3167" s="1" t="s">
        <v>581</v>
      </c>
      <c r="D3167" s="1" t="s">
        <v>401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537</v>
      </c>
      <c r="B3168" s="1" t="s">
        <v>36</v>
      </c>
      <c r="C3168" s="1" t="s">
        <v>582</v>
      </c>
      <c r="D3168" s="1" t="s">
        <v>287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5">
      <c r="A3169" s="1" t="s">
        <v>537</v>
      </c>
      <c r="B3169" s="1" t="s">
        <v>37</v>
      </c>
      <c r="C3169" s="1" t="s">
        <v>583</v>
      </c>
      <c r="D3169" s="1" t="s">
        <v>134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5">
      <c r="A3170" s="1" t="s">
        <v>537</v>
      </c>
      <c r="B3170" s="1" t="s">
        <v>38</v>
      </c>
      <c r="C3170" s="1" t="s">
        <v>584</v>
      </c>
      <c r="D3170" s="1" t="s">
        <v>1001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5">
      <c r="A3171" s="1" t="s">
        <v>537</v>
      </c>
      <c r="B3171" s="1" t="s">
        <v>39</v>
      </c>
      <c r="C3171" s="1" t="s">
        <v>585</v>
      </c>
      <c r="D3171" s="1" t="s">
        <v>134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5">
      <c r="A3172" s="1" t="s">
        <v>537</v>
      </c>
      <c r="B3172" s="1" t="s">
        <v>567</v>
      </c>
      <c r="C3172" s="1" t="s">
        <v>586</v>
      </c>
      <c r="D3172" s="1" t="s">
        <v>92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5">
      <c r="A3173" s="1" t="s">
        <v>537</v>
      </c>
      <c r="B3173" s="1" t="s">
        <v>568</v>
      </c>
      <c r="C3173" s="1" t="s">
        <v>587</v>
      </c>
      <c r="D3173" s="1" t="s">
        <v>78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5">
      <c r="A3174" s="1" t="s">
        <v>537</v>
      </c>
      <c r="B3174" s="1" t="s">
        <v>40</v>
      </c>
      <c r="C3174" s="1" t="s">
        <v>588</v>
      </c>
      <c r="D3174" s="1" t="s">
        <v>1002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5">
      <c r="A3175" s="1" t="s">
        <v>537</v>
      </c>
      <c r="B3175" s="1" t="s">
        <v>569</v>
      </c>
      <c r="C3175" s="1" t="s">
        <v>589</v>
      </c>
      <c r="D3175" s="1" t="s">
        <v>78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5">
      <c r="A3176" s="1" t="s">
        <v>537</v>
      </c>
      <c r="B3176" s="1" t="s">
        <v>570</v>
      </c>
      <c r="C3176" s="1" t="s">
        <v>590</v>
      </c>
      <c r="D3176" s="1" t="s">
        <v>95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5">
      <c r="A3177" s="1" t="s">
        <v>537</v>
      </c>
      <c r="B3177" s="1" t="s">
        <v>571</v>
      </c>
      <c r="C3177" s="1" t="s">
        <v>591</v>
      </c>
      <c r="D3177" s="1" t="s">
        <v>275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5">
      <c r="A3178" s="1" t="s">
        <v>537</v>
      </c>
      <c r="B3178" s="1" t="s">
        <v>572</v>
      </c>
      <c r="C3178" s="1" t="s">
        <v>592</v>
      </c>
      <c r="D3178" s="1" t="s">
        <v>78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5">
      <c r="A3179" s="1" t="s">
        <v>537</v>
      </c>
      <c r="B3179" s="1" t="s">
        <v>573</v>
      </c>
      <c r="C3179" s="1" t="s">
        <v>593</v>
      </c>
      <c r="D3179" s="1" t="s">
        <v>95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538</v>
      </c>
      <c r="B3180" s="1" t="s">
        <v>174</v>
      </c>
      <c r="C3180" s="1" t="s">
        <v>574</v>
      </c>
      <c r="D3180" s="1" t="s">
        <v>78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5">
      <c r="A3181" s="1" t="s">
        <v>538</v>
      </c>
      <c r="B3181" s="1" t="s">
        <v>563</v>
      </c>
      <c r="C3181" s="1" t="s">
        <v>575</v>
      </c>
      <c r="D3181" s="1" t="s">
        <v>78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538</v>
      </c>
      <c r="B3182" s="1" t="s">
        <v>564</v>
      </c>
      <c r="C3182" s="1" t="s">
        <v>576</v>
      </c>
      <c r="D3182" s="1" t="s">
        <v>310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5">
      <c r="A3183" s="1" t="s">
        <v>538</v>
      </c>
      <c r="B3183" s="1" t="s">
        <v>565</v>
      </c>
      <c r="C3183" s="1" t="s">
        <v>577</v>
      </c>
      <c r="D3183" s="1" t="s">
        <v>232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5">
      <c r="A3184" s="1" t="s">
        <v>538</v>
      </c>
      <c r="B3184" s="1" t="s">
        <v>566</v>
      </c>
      <c r="C3184" s="1" t="s">
        <v>578</v>
      </c>
      <c r="D3184" s="1" t="s">
        <v>78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538</v>
      </c>
      <c r="B3185" s="1" t="s">
        <v>33</v>
      </c>
      <c r="C3185" s="1" t="s">
        <v>579</v>
      </c>
      <c r="D3185" s="1" t="s">
        <v>1003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5">
      <c r="A3186" s="1" t="s">
        <v>538</v>
      </c>
      <c r="B3186" s="1" t="s">
        <v>34</v>
      </c>
      <c r="C3186" s="1" t="s">
        <v>580</v>
      </c>
      <c r="D3186" s="1" t="s">
        <v>1004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5">
      <c r="A3187" s="1" t="s">
        <v>538</v>
      </c>
      <c r="B3187" s="1" t="s">
        <v>35</v>
      </c>
      <c r="C3187" s="1" t="s">
        <v>581</v>
      </c>
      <c r="D3187" s="1" t="s">
        <v>1005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538</v>
      </c>
      <c r="B3188" s="1" t="s">
        <v>36</v>
      </c>
      <c r="C3188" s="1" t="s">
        <v>582</v>
      </c>
      <c r="D3188" s="1" t="s">
        <v>286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5">
      <c r="A3189" s="1" t="s">
        <v>538</v>
      </c>
      <c r="B3189" s="1" t="s">
        <v>37</v>
      </c>
      <c r="C3189" s="1" t="s">
        <v>583</v>
      </c>
      <c r="D3189" s="1" t="s">
        <v>352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538</v>
      </c>
      <c r="B3190" s="1" t="s">
        <v>38</v>
      </c>
      <c r="C3190" s="1" t="s">
        <v>584</v>
      </c>
      <c r="D3190" s="1" t="s">
        <v>1006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5">
      <c r="A3191" s="1" t="s">
        <v>538</v>
      </c>
      <c r="B3191" s="1" t="s">
        <v>39</v>
      </c>
      <c r="C3191" s="1" t="s">
        <v>585</v>
      </c>
      <c r="D3191" s="1" t="s">
        <v>228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538</v>
      </c>
      <c r="B3192" s="1" t="s">
        <v>567</v>
      </c>
      <c r="C3192" s="1" t="s">
        <v>586</v>
      </c>
      <c r="D3192" s="1" t="s">
        <v>92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538</v>
      </c>
      <c r="B3193" s="1" t="s">
        <v>568</v>
      </c>
      <c r="C3193" s="1" t="s">
        <v>587</v>
      </c>
      <c r="D3193" s="1" t="s">
        <v>78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538</v>
      </c>
      <c r="B3194" s="1" t="s">
        <v>40</v>
      </c>
      <c r="C3194" s="1" t="s">
        <v>588</v>
      </c>
      <c r="D3194" s="1" t="s">
        <v>1007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5">
      <c r="A3195" s="1" t="s">
        <v>538</v>
      </c>
      <c r="B3195" s="1" t="s">
        <v>569</v>
      </c>
      <c r="C3195" s="1" t="s">
        <v>589</v>
      </c>
      <c r="D3195" s="1" t="s">
        <v>78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5">
      <c r="A3196" s="1" t="s">
        <v>538</v>
      </c>
      <c r="B3196" s="1" t="s">
        <v>570</v>
      </c>
      <c r="C3196" s="1" t="s">
        <v>590</v>
      </c>
      <c r="D3196" s="1" t="s">
        <v>95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538</v>
      </c>
      <c r="B3197" s="1" t="s">
        <v>571</v>
      </c>
      <c r="C3197" s="1" t="s">
        <v>591</v>
      </c>
      <c r="D3197" s="1" t="s">
        <v>97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538</v>
      </c>
      <c r="B3198" s="1" t="s">
        <v>572</v>
      </c>
      <c r="C3198" s="1" t="s">
        <v>592</v>
      </c>
      <c r="D3198" s="1" t="s">
        <v>78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538</v>
      </c>
      <c r="B3199" s="1" t="s">
        <v>573</v>
      </c>
      <c r="C3199" s="1" t="s">
        <v>593</v>
      </c>
      <c r="D3199" s="1" t="s">
        <v>95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539</v>
      </c>
      <c r="B3200" s="1" t="s">
        <v>174</v>
      </c>
      <c r="C3200" s="1" t="s">
        <v>574</v>
      </c>
      <c r="D3200" s="1" t="s">
        <v>97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539</v>
      </c>
      <c r="B3201" s="1" t="s">
        <v>563</v>
      </c>
      <c r="C3201" s="1" t="s">
        <v>575</v>
      </c>
      <c r="D3201" s="1" t="s">
        <v>223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539</v>
      </c>
      <c r="B3202" s="1" t="s">
        <v>564</v>
      </c>
      <c r="C3202" s="1" t="s">
        <v>576</v>
      </c>
      <c r="D3202" s="1" t="s">
        <v>637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5">
      <c r="A3203" s="1" t="s">
        <v>539</v>
      </c>
      <c r="B3203" s="1" t="s">
        <v>565</v>
      </c>
      <c r="C3203" s="1" t="s">
        <v>577</v>
      </c>
      <c r="D3203" s="1" t="s">
        <v>275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5">
      <c r="A3204" s="1" t="s">
        <v>539</v>
      </c>
      <c r="B3204" s="1" t="s">
        <v>566</v>
      </c>
      <c r="C3204" s="1" t="s">
        <v>578</v>
      </c>
      <c r="D3204" s="1" t="s">
        <v>95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539</v>
      </c>
      <c r="B3205" s="1" t="s">
        <v>33</v>
      </c>
      <c r="C3205" s="1" t="s">
        <v>579</v>
      </c>
      <c r="D3205" s="1" t="s">
        <v>1008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5">
      <c r="A3206" s="1" t="s">
        <v>539</v>
      </c>
      <c r="B3206" s="1" t="s">
        <v>34</v>
      </c>
      <c r="C3206" s="1" t="s">
        <v>580</v>
      </c>
      <c r="D3206" s="1" t="s">
        <v>1009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5">
      <c r="A3207" s="1" t="s">
        <v>539</v>
      </c>
      <c r="B3207" s="1" t="s">
        <v>35</v>
      </c>
      <c r="C3207" s="1" t="s">
        <v>581</v>
      </c>
      <c r="D3207" s="1" t="s">
        <v>1010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539</v>
      </c>
      <c r="B3208" s="1" t="s">
        <v>36</v>
      </c>
      <c r="C3208" s="1" t="s">
        <v>582</v>
      </c>
      <c r="D3208" s="1" t="s">
        <v>759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5">
      <c r="A3209" s="1" t="s">
        <v>539</v>
      </c>
      <c r="B3209" s="1" t="s">
        <v>37</v>
      </c>
      <c r="C3209" s="1" t="s">
        <v>583</v>
      </c>
      <c r="D3209" s="1" t="s">
        <v>331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539</v>
      </c>
      <c r="B3210" s="1" t="s">
        <v>38</v>
      </c>
      <c r="C3210" s="1" t="s">
        <v>584</v>
      </c>
      <c r="D3210" s="1" t="s">
        <v>1011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5">
      <c r="A3211" s="1" t="s">
        <v>539</v>
      </c>
      <c r="B3211" s="1" t="s">
        <v>39</v>
      </c>
      <c r="C3211" s="1" t="s">
        <v>585</v>
      </c>
      <c r="D3211" s="1" t="s">
        <v>374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5">
      <c r="A3212" s="1" t="s">
        <v>539</v>
      </c>
      <c r="B3212" s="1" t="s">
        <v>567</v>
      </c>
      <c r="C3212" s="1" t="s">
        <v>586</v>
      </c>
      <c r="D3212" s="1" t="s">
        <v>92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5">
      <c r="A3213" s="1" t="s">
        <v>539</v>
      </c>
      <c r="B3213" s="1" t="s">
        <v>568</v>
      </c>
      <c r="C3213" s="1" t="s">
        <v>587</v>
      </c>
      <c r="D3213" s="1" t="s">
        <v>223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5">
      <c r="A3214" s="1" t="s">
        <v>539</v>
      </c>
      <c r="B3214" s="1" t="s">
        <v>40</v>
      </c>
      <c r="C3214" s="1" t="s">
        <v>588</v>
      </c>
      <c r="D3214" s="1" t="s">
        <v>1012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5">
      <c r="A3215" s="1" t="s">
        <v>539</v>
      </c>
      <c r="B3215" s="1" t="s">
        <v>569</v>
      </c>
      <c r="C3215" s="1" t="s">
        <v>589</v>
      </c>
      <c r="D3215" s="1" t="s">
        <v>232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5">
      <c r="A3216" s="1" t="s">
        <v>539</v>
      </c>
      <c r="B3216" s="1" t="s">
        <v>570</v>
      </c>
      <c r="C3216" s="1" t="s">
        <v>590</v>
      </c>
      <c r="D3216" s="1" t="s">
        <v>262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539</v>
      </c>
      <c r="B3217" s="1" t="s">
        <v>571</v>
      </c>
      <c r="C3217" s="1" t="s">
        <v>591</v>
      </c>
      <c r="D3217" s="1" t="s">
        <v>145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5">
      <c r="A3218" s="1" t="s">
        <v>539</v>
      </c>
      <c r="B3218" s="1" t="s">
        <v>572</v>
      </c>
      <c r="C3218" s="1" t="s">
        <v>592</v>
      </c>
      <c r="D3218" s="1" t="s">
        <v>223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5">
      <c r="A3219" s="1" t="s">
        <v>539</v>
      </c>
      <c r="B3219" s="1" t="s">
        <v>573</v>
      </c>
      <c r="C3219" s="1" t="s">
        <v>593</v>
      </c>
      <c r="D3219" s="1" t="s">
        <v>223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540</v>
      </c>
      <c r="B3220" s="1" t="s">
        <v>174</v>
      </c>
      <c r="C3220" s="1" t="s">
        <v>574</v>
      </c>
      <c r="D3220" s="1" t="s">
        <v>352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5">
      <c r="A3221" s="1" t="s">
        <v>540</v>
      </c>
      <c r="B3221" s="1" t="s">
        <v>563</v>
      </c>
      <c r="C3221" s="1" t="s">
        <v>575</v>
      </c>
      <c r="D3221" s="1" t="s">
        <v>223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540</v>
      </c>
      <c r="B3222" s="1" t="s">
        <v>564</v>
      </c>
      <c r="C3222" s="1" t="s">
        <v>576</v>
      </c>
      <c r="D3222" s="1" t="s">
        <v>1013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5">
      <c r="A3223" s="1" t="s">
        <v>540</v>
      </c>
      <c r="B3223" s="1" t="s">
        <v>565</v>
      </c>
      <c r="C3223" s="1" t="s">
        <v>577</v>
      </c>
      <c r="D3223" s="1" t="s">
        <v>228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5">
      <c r="A3224" s="1" t="s">
        <v>540</v>
      </c>
      <c r="B3224" s="1" t="s">
        <v>566</v>
      </c>
      <c r="C3224" s="1" t="s">
        <v>578</v>
      </c>
      <c r="D3224" s="1" t="s">
        <v>223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540</v>
      </c>
      <c r="B3225" s="1" t="s">
        <v>33</v>
      </c>
      <c r="C3225" s="1" t="s">
        <v>579</v>
      </c>
      <c r="D3225" s="1" t="s">
        <v>1014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5">
      <c r="A3226" s="1" t="s">
        <v>540</v>
      </c>
      <c r="B3226" s="1" t="s">
        <v>34</v>
      </c>
      <c r="C3226" s="1" t="s">
        <v>580</v>
      </c>
      <c r="D3226" s="1" t="s">
        <v>1015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5">
      <c r="A3227" s="1" t="s">
        <v>540</v>
      </c>
      <c r="B3227" s="1" t="s">
        <v>35</v>
      </c>
      <c r="C3227" s="1" t="s">
        <v>581</v>
      </c>
      <c r="D3227" s="1" t="s">
        <v>1016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540</v>
      </c>
      <c r="B3228" s="1" t="s">
        <v>36</v>
      </c>
      <c r="C3228" s="1" t="s">
        <v>582</v>
      </c>
      <c r="D3228" s="1" t="s">
        <v>1017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5">
      <c r="A3229" s="1" t="s">
        <v>540</v>
      </c>
      <c r="B3229" s="1" t="s">
        <v>37</v>
      </c>
      <c r="C3229" s="1" t="s">
        <v>583</v>
      </c>
      <c r="D3229" s="1" t="s">
        <v>272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540</v>
      </c>
      <c r="B3230" s="1" t="s">
        <v>38</v>
      </c>
      <c r="C3230" s="1" t="s">
        <v>584</v>
      </c>
      <c r="D3230" s="1" t="s">
        <v>1018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5">
      <c r="A3231" s="1" t="s">
        <v>540</v>
      </c>
      <c r="B3231" s="1" t="s">
        <v>39</v>
      </c>
      <c r="C3231" s="1" t="s">
        <v>585</v>
      </c>
      <c r="D3231" s="1" t="s">
        <v>234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5">
      <c r="A3232" s="1" t="s">
        <v>540</v>
      </c>
      <c r="B3232" s="1" t="s">
        <v>567</v>
      </c>
      <c r="C3232" s="1" t="s">
        <v>586</v>
      </c>
      <c r="D3232" s="1" t="s">
        <v>92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5">
      <c r="A3233" s="1" t="s">
        <v>540</v>
      </c>
      <c r="B3233" s="1" t="s">
        <v>568</v>
      </c>
      <c r="C3233" s="1" t="s">
        <v>587</v>
      </c>
      <c r="D3233" s="1" t="s">
        <v>223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5">
      <c r="A3234" s="1" t="s">
        <v>540</v>
      </c>
      <c r="B3234" s="1" t="s">
        <v>40</v>
      </c>
      <c r="C3234" s="1" t="s">
        <v>588</v>
      </c>
      <c r="D3234" s="1" t="s">
        <v>1019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5">
      <c r="A3235" s="1" t="s">
        <v>540</v>
      </c>
      <c r="B3235" s="1" t="s">
        <v>569</v>
      </c>
      <c r="C3235" s="1" t="s">
        <v>589</v>
      </c>
      <c r="D3235" s="1" t="s">
        <v>232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5">
      <c r="A3236" s="1" t="s">
        <v>540</v>
      </c>
      <c r="B3236" s="1" t="s">
        <v>570</v>
      </c>
      <c r="C3236" s="1" t="s">
        <v>590</v>
      </c>
      <c r="D3236" s="1" t="s">
        <v>374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540</v>
      </c>
      <c r="B3237" s="1" t="s">
        <v>571</v>
      </c>
      <c r="C3237" s="1" t="s">
        <v>591</v>
      </c>
      <c r="D3237" s="1" t="s">
        <v>287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5">
      <c r="A3238" s="1" t="s">
        <v>540</v>
      </c>
      <c r="B3238" s="1" t="s">
        <v>572</v>
      </c>
      <c r="C3238" s="1" t="s">
        <v>592</v>
      </c>
      <c r="D3238" s="1" t="s">
        <v>262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5">
      <c r="A3239" s="1" t="s">
        <v>540</v>
      </c>
      <c r="B3239" s="1" t="s">
        <v>573</v>
      </c>
      <c r="C3239" s="1" t="s">
        <v>593</v>
      </c>
      <c r="D3239" s="1" t="s">
        <v>95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 t="s">
        <v>541</v>
      </c>
      <c r="B3240" s="1" t="s">
        <v>174</v>
      </c>
      <c r="C3240" s="1" t="s">
        <v>574</v>
      </c>
      <c r="D3240" s="1" t="s">
        <v>145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5">
      <c r="A3241" s="1" t="s">
        <v>541</v>
      </c>
      <c r="B3241" s="1" t="s">
        <v>563</v>
      </c>
      <c r="C3241" s="1" t="s">
        <v>575</v>
      </c>
      <c r="D3241" s="1" t="s">
        <v>95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 t="s">
        <v>541</v>
      </c>
      <c r="B3242" s="1" t="s">
        <v>564</v>
      </c>
      <c r="C3242" s="1" t="s">
        <v>576</v>
      </c>
      <c r="D3242" s="1" t="s">
        <v>1020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5">
      <c r="A3243" s="1" t="s">
        <v>541</v>
      </c>
      <c r="B3243" s="1" t="s">
        <v>565</v>
      </c>
      <c r="C3243" s="1" t="s">
        <v>577</v>
      </c>
      <c r="D3243" s="1" t="s">
        <v>230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5">
      <c r="A3244" s="1" t="s">
        <v>541</v>
      </c>
      <c r="B3244" s="1" t="s">
        <v>566</v>
      </c>
      <c r="C3244" s="1" t="s">
        <v>578</v>
      </c>
      <c r="D3244" s="1" t="s">
        <v>95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 t="s">
        <v>541</v>
      </c>
      <c r="B3245" s="1" t="s">
        <v>33</v>
      </c>
      <c r="C3245" s="1" t="s">
        <v>579</v>
      </c>
      <c r="D3245" s="1" t="s">
        <v>1021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5">
      <c r="A3246" s="1" t="s">
        <v>541</v>
      </c>
      <c r="B3246" s="1" t="s">
        <v>34</v>
      </c>
      <c r="C3246" s="1" t="s">
        <v>580</v>
      </c>
      <c r="D3246" s="1" t="s">
        <v>1022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5">
      <c r="A3247" s="1" t="s">
        <v>541</v>
      </c>
      <c r="B3247" s="1" t="s">
        <v>35</v>
      </c>
      <c r="C3247" s="1" t="s">
        <v>581</v>
      </c>
      <c r="D3247" s="1" t="s">
        <v>1023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 t="s">
        <v>541</v>
      </c>
      <c r="B3248" s="1" t="s">
        <v>36</v>
      </c>
      <c r="C3248" s="1" t="s">
        <v>582</v>
      </c>
      <c r="D3248" s="1" t="s">
        <v>398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5">
      <c r="A3249" s="1" t="s">
        <v>541</v>
      </c>
      <c r="B3249" s="1" t="s">
        <v>37</v>
      </c>
      <c r="C3249" s="1" t="s">
        <v>583</v>
      </c>
      <c r="D3249" s="1" t="s">
        <v>96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 t="s">
        <v>541</v>
      </c>
      <c r="B3250" s="1" t="s">
        <v>38</v>
      </c>
      <c r="C3250" s="1" t="s">
        <v>584</v>
      </c>
      <c r="D3250" s="1" t="s">
        <v>1024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5">
      <c r="A3251" s="1" t="s">
        <v>541</v>
      </c>
      <c r="B3251" s="1" t="s">
        <v>39</v>
      </c>
      <c r="C3251" s="1" t="s">
        <v>585</v>
      </c>
      <c r="D3251" s="1" t="s">
        <v>307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5">
      <c r="A3252" s="1" t="s">
        <v>541</v>
      </c>
      <c r="B3252" s="1" t="s">
        <v>567</v>
      </c>
      <c r="C3252" s="1" t="s">
        <v>586</v>
      </c>
      <c r="D3252" s="1" t="s">
        <v>92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5">
      <c r="A3253" s="1" t="s">
        <v>541</v>
      </c>
      <c r="B3253" s="1" t="s">
        <v>568</v>
      </c>
      <c r="C3253" s="1" t="s">
        <v>587</v>
      </c>
      <c r="D3253" s="1" t="s">
        <v>223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5">
      <c r="A3254" s="1" t="s">
        <v>541</v>
      </c>
      <c r="B3254" s="1" t="s">
        <v>40</v>
      </c>
      <c r="C3254" s="1" t="s">
        <v>588</v>
      </c>
      <c r="D3254" s="1" t="s">
        <v>1025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5">
      <c r="A3255" s="1" t="s">
        <v>541</v>
      </c>
      <c r="B3255" s="1" t="s">
        <v>569</v>
      </c>
      <c r="C3255" s="1" t="s">
        <v>589</v>
      </c>
      <c r="D3255" s="1" t="s">
        <v>275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5">
      <c r="A3256" s="1" t="s">
        <v>541</v>
      </c>
      <c r="B3256" s="1" t="s">
        <v>570</v>
      </c>
      <c r="C3256" s="1" t="s">
        <v>590</v>
      </c>
      <c r="D3256" s="1" t="s">
        <v>233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 t="s">
        <v>541</v>
      </c>
      <c r="B3257" s="1" t="s">
        <v>571</v>
      </c>
      <c r="C3257" s="1" t="s">
        <v>591</v>
      </c>
      <c r="D3257" s="1" t="s">
        <v>97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5">
      <c r="A3258" s="1" t="s">
        <v>541</v>
      </c>
      <c r="B3258" s="1" t="s">
        <v>572</v>
      </c>
      <c r="C3258" s="1" t="s">
        <v>592</v>
      </c>
      <c r="D3258" s="1" t="s">
        <v>223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5">
      <c r="A3259" s="1" t="s">
        <v>541</v>
      </c>
      <c r="B3259" s="1" t="s">
        <v>573</v>
      </c>
      <c r="C3259" s="1" t="s">
        <v>593</v>
      </c>
      <c r="D3259" s="1" t="s">
        <v>223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 t="s">
        <v>487</v>
      </c>
      <c r="B3260" s="1" t="s">
        <v>564</v>
      </c>
      <c r="C3260" s="1" t="s">
        <v>576</v>
      </c>
      <c r="D3260" s="1" t="s">
        <v>141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5">
      <c r="A3261" s="1" t="s">
        <v>487</v>
      </c>
      <c r="B3261" s="1" t="s">
        <v>565</v>
      </c>
      <c r="C3261" s="1" t="s">
        <v>577</v>
      </c>
      <c r="D3261" s="1" t="s">
        <v>95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 t="s">
        <v>487</v>
      </c>
      <c r="B3262" s="1" t="s">
        <v>39</v>
      </c>
      <c r="C3262" s="1" t="s">
        <v>585</v>
      </c>
      <c r="D3262" s="1" t="s">
        <v>275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5">
      <c r="A3263" s="1" t="s">
        <v>487</v>
      </c>
      <c r="B3263" s="1" t="s">
        <v>40</v>
      </c>
      <c r="C3263" s="1" t="s">
        <v>588</v>
      </c>
      <c r="D3263" s="1" t="s">
        <v>1026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542</v>
      </c>
      <c r="B3264" s="1" t="s">
        <v>174</v>
      </c>
      <c r="C3264" s="1" t="s">
        <v>574</v>
      </c>
      <c r="D3264" s="1" t="s">
        <v>78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542</v>
      </c>
      <c r="B3265" s="1" t="s">
        <v>563</v>
      </c>
      <c r="C3265" s="1" t="s">
        <v>575</v>
      </c>
      <c r="D3265" s="1" t="s">
        <v>78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542</v>
      </c>
      <c r="B3266" s="1" t="s">
        <v>564</v>
      </c>
      <c r="C3266" s="1" t="s">
        <v>576</v>
      </c>
      <c r="D3266" s="1" t="s">
        <v>412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5">
      <c r="A3267" s="1" t="s">
        <v>542</v>
      </c>
      <c r="B3267" s="1" t="s">
        <v>565</v>
      </c>
      <c r="C3267" s="1" t="s">
        <v>577</v>
      </c>
      <c r="D3267" s="1" t="s">
        <v>232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542</v>
      </c>
      <c r="B3268" s="1" t="s">
        <v>566</v>
      </c>
      <c r="C3268" s="1" t="s">
        <v>578</v>
      </c>
      <c r="D3268" s="1" t="s">
        <v>78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542</v>
      </c>
      <c r="B3269" s="1" t="s">
        <v>33</v>
      </c>
      <c r="C3269" s="1" t="s">
        <v>579</v>
      </c>
      <c r="D3269" s="1" t="s">
        <v>672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542</v>
      </c>
      <c r="B3270" s="1" t="s">
        <v>34</v>
      </c>
      <c r="C3270" s="1" t="s">
        <v>580</v>
      </c>
      <c r="D3270" s="1" t="s">
        <v>1027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542</v>
      </c>
      <c r="B3271" s="1" t="s">
        <v>35</v>
      </c>
      <c r="C3271" s="1" t="s">
        <v>581</v>
      </c>
      <c r="D3271" s="1" t="s">
        <v>1028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542</v>
      </c>
      <c r="B3272" s="1" t="s">
        <v>36</v>
      </c>
      <c r="C3272" s="1" t="s">
        <v>582</v>
      </c>
      <c r="D3272" s="1" t="s">
        <v>230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542</v>
      </c>
      <c r="B3273" s="1" t="s">
        <v>37</v>
      </c>
      <c r="C3273" s="1" t="s">
        <v>583</v>
      </c>
      <c r="D3273" s="1" t="s">
        <v>233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542</v>
      </c>
      <c r="B3274" s="1" t="s">
        <v>38</v>
      </c>
      <c r="C3274" s="1" t="s">
        <v>584</v>
      </c>
      <c r="D3274" s="1" t="s">
        <v>666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5">
      <c r="A3275" s="1" t="s">
        <v>542</v>
      </c>
      <c r="B3275" s="1" t="s">
        <v>39</v>
      </c>
      <c r="C3275" s="1" t="s">
        <v>585</v>
      </c>
      <c r="D3275" s="1" t="s">
        <v>262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5">
      <c r="A3276" s="1" t="s">
        <v>542</v>
      </c>
      <c r="B3276" s="1" t="s">
        <v>567</v>
      </c>
      <c r="C3276" s="1" t="s">
        <v>586</v>
      </c>
      <c r="D3276" s="1" t="s">
        <v>141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542</v>
      </c>
      <c r="B3277" s="1" t="s">
        <v>568</v>
      </c>
      <c r="C3277" s="1" t="s">
        <v>587</v>
      </c>
      <c r="D3277" s="1" t="s">
        <v>78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5">
      <c r="A3278" s="1" t="s">
        <v>542</v>
      </c>
      <c r="B3278" s="1" t="s">
        <v>40</v>
      </c>
      <c r="C3278" s="1" t="s">
        <v>588</v>
      </c>
      <c r="D3278" s="1" t="s">
        <v>739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5">
      <c r="A3279" s="1" t="s">
        <v>542</v>
      </c>
      <c r="B3279" s="1" t="s">
        <v>569</v>
      </c>
      <c r="C3279" s="1" t="s">
        <v>589</v>
      </c>
      <c r="D3279" s="1" t="s">
        <v>78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542</v>
      </c>
      <c r="B3280" s="1" t="s">
        <v>570</v>
      </c>
      <c r="C3280" s="1" t="s">
        <v>590</v>
      </c>
      <c r="D3280" s="1" t="s">
        <v>95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5">
      <c r="A3281" s="1" t="s">
        <v>542</v>
      </c>
      <c r="B3281" s="1" t="s">
        <v>571</v>
      </c>
      <c r="C3281" s="1" t="s">
        <v>591</v>
      </c>
      <c r="D3281" s="1" t="s">
        <v>223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542</v>
      </c>
      <c r="B3282" s="1" t="s">
        <v>572</v>
      </c>
      <c r="C3282" s="1" t="s">
        <v>592</v>
      </c>
      <c r="D3282" s="1" t="s">
        <v>78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5">
      <c r="A3283" s="1" t="s">
        <v>542</v>
      </c>
      <c r="B3283" s="1" t="s">
        <v>573</v>
      </c>
      <c r="C3283" s="1" t="s">
        <v>593</v>
      </c>
      <c r="D3283" s="1" t="s">
        <v>78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5">
      <c r="A3284" s="1" t="s">
        <v>543</v>
      </c>
      <c r="B3284" s="1" t="s">
        <v>174</v>
      </c>
      <c r="C3284" s="1" t="s">
        <v>574</v>
      </c>
      <c r="D3284" s="1" t="s">
        <v>275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543</v>
      </c>
      <c r="B3285" s="1" t="s">
        <v>563</v>
      </c>
      <c r="C3285" s="1" t="s">
        <v>575</v>
      </c>
      <c r="D3285" s="1" t="s">
        <v>95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5">
      <c r="A3286" s="1" t="s">
        <v>543</v>
      </c>
      <c r="B3286" s="1" t="s">
        <v>564</v>
      </c>
      <c r="C3286" s="1" t="s">
        <v>576</v>
      </c>
      <c r="D3286" s="1" t="s">
        <v>594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5">
      <c r="A3287" s="1" t="s">
        <v>543</v>
      </c>
      <c r="B3287" s="1" t="s">
        <v>565</v>
      </c>
      <c r="C3287" s="1" t="s">
        <v>577</v>
      </c>
      <c r="D3287" s="1" t="s">
        <v>97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543</v>
      </c>
      <c r="B3288" s="1" t="s">
        <v>566</v>
      </c>
      <c r="C3288" s="1" t="s">
        <v>578</v>
      </c>
      <c r="D3288" s="1" t="s">
        <v>223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5">
      <c r="A3289" s="1" t="s">
        <v>543</v>
      </c>
      <c r="B3289" s="1" t="s">
        <v>33</v>
      </c>
      <c r="C3289" s="1" t="s">
        <v>579</v>
      </c>
      <c r="D3289" s="1" t="s">
        <v>1029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543</v>
      </c>
      <c r="B3290" s="1" t="s">
        <v>34</v>
      </c>
      <c r="C3290" s="1" t="s">
        <v>580</v>
      </c>
      <c r="D3290" s="1" t="s">
        <v>1030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5">
      <c r="A3291" s="1" t="s">
        <v>543</v>
      </c>
      <c r="B3291" s="1" t="s">
        <v>35</v>
      </c>
      <c r="C3291" s="1" t="s">
        <v>581</v>
      </c>
      <c r="D3291" s="1" t="s">
        <v>1031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5">
      <c r="A3292" s="1" t="s">
        <v>543</v>
      </c>
      <c r="B3292" s="1" t="s">
        <v>36</v>
      </c>
      <c r="C3292" s="1" t="s">
        <v>582</v>
      </c>
      <c r="D3292" s="1" t="s">
        <v>1032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5">
      <c r="A3293" s="1" t="s">
        <v>543</v>
      </c>
      <c r="B3293" s="1" t="s">
        <v>37</v>
      </c>
      <c r="C3293" s="1" t="s">
        <v>583</v>
      </c>
      <c r="D3293" s="1" t="s">
        <v>311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5">
      <c r="A3294" s="1" t="s">
        <v>543</v>
      </c>
      <c r="B3294" s="1" t="s">
        <v>38</v>
      </c>
      <c r="C3294" s="1" t="s">
        <v>584</v>
      </c>
      <c r="D3294" s="1" t="s">
        <v>1033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5">
      <c r="A3295" s="1" t="s">
        <v>543</v>
      </c>
      <c r="B3295" s="1" t="s">
        <v>39</v>
      </c>
      <c r="C3295" s="1" t="s">
        <v>585</v>
      </c>
      <c r="D3295" s="1" t="s">
        <v>122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5">
      <c r="A3296" s="1" t="s">
        <v>543</v>
      </c>
      <c r="B3296" s="1" t="s">
        <v>567</v>
      </c>
      <c r="C3296" s="1" t="s">
        <v>586</v>
      </c>
      <c r="D3296" s="1" t="s">
        <v>92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543</v>
      </c>
      <c r="B3297" s="1" t="s">
        <v>568</v>
      </c>
      <c r="C3297" s="1" t="s">
        <v>587</v>
      </c>
      <c r="D3297" s="1" t="s">
        <v>95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5">
      <c r="A3298" s="1" t="s">
        <v>543</v>
      </c>
      <c r="B3298" s="1" t="s">
        <v>40</v>
      </c>
      <c r="C3298" s="1" t="s">
        <v>588</v>
      </c>
      <c r="D3298" s="1" t="s">
        <v>1034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5">
      <c r="A3299" s="1" t="s">
        <v>543</v>
      </c>
      <c r="B3299" s="1" t="s">
        <v>569</v>
      </c>
      <c r="C3299" s="1" t="s">
        <v>589</v>
      </c>
      <c r="D3299" s="1" t="s">
        <v>95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543</v>
      </c>
      <c r="B3300" s="1" t="s">
        <v>570</v>
      </c>
      <c r="C3300" s="1" t="s">
        <v>590</v>
      </c>
      <c r="D3300" s="1" t="s">
        <v>232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5">
      <c r="A3301" s="1" t="s">
        <v>543</v>
      </c>
      <c r="B3301" s="1" t="s">
        <v>571</v>
      </c>
      <c r="C3301" s="1" t="s">
        <v>591</v>
      </c>
      <c r="D3301" s="1" t="s">
        <v>134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5">
      <c r="A3302" s="1" t="s">
        <v>543</v>
      </c>
      <c r="B3302" s="1" t="s">
        <v>572</v>
      </c>
      <c r="C3302" s="1" t="s">
        <v>592</v>
      </c>
      <c r="D3302" s="1" t="s">
        <v>95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5">
      <c r="A3303" s="1" t="s">
        <v>543</v>
      </c>
      <c r="B3303" s="1" t="s">
        <v>573</v>
      </c>
      <c r="C3303" s="1" t="s">
        <v>593</v>
      </c>
      <c r="D3303" s="1" t="s">
        <v>275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5">
      <c r="A3304" s="1" t="s">
        <v>544</v>
      </c>
      <c r="B3304" s="1" t="s">
        <v>174</v>
      </c>
      <c r="C3304" s="1" t="s">
        <v>574</v>
      </c>
      <c r="D3304" s="1" t="s">
        <v>98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544</v>
      </c>
      <c r="B3305" s="1" t="s">
        <v>563</v>
      </c>
      <c r="C3305" s="1" t="s">
        <v>575</v>
      </c>
      <c r="D3305" s="1" t="s">
        <v>95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5">
      <c r="A3306" s="1" t="s">
        <v>544</v>
      </c>
      <c r="B3306" s="1" t="s">
        <v>564</v>
      </c>
      <c r="C3306" s="1" t="s">
        <v>576</v>
      </c>
      <c r="D3306" s="1" t="s">
        <v>1035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5">
      <c r="A3307" s="1" t="s">
        <v>544</v>
      </c>
      <c r="B3307" s="1" t="s">
        <v>565</v>
      </c>
      <c r="C3307" s="1" t="s">
        <v>577</v>
      </c>
      <c r="D3307" s="1" t="s">
        <v>96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544</v>
      </c>
      <c r="B3308" s="1" t="s">
        <v>566</v>
      </c>
      <c r="C3308" s="1" t="s">
        <v>578</v>
      </c>
      <c r="D3308" s="1" t="s">
        <v>262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5">
      <c r="A3309" s="1" t="s">
        <v>544</v>
      </c>
      <c r="B3309" s="1" t="s">
        <v>33</v>
      </c>
      <c r="C3309" s="1" t="s">
        <v>579</v>
      </c>
      <c r="D3309" s="1" t="s">
        <v>1036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544</v>
      </c>
      <c r="B3310" s="1" t="s">
        <v>34</v>
      </c>
      <c r="C3310" s="1" t="s">
        <v>580</v>
      </c>
      <c r="D3310" s="1" t="s">
        <v>1037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5">
      <c r="A3311" s="1" t="s">
        <v>544</v>
      </c>
      <c r="B3311" s="1" t="s">
        <v>35</v>
      </c>
      <c r="C3311" s="1" t="s">
        <v>581</v>
      </c>
      <c r="D3311" s="1" t="s">
        <v>1038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5">
      <c r="A3312" s="1" t="s">
        <v>544</v>
      </c>
      <c r="B3312" s="1" t="s">
        <v>36</v>
      </c>
      <c r="C3312" s="1" t="s">
        <v>582</v>
      </c>
      <c r="D3312" s="1" t="s">
        <v>1039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5">
      <c r="A3313" s="1" t="s">
        <v>544</v>
      </c>
      <c r="B3313" s="1" t="s">
        <v>37</v>
      </c>
      <c r="C3313" s="1" t="s">
        <v>583</v>
      </c>
      <c r="D3313" s="1" t="s">
        <v>291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5">
      <c r="A3314" s="1" t="s">
        <v>544</v>
      </c>
      <c r="B3314" s="1" t="s">
        <v>38</v>
      </c>
      <c r="C3314" s="1" t="s">
        <v>584</v>
      </c>
      <c r="D3314" s="1" t="s">
        <v>1040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5">
      <c r="A3315" s="1" t="s">
        <v>544</v>
      </c>
      <c r="B3315" s="1" t="s">
        <v>39</v>
      </c>
      <c r="C3315" s="1" t="s">
        <v>585</v>
      </c>
      <c r="D3315" s="1" t="s">
        <v>1041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5">
      <c r="A3316" s="1" t="s">
        <v>544</v>
      </c>
      <c r="B3316" s="1" t="s">
        <v>567</v>
      </c>
      <c r="C3316" s="1" t="s">
        <v>586</v>
      </c>
      <c r="D3316" s="1" t="s">
        <v>1042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544</v>
      </c>
      <c r="B3317" s="1" t="s">
        <v>568</v>
      </c>
      <c r="C3317" s="1" t="s">
        <v>587</v>
      </c>
      <c r="D3317" s="1" t="s">
        <v>95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5">
      <c r="A3318" s="1" t="s">
        <v>544</v>
      </c>
      <c r="B3318" s="1" t="s">
        <v>40</v>
      </c>
      <c r="C3318" s="1" t="s">
        <v>588</v>
      </c>
      <c r="D3318" s="1" t="s">
        <v>1043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5">
      <c r="A3319" s="1" t="s">
        <v>544</v>
      </c>
      <c r="B3319" s="1" t="s">
        <v>569</v>
      </c>
      <c r="C3319" s="1" t="s">
        <v>589</v>
      </c>
      <c r="D3319" s="1" t="s">
        <v>95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544</v>
      </c>
      <c r="B3320" s="1" t="s">
        <v>570</v>
      </c>
      <c r="C3320" s="1" t="s">
        <v>590</v>
      </c>
      <c r="D3320" s="1" t="s">
        <v>245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5">
      <c r="A3321" s="1" t="s">
        <v>544</v>
      </c>
      <c r="B3321" s="1" t="s">
        <v>571</v>
      </c>
      <c r="C3321" s="1" t="s">
        <v>591</v>
      </c>
      <c r="D3321" s="1" t="s">
        <v>286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5">
      <c r="A3322" s="1" t="s">
        <v>544</v>
      </c>
      <c r="B3322" s="1" t="s">
        <v>572</v>
      </c>
      <c r="C3322" s="1" t="s">
        <v>592</v>
      </c>
      <c r="D3322" s="1" t="s">
        <v>95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5">
      <c r="A3323" s="1" t="s">
        <v>544</v>
      </c>
      <c r="B3323" s="1" t="s">
        <v>573</v>
      </c>
      <c r="C3323" s="1" t="s">
        <v>593</v>
      </c>
      <c r="D3323" s="1" t="s">
        <v>223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5">
      <c r="A3324" s="1"/>
      <c r="B3324" s="1"/>
      <c r="C3324" s="1"/>
      <c r="D3324" s="1"/>
      <c r="E3324" s="1" t="s">
        <v>1078</v>
      </c>
      <c r="F3324" s="1" t="s">
        <v>173</v>
      </c>
      <c r="G3324" s="1" t="s">
        <v>194</v>
      </c>
      <c r="H3324" s="1" t="s">
        <v>78</v>
      </c>
      <c r="I3324" s="1"/>
      <c r="J3324" s="1"/>
      <c r="K3324" s="1"/>
      <c r="L3324" s="1"/>
    </row>
    <row r="3325" spans="1:12" x14ac:dyDescent="0.25">
      <c r="A3325" s="1"/>
      <c r="B3325" s="1"/>
      <c r="C3325" s="1"/>
      <c r="D3325" s="1"/>
      <c r="E3325" s="1" t="s">
        <v>1078</v>
      </c>
      <c r="F3325" s="1" t="s">
        <v>174</v>
      </c>
      <c r="G3325" s="1" t="s">
        <v>195</v>
      </c>
      <c r="H3325" s="1" t="s">
        <v>78</v>
      </c>
      <c r="I3325" s="1"/>
      <c r="J3325" s="1"/>
      <c r="K3325" s="1"/>
      <c r="L3325" s="1"/>
    </row>
    <row r="3326" spans="1:12" x14ac:dyDescent="0.25">
      <c r="A3326" s="1"/>
      <c r="B3326" s="1"/>
      <c r="C3326" s="1"/>
      <c r="D3326" s="1"/>
      <c r="E3326" s="1" t="s">
        <v>1078</v>
      </c>
      <c r="F3326" s="1" t="s">
        <v>175</v>
      </c>
      <c r="G3326" s="1" t="s">
        <v>196</v>
      </c>
      <c r="H3326" s="1" t="s">
        <v>275</v>
      </c>
      <c r="I3326" s="1"/>
      <c r="J3326" s="1"/>
      <c r="K3326" s="1"/>
      <c r="L3326" s="1"/>
    </row>
    <row r="3327" spans="1:12" x14ac:dyDescent="0.25">
      <c r="A3327" s="1"/>
      <c r="B3327" s="1"/>
      <c r="C3327" s="1"/>
      <c r="D3327" s="1"/>
      <c r="E3327" s="1" t="s">
        <v>1078</v>
      </c>
      <c r="F3327" s="1" t="s">
        <v>176</v>
      </c>
      <c r="G3327" s="1" t="s">
        <v>197</v>
      </c>
      <c r="H3327" s="1" t="s">
        <v>95</v>
      </c>
      <c r="I3327" s="1"/>
      <c r="J3327" s="1"/>
      <c r="K3327" s="1"/>
      <c r="L3327" s="1"/>
    </row>
    <row r="3328" spans="1:12" x14ac:dyDescent="0.25">
      <c r="A3328" s="1"/>
      <c r="B3328" s="1"/>
      <c r="C3328" s="1"/>
      <c r="D3328" s="1"/>
      <c r="E3328" s="1" t="s">
        <v>1078</v>
      </c>
      <c r="F3328" s="1" t="s">
        <v>177</v>
      </c>
      <c r="G3328" s="1" t="s">
        <v>198</v>
      </c>
      <c r="H3328" s="1" t="s">
        <v>95</v>
      </c>
      <c r="I3328" s="1"/>
      <c r="J3328" s="1"/>
      <c r="K3328" s="1"/>
      <c r="L3328" s="1"/>
    </row>
    <row r="3329" spans="1:12" x14ac:dyDescent="0.25">
      <c r="A3329" s="1"/>
      <c r="B3329" s="1"/>
      <c r="C3329" s="1"/>
      <c r="D3329" s="1"/>
      <c r="E3329" s="1" t="s">
        <v>1078</v>
      </c>
      <c r="F3329" s="1" t="s">
        <v>33</v>
      </c>
      <c r="G3329" s="1" t="s">
        <v>199</v>
      </c>
      <c r="H3329" s="1" t="s">
        <v>722</v>
      </c>
      <c r="I3329" s="1"/>
      <c r="J3329" s="1"/>
      <c r="K3329" s="1"/>
      <c r="L3329" s="1"/>
    </row>
    <row r="3330" spans="1:12" x14ac:dyDescent="0.25">
      <c r="A3330" s="1"/>
      <c r="B3330" s="1"/>
      <c r="C3330" s="1"/>
      <c r="D3330" s="1"/>
      <c r="E3330" s="1" t="s">
        <v>1078</v>
      </c>
      <c r="F3330" s="1" t="s">
        <v>34</v>
      </c>
      <c r="G3330" s="1" t="s">
        <v>200</v>
      </c>
      <c r="H3330" s="1" t="s">
        <v>1086</v>
      </c>
      <c r="I3330" s="1"/>
      <c r="J3330" s="1"/>
      <c r="K3330" s="1"/>
      <c r="L3330" s="1"/>
    </row>
    <row r="3331" spans="1:12" x14ac:dyDescent="0.25">
      <c r="A3331" s="1"/>
      <c r="B3331" s="1"/>
      <c r="C3331" s="1"/>
      <c r="D3331" s="1"/>
      <c r="E3331" s="1" t="s">
        <v>1078</v>
      </c>
      <c r="F3331" s="1" t="s">
        <v>35</v>
      </c>
      <c r="G3331" s="1" t="s">
        <v>201</v>
      </c>
      <c r="H3331" s="1" t="s">
        <v>1087</v>
      </c>
      <c r="I3331" s="1"/>
      <c r="J3331" s="1"/>
      <c r="K3331" s="1"/>
      <c r="L3331" s="1"/>
    </row>
    <row r="3332" spans="1:12" x14ac:dyDescent="0.25">
      <c r="A3332" s="1"/>
      <c r="B3332" s="1"/>
      <c r="C3332" s="1"/>
      <c r="D3332" s="1"/>
      <c r="E3332" s="1" t="s">
        <v>1078</v>
      </c>
      <c r="F3332" s="1" t="s">
        <v>36</v>
      </c>
      <c r="G3332" s="1" t="s">
        <v>202</v>
      </c>
      <c r="H3332" s="1" t="s">
        <v>98</v>
      </c>
      <c r="I3332" s="1"/>
      <c r="J3332" s="1"/>
      <c r="K3332" s="1"/>
      <c r="L3332" s="1"/>
    </row>
    <row r="3333" spans="1:12" x14ac:dyDescent="0.25">
      <c r="A3333" s="1"/>
      <c r="B3333" s="1"/>
      <c r="C3333" s="1"/>
      <c r="D3333" s="1"/>
      <c r="E3333" s="1" t="s">
        <v>1078</v>
      </c>
      <c r="F3333" s="1" t="s">
        <v>37</v>
      </c>
      <c r="G3333" s="1" t="s">
        <v>203</v>
      </c>
      <c r="H3333" s="1" t="s">
        <v>262</v>
      </c>
      <c r="I3333" s="1"/>
      <c r="J3333" s="1"/>
      <c r="K3333" s="1"/>
      <c r="L3333" s="1"/>
    </row>
    <row r="3334" spans="1:12" x14ac:dyDescent="0.25">
      <c r="A3334" s="1"/>
      <c r="B3334" s="1"/>
      <c r="C3334" s="1"/>
      <c r="D3334" s="1"/>
      <c r="E3334" s="1" t="s">
        <v>1078</v>
      </c>
      <c r="F3334" s="1" t="s">
        <v>38</v>
      </c>
      <c r="G3334" s="1" t="s">
        <v>204</v>
      </c>
      <c r="H3334" s="1" t="s">
        <v>388</v>
      </c>
      <c r="I3334" s="1"/>
      <c r="J3334" s="1"/>
      <c r="K3334" s="1"/>
      <c r="L3334" s="1"/>
    </row>
    <row r="3335" spans="1:12" x14ac:dyDescent="0.25">
      <c r="A3335" s="1"/>
      <c r="B3335" s="1"/>
      <c r="C3335" s="1"/>
      <c r="D3335" s="1"/>
      <c r="E3335" s="1" t="s">
        <v>1078</v>
      </c>
      <c r="F3335" s="1" t="s">
        <v>178</v>
      </c>
      <c r="G3335" s="1" t="s">
        <v>205</v>
      </c>
      <c r="H3335" s="1" t="s">
        <v>78</v>
      </c>
      <c r="I3335" s="1"/>
      <c r="J3335" s="1"/>
      <c r="K3335" s="1"/>
      <c r="L3335" s="1"/>
    </row>
    <row r="3336" spans="1:12" x14ac:dyDescent="0.25">
      <c r="A3336" s="1"/>
      <c r="B3336" s="1"/>
      <c r="C3336" s="1"/>
      <c r="D3336" s="1"/>
      <c r="E3336" s="1" t="s">
        <v>1078</v>
      </c>
      <c r="F3336" s="1" t="s">
        <v>179</v>
      </c>
      <c r="G3336" s="1" t="s">
        <v>206</v>
      </c>
      <c r="H3336" s="1" t="s">
        <v>95</v>
      </c>
      <c r="I3336" s="1"/>
      <c r="J3336" s="1"/>
      <c r="K3336" s="1"/>
      <c r="L3336" s="1"/>
    </row>
    <row r="3337" spans="1:12" x14ac:dyDescent="0.25">
      <c r="A3337" s="1"/>
      <c r="B3337" s="1"/>
      <c r="C3337" s="1"/>
      <c r="D3337" s="1"/>
      <c r="E3337" s="1" t="s">
        <v>1078</v>
      </c>
      <c r="F3337" s="1" t="s">
        <v>40</v>
      </c>
      <c r="G3337" s="1" t="s">
        <v>207</v>
      </c>
      <c r="H3337" s="1" t="s">
        <v>1088</v>
      </c>
      <c r="I3337" s="1"/>
      <c r="J3337" s="1"/>
      <c r="K3337" s="1"/>
      <c r="L3337" s="1"/>
    </row>
    <row r="3338" spans="1:12" x14ac:dyDescent="0.25">
      <c r="A3338" s="1"/>
      <c r="B3338" s="1"/>
      <c r="C3338" s="1"/>
      <c r="D3338" s="1"/>
      <c r="E3338" s="1" t="s">
        <v>1078</v>
      </c>
      <c r="F3338" s="1" t="s">
        <v>180</v>
      </c>
      <c r="G3338" s="1" t="s">
        <v>208</v>
      </c>
      <c r="H3338" s="1" t="s">
        <v>78</v>
      </c>
      <c r="I3338" s="1"/>
      <c r="J3338" s="1"/>
      <c r="K3338" s="1"/>
      <c r="L3338" s="1"/>
    </row>
    <row r="3339" spans="1:12" x14ac:dyDescent="0.25">
      <c r="A3339" s="1"/>
      <c r="B3339" s="1"/>
      <c r="C3339" s="1"/>
      <c r="D3339" s="1"/>
      <c r="E3339" s="1" t="s">
        <v>1078</v>
      </c>
      <c r="F3339" s="1" t="s">
        <v>43</v>
      </c>
      <c r="G3339" s="1" t="s">
        <v>209</v>
      </c>
      <c r="H3339" s="1" t="s">
        <v>232</v>
      </c>
      <c r="I3339" s="1"/>
      <c r="J3339" s="1"/>
      <c r="K3339" s="1"/>
      <c r="L3339" s="1"/>
    </row>
    <row r="3340" spans="1:12" x14ac:dyDescent="0.25">
      <c r="A3340" s="1"/>
      <c r="B3340" s="1"/>
      <c r="C3340" s="1"/>
      <c r="D3340" s="1"/>
      <c r="E3340" s="1" t="s">
        <v>1078</v>
      </c>
      <c r="F3340" s="1" t="s">
        <v>181</v>
      </c>
      <c r="G3340" s="1" t="s">
        <v>210</v>
      </c>
      <c r="H3340" s="1" t="s">
        <v>78</v>
      </c>
      <c r="I3340" s="1"/>
      <c r="J3340" s="1"/>
      <c r="K3340" s="1"/>
      <c r="L3340" s="1"/>
    </row>
    <row r="3341" spans="1:12" x14ac:dyDescent="0.25">
      <c r="A3341" s="1"/>
      <c r="B3341" s="1"/>
      <c r="C3341" s="1"/>
      <c r="D3341" s="1"/>
      <c r="E3341" s="1" t="s">
        <v>1078</v>
      </c>
      <c r="F3341" s="1" t="s">
        <v>182</v>
      </c>
      <c r="G3341" s="1" t="s">
        <v>211</v>
      </c>
      <c r="H3341" s="1" t="s">
        <v>78</v>
      </c>
      <c r="I3341" s="1"/>
      <c r="J3341" s="1"/>
      <c r="K3341" s="1"/>
      <c r="L3341" s="1"/>
    </row>
    <row r="3342" spans="1:12" x14ac:dyDescent="0.25">
      <c r="A3342" s="1"/>
      <c r="B3342" s="1"/>
      <c r="C3342" s="1"/>
      <c r="D3342" s="1"/>
      <c r="E3342" s="1" t="s">
        <v>1078</v>
      </c>
      <c r="F3342" s="1" t="s">
        <v>183</v>
      </c>
      <c r="G3342" s="1" t="s">
        <v>212</v>
      </c>
      <c r="H3342" s="1" t="s">
        <v>95</v>
      </c>
      <c r="I3342" s="1"/>
      <c r="J3342" s="1"/>
      <c r="K3342" s="1"/>
      <c r="L3342" s="1"/>
    </row>
    <row r="3343" spans="1:12" x14ac:dyDescent="0.25">
      <c r="A3343" s="1"/>
      <c r="B3343" s="1"/>
      <c r="C3343" s="1"/>
      <c r="D3343" s="1"/>
      <c r="E3343" s="1" t="s">
        <v>1078</v>
      </c>
      <c r="F3343" s="1" t="s">
        <v>184</v>
      </c>
      <c r="G3343" s="1" t="s">
        <v>213</v>
      </c>
      <c r="H3343" s="1" t="s">
        <v>417</v>
      </c>
      <c r="I3343" s="1"/>
      <c r="J3343" s="1"/>
      <c r="K3343" s="1"/>
      <c r="L3343" s="1"/>
    </row>
    <row r="3344" spans="1:12" x14ac:dyDescent="0.25">
      <c r="A3344" s="1"/>
      <c r="B3344" s="1"/>
      <c r="C3344" s="1"/>
      <c r="D3344" s="1"/>
      <c r="E3344" s="1" t="s">
        <v>1078</v>
      </c>
      <c r="F3344" s="1" t="s">
        <v>185</v>
      </c>
      <c r="G3344" s="1" t="s">
        <v>214</v>
      </c>
      <c r="H3344" s="1" t="s">
        <v>78</v>
      </c>
      <c r="I3344" s="1"/>
      <c r="J3344" s="1"/>
      <c r="K3344" s="1"/>
      <c r="L3344" s="1"/>
    </row>
    <row r="3345" spans="1:12" x14ac:dyDescent="0.25">
      <c r="A3345" s="1"/>
      <c r="B3345" s="1"/>
      <c r="C3345" s="1"/>
      <c r="D3345" s="1"/>
      <c r="E3345" s="1" t="s">
        <v>1078</v>
      </c>
      <c r="F3345" s="1" t="s">
        <v>186</v>
      </c>
      <c r="G3345" s="1" t="s">
        <v>215</v>
      </c>
      <c r="H3345" s="1" t="s">
        <v>95</v>
      </c>
      <c r="I3345" s="1"/>
      <c r="J3345" s="1"/>
      <c r="K3345" s="1"/>
      <c r="L3345" s="1"/>
    </row>
    <row r="3346" spans="1:12" x14ac:dyDescent="0.25">
      <c r="A3346" s="1"/>
      <c r="B3346" s="1"/>
      <c r="C3346" s="1"/>
      <c r="D3346" s="1"/>
      <c r="E3346" s="1" t="s">
        <v>1078</v>
      </c>
      <c r="F3346" s="1" t="s">
        <v>187</v>
      </c>
      <c r="G3346" s="1" t="s">
        <v>216</v>
      </c>
      <c r="H3346" s="1" t="s">
        <v>228</v>
      </c>
      <c r="I3346" s="1"/>
      <c r="J3346" s="1"/>
      <c r="K3346" s="1"/>
      <c r="L3346" s="1"/>
    </row>
    <row r="3347" spans="1:12" x14ac:dyDescent="0.25">
      <c r="A3347" s="1"/>
      <c r="B3347" s="1"/>
      <c r="C3347" s="1"/>
      <c r="D3347" s="1"/>
      <c r="E3347" s="1" t="s">
        <v>1078</v>
      </c>
      <c r="F3347" s="1" t="s">
        <v>188</v>
      </c>
      <c r="G3347" s="1" t="s">
        <v>217</v>
      </c>
      <c r="H3347" s="1" t="s">
        <v>78</v>
      </c>
      <c r="I3347" s="1"/>
      <c r="J3347" s="1"/>
      <c r="K3347" s="1"/>
      <c r="L3347" s="1"/>
    </row>
    <row r="3348" spans="1:12" x14ac:dyDescent="0.25">
      <c r="A3348" s="1"/>
      <c r="B3348" s="1"/>
      <c r="C3348" s="1"/>
      <c r="D3348" s="1"/>
      <c r="E3348" s="1" t="s">
        <v>1078</v>
      </c>
      <c r="F3348" s="1" t="s">
        <v>189</v>
      </c>
      <c r="G3348" s="1" t="s">
        <v>218</v>
      </c>
      <c r="H3348" s="1" t="s">
        <v>95</v>
      </c>
      <c r="I3348" s="1"/>
      <c r="J3348" s="1"/>
      <c r="K3348" s="1"/>
      <c r="L3348" s="1"/>
    </row>
    <row r="3349" spans="1:12" x14ac:dyDescent="0.25">
      <c r="A3349" s="1"/>
      <c r="B3349" s="1"/>
      <c r="C3349" s="1"/>
      <c r="D3349" s="1"/>
      <c r="E3349" s="1" t="s">
        <v>1078</v>
      </c>
      <c r="F3349" s="1" t="s">
        <v>190</v>
      </c>
      <c r="G3349" s="1" t="s">
        <v>219</v>
      </c>
      <c r="H3349" s="1" t="s">
        <v>95</v>
      </c>
      <c r="I3349" s="1"/>
      <c r="J3349" s="1"/>
      <c r="K3349" s="1"/>
      <c r="L3349" s="1"/>
    </row>
    <row r="3350" spans="1:12" x14ac:dyDescent="0.25">
      <c r="A3350" s="1"/>
      <c r="B3350" s="1"/>
      <c r="C3350" s="1"/>
      <c r="D3350" s="1"/>
      <c r="E3350" s="1" t="s">
        <v>1078</v>
      </c>
      <c r="F3350" s="1" t="s">
        <v>191</v>
      </c>
      <c r="G3350" s="1" t="s">
        <v>220</v>
      </c>
      <c r="H3350" s="1" t="s">
        <v>92</v>
      </c>
      <c r="I3350" s="1"/>
      <c r="J3350" s="1"/>
      <c r="K3350" s="1"/>
      <c r="L3350" s="1"/>
    </row>
    <row r="3351" spans="1:12" x14ac:dyDescent="0.25">
      <c r="A3351" s="1"/>
      <c r="B3351" s="1"/>
      <c r="C3351" s="1"/>
      <c r="D3351" s="1"/>
      <c r="E3351" s="1" t="s">
        <v>1078</v>
      </c>
      <c r="F3351" s="1" t="s">
        <v>192</v>
      </c>
      <c r="G3351" s="1" t="s">
        <v>221</v>
      </c>
      <c r="H3351" s="1" t="s">
        <v>92</v>
      </c>
      <c r="I3351" s="1"/>
      <c r="J3351" s="1"/>
      <c r="K3351" s="1"/>
      <c r="L3351" s="1"/>
    </row>
    <row r="3352" spans="1:12" x14ac:dyDescent="0.25">
      <c r="A3352" s="1"/>
      <c r="B3352" s="1"/>
      <c r="C3352" s="1"/>
      <c r="D3352" s="1"/>
      <c r="E3352" s="1" t="s">
        <v>1078</v>
      </c>
      <c r="F3352" s="1" t="s">
        <v>193</v>
      </c>
      <c r="G3352" s="1" t="s">
        <v>222</v>
      </c>
      <c r="H3352" s="1" t="s">
        <v>95</v>
      </c>
      <c r="I3352" s="1"/>
      <c r="J3352" s="1"/>
      <c r="K3352" s="1"/>
      <c r="L3352" s="1"/>
    </row>
    <row r="3353" spans="1:12" x14ac:dyDescent="0.25">
      <c r="A3353" s="1"/>
      <c r="B3353" s="1"/>
      <c r="C3353" s="1"/>
      <c r="D3353" s="1"/>
      <c r="E3353" s="1" t="s">
        <v>1078</v>
      </c>
      <c r="F3353" s="1"/>
      <c r="G3353" s="1"/>
      <c r="H3353" s="1"/>
      <c r="I3353" s="1" t="s">
        <v>1097</v>
      </c>
      <c r="J3353" s="1" t="s">
        <v>174</v>
      </c>
      <c r="K3353" s="1" t="s">
        <v>574</v>
      </c>
      <c r="L3353" s="1" t="s">
        <v>78</v>
      </c>
    </row>
    <row r="3354" spans="1:12" x14ac:dyDescent="0.25">
      <c r="A3354" s="1"/>
      <c r="B3354" s="1"/>
      <c r="C3354" s="1"/>
      <c r="D3354" s="1"/>
      <c r="E3354" s="1" t="s">
        <v>1078</v>
      </c>
      <c r="F3354" s="1"/>
      <c r="G3354" s="1"/>
      <c r="H3354" s="1"/>
      <c r="I3354" s="1" t="s">
        <v>1097</v>
      </c>
      <c r="J3354" s="1" t="s">
        <v>563</v>
      </c>
      <c r="K3354" s="1" t="s">
        <v>575</v>
      </c>
      <c r="L3354" s="1" t="s">
        <v>78</v>
      </c>
    </row>
    <row r="3355" spans="1:12" x14ac:dyDescent="0.25">
      <c r="A3355" s="1"/>
      <c r="B3355" s="1"/>
      <c r="C3355" s="1"/>
      <c r="D3355" s="1"/>
      <c r="E3355" s="1" t="s">
        <v>1078</v>
      </c>
      <c r="F3355" s="1"/>
      <c r="G3355" s="1"/>
      <c r="H3355" s="1"/>
      <c r="I3355" s="1" t="s">
        <v>1097</v>
      </c>
      <c r="J3355" s="1" t="s">
        <v>564</v>
      </c>
      <c r="K3355" s="1" t="s">
        <v>576</v>
      </c>
      <c r="L3355" s="1" t="s">
        <v>92</v>
      </c>
    </row>
    <row r="3356" spans="1:12" x14ac:dyDescent="0.25">
      <c r="A3356" s="1"/>
      <c r="B3356" s="1"/>
      <c r="C3356" s="1"/>
      <c r="D3356" s="1"/>
      <c r="E3356" s="1" t="s">
        <v>1078</v>
      </c>
      <c r="F3356" s="1"/>
      <c r="G3356" s="1"/>
      <c r="H3356" s="1"/>
      <c r="I3356" s="1" t="s">
        <v>1097</v>
      </c>
      <c r="J3356" s="1" t="s">
        <v>565</v>
      </c>
      <c r="K3356" s="1" t="s">
        <v>577</v>
      </c>
      <c r="L3356" s="1" t="s">
        <v>78</v>
      </c>
    </row>
    <row r="3357" spans="1:12" x14ac:dyDescent="0.25">
      <c r="A3357" s="1"/>
      <c r="B3357" s="1"/>
      <c r="C3357" s="1"/>
      <c r="D3357" s="1"/>
      <c r="E3357" s="1" t="s">
        <v>1078</v>
      </c>
      <c r="F3357" s="1"/>
      <c r="G3357" s="1"/>
      <c r="H3357" s="1"/>
      <c r="I3357" s="1" t="s">
        <v>1097</v>
      </c>
      <c r="J3357" s="1" t="s">
        <v>566</v>
      </c>
      <c r="K3357" s="1" t="s">
        <v>578</v>
      </c>
      <c r="L3357" s="1" t="s">
        <v>78</v>
      </c>
    </row>
    <row r="3358" spans="1:12" x14ac:dyDescent="0.25">
      <c r="A3358" s="1"/>
      <c r="B3358" s="1"/>
      <c r="C3358" s="1"/>
      <c r="D3358" s="1"/>
      <c r="E3358" s="1" t="s">
        <v>1078</v>
      </c>
      <c r="F3358" s="1"/>
      <c r="G3358" s="1"/>
      <c r="H3358" s="1"/>
      <c r="I3358" s="1" t="s">
        <v>1097</v>
      </c>
      <c r="J3358" s="1" t="s">
        <v>33</v>
      </c>
      <c r="K3358" s="1" t="s">
        <v>579</v>
      </c>
      <c r="L3358" s="1" t="s">
        <v>141</v>
      </c>
    </row>
    <row r="3359" spans="1:12" x14ac:dyDescent="0.25">
      <c r="A3359" s="1"/>
      <c r="B3359" s="1"/>
      <c r="C3359" s="1"/>
      <c r="D3359" s="1"/>
      <c r="E3359" s="1" t="s">
        <v>1078</v>
      </c>
      <c r="F3359" s="1"/>
      <c r="G3359" s="1"/>
      <c r="H3359" s="1"/>
      <c r="I3359" s="1" t="s">
        <v>1097</v>
      </c>
      <c r="J3359" s="1" t="s">
        <v>34</v>
      </c>
      <c r="K3359" s="1" t="s">
        <v>580</v>
      </c>
      <c r="L3359" s="1" t="s">
        <v>607</v>
      </c>
    </row>
    <row r="3360" spans="1:12" x14ac:dyDescent="0.25">
      <c r="A3360" s="1"/>
      <c r="B3360" s="1"/>
      <c r="C3360" s="1"/>
      <c r="D3360" s="1"/>
      <c r="E3360" s="1" t="s">
        <v>1078</v>
      </c>
      <c r="F3360" s="1"/>
      <c r="G3360" s="1"/>
      <c r="H3360" s="1"/>
      <c r="I3360" s="1" t="s">
        <v>1097</v>
      </c>
      <c r="J3360" s="1" t="s">
        <v>35</v>
      </c>
      <c r="K3360" s="1" t="s">
        <v>581</v>
      </c>
      <c r="L3360" s="1" t="s">
        <v>608</v>
      </c>
    </row>
    <row r="3361" spans="1:12" x14ac:dyDescent="0.25">
      <c r="A3361" s="1"/>
      <c r="B3361" s="1"/>
      <c r="C3361" s="1"/>
      <c r="D3361" s="1"/>
      <c r="E3361" s="1" t="s">
        <v>1078</v>
      </c>
      <c r="F3361" s="1"/>
      <c r="G3361" s="1"/>
      <c r="H3361" s="1"/>
      <c r="I3361" s="1" t="s">
        <v>1097</v>
      </c>
      <c r="J3361" s="1" t="s">
        <v>36</v>
      </c>
      <c r="K3361" s="1" t="s">
        <v>582</v>
      </c>
      <c r="L3361" s="1" t="s">
        <v>232</v>
      </c>
    </row>
    <row r="3362" spans="1:12" x14ac:dyDescent="0.25">
      <c r="A3362" s="1"/>
      <c r="B3362" s="1"/>
      <c r="C3362" s="1"/>
      <c r="D3362" s="1"/>
      <c r="E3362" s="1" t="s">
        <v>1078</v>
      </c>
      <c r="F3362" s="1"/>
      <c r="G3362" s="1"/>
      <c r="H3362" s="1"/>
      <c r="I3362" s="1" t="s">
        <v>1097</v>
      </c>
      <c r="J3362" s="1" t="s">
        <v>37</v>
      </c>
      <c r="K3362" s="1" t="s">
        <v>583</v>
      </c>
      <c r="L3362" s="1" t="s">
        <v>232</v>
      </c>
    </row>
    <row r="3363" spans="1:12" x14ac:dyDescent="0.25">
      <c r="A3363" s="1"/>
      <c r="B3363" s="1"/>
      <c r="C3363" s="1"/>
      <c r="D3363" s="1"/>
      <c r="E3363" s="1" t="s">
        <v>1078</v>
      </c>
      <c r="F3363" s="1"/>
      <c r="G3363" s="1"/>
      <c r="H3363" s="1"/>
      <c r="I3363" s="1" t="s">
        <v>1097</v>
      </c>
      <c r="J3363" s="1" t="s">
        <v>38</v>
      </c>
      <c r="K3363" s="1" t="s">
        <v>584</v>
      </c>
      <c r="L3363" s="1" t="s">
        <v>607</v>
      </c>
    </row>
    <row r="3364" spans="1:12" x14ac:dyDescent="0.25">
      <c r="A3364" s="1"/>
      <c r="B3364" s="1"/>
      <c r="C3364" s="1"/>
      <c r="D3364" s="1"/>
      <c r="E3364" s="1" t="s">
        <v>1078</v>
      </c>
      <c r="F3364" s="1"/>
      <c r="G3364" s="1"/>
      <c r="H3364" s="1"/>
      <c r="I3364" s="1" t="s">
        <v>1097</v>
      </c>
      <c r="J3364" s="1" t="s">
        <v>39</v>
      </c>
      <c r="K3364" s="1" t="s">
        <v>585</v>
      </c>
      <c r="L3364" s="1" t="s">
        <v>95</v>
      </c>
    </row>
    <row r="3365" spans="1:12" x14ac:dyDescent="0.25">
      <c r="A3365" s="1"/>
      <c r="B3365" s="1"/>
      <c r="C3365" s="1"/>
      <c r="D3365" s="1"/>
      <c r="E3365" s="1" t="s">
        <v>1078</v>
      </c>
      <c r="F3365" s="1"/>
      <c r="G3365" s="1"/>
      <c r="H3365" s="1"/>
      <c r="I3365" s="1" t="s">
        <v>1097</v>
      </c>
      <c r="J3365" s="1" t="s">
        <v>567</v>
      </c>
      <c r="K3365" s="1" t="s">
        <v>586</v>
      </c>
      <c r="L3365" s="1" t="s">
        <v>141</v>
      </c>
    </row>
    <row r="3366" spans="1:12" x14ac:dyDescent="0.25">
      <c r="A3366" s="1"/>
      <c r="B3366" s="1"/>
      <c r="C3366" s="1"/>
      <c r="D3366" s="1"/>
      <c r="E3366" s="1" t="s">
        <v>1078</v>
      </c>
      <c r="F3366" s="1"/>
      <c r="G3366" s="1"/>
      <c r="H3366" s="1"/>
      <c r="I3366" s="1" t="s">
        <v>1097</v>
      </c>
      <c r="J3366" s="1" t="s">
        <v>568</v>
      </c>
      <c r="K3366" s="1" t="s">
        <v>587</v>
      </c>
      <c r="L3366" s="1" t="s">
        <v>78</v>
      </c>
    </row>
    <row r="3367" spans="1:12" x14ac:dyDescent="0.25">
      <c r="A3367" s="1"/>
      <c r="B3367" s="1"/>
      <c r="C3367" s="1"/>
      <c r="D3367" s="1"/>
      <c r="E3367" s="1" t="s">
        <v>1078</v>
      </c>
      <c r="F3367" s="1"/>
      <c r="G3367" s="1"/>
      <c r="H3367" s="1"/>
      <c r="I3367" s="1" t="s">
        <v>1097</v>
      </c>
      <c r="J3367" s="1" t="s">
        <v>40</v>
      </c>
      <c r="K3367" s="1" t="s">
        <v>588</v>
      </c>
      <c r="L3367" s="1" t="s">
        <v>1074</v>
      </c>
    </row>
    <row r="3368" spans="1:12" x14ac:dyDescent="0.25">
      <c r="A3368" s="1"/>
      <c r="B3368" s="1"/>
      <c r="C3368" s="1"/>
      <c r="D3368" s="1"/>
      <c r="E3368" s="1" t="s">
        <v>1078</v>
      </c>
      <c r="F3368" s="1"/>
      <c r="G3368" s="1"/>
      <c r="H3368" s="1"/>
      <c r="I3368" s="1" t="s">
        <v>1097</v>
      </c>
      <c r="J3368" s="1" t="s">
        <v>569</v>
      </c>
      <c r="K3368" s="1" t="s">
        <v>589</v>
      </c>
      <c r="L3368" s="1" t="s">
        <v>78</v>
      </c>
    </row>
    <row r="3369" spans="1:12" x14ac:dyDescent="0.25">
      <c r="A3369" s="1"/>
      <c r="B3369" s="1"/>
      <c r="C3369" s="1"/>
      <c r="D3369" s="1"/>
      <c r="E3369" s="1" t="s">
        <v>1078</v>
      </c>
      <c r="F3369" s="1"/>
      <c r="G3369" s="1"/>
      <c r="H3369" s="1"/>
      <c r="I3369" s="1" t="s">
        <v>1097</v>
      </c>
      <c r="J3369" s="1" t="s">
        <v>570</v>
      </c>
      <c r="K3369" s="1" t="s">
        <v>590</v>
      </c>
      <c r="L3369" s="1" t="s">
        <v>95</v>
      </c>
    </row>
    <row r="3370" spans="1:12" x14ac:dyDescent="0.25">
      <c r="A3370" s="1"/>
      <c r="B3370" s="1"/>
      <c r="C3370" s="1"/>
      <c r="D3370" s="1"/>
      <c r="E3370" s="1" t="s">
        <v>1078</v>
      </c>
      <c r="F3370" s="1"/>
      <c r="G3370" s="1"/>
      <c r="H3370" s="1"/>
      <c r="I3370" s="1" t="s">
        <v>1097</v>
      </c>
      <c r="J3370" s="1" t="s">
        <v>571</v>
      </c>
      <c r="K3370" s="1" t="s">
        <v>591</v>
      </c>
      <c r="L3370" s="1" t="s">
        <v>223</v>
      </c>
    </row>
    <row r="3371" spans="1:12" x14ac:dyDescent="0.25">
      <c r="A3371" s="1"/>
      <c r="B3371" s="1"/>
      <c r="C3371" s="1"/>
      <c r="D3371" s="1"/>
      <c r="E3371" s="1" t="s">
        <v>1078</v>
      </c>
      <c r="F3371" s="1"/>
      <c r="G3371" s="1"/>
      <c r="H3371" s="1"/>
      <c r="I3371" s="1" t="s">
        <v>1097</v>
      </c>
      <c r="J3371" s="1" t="s">
        <v>572</v>
      </c>
      <c r="K3371" s="1" t="s">
        <v>592</v>
      </c>
      <c r="L3371" s="1" t="s">
        <v>78</v>
      </c>
    </row>
    <row r="3372" spans="1:12" x14ac:dyDescent="0.25">
      <c r="A3372" s="1"/>
      <c r="B3372" s="1"/>
      <c r="C3372" s="1"/>
      <c r="D3372" s="1"/>
      <c r="E3372" s="1" t="s">
        <v>1078</v>
      </c>
      <c r="F3372" s="1"/>
      <c r="G3372" s="1"/>
      <c r="H3372" s="1"/>
      <c r="I3372" s="1" t="s">
        <v>1097</v>
      </c>
      <c r="J3372" s="1" t="s">
        <v>573</v>
      </c>
      <c r="K3372" s="1" t="s">
        <v>593</v>
      </c>
      <c r="L3372" s="1" t="s">
        <v>95</v>
      </c>
    </row>
    <row r="3373" spans="1:12" x14ac:dyDescent="0.25">
      <c r="A3373" s="1"/>
      <c r="B3373" s="1"/>
      <c r="C3373" s="1"/>
      <c r="D3373" s="1"/>
      <c r="E3373" s="1" t="s">
        <v>1079</v>
      </c>
      <c r="F3373" s="1" t="s">
        <v>173</v>
      </c>
      <c r="G3373" s="1" t="s">
        <v>194</v>
      </c>
      <c r="H3373" s="1" t="s">
        <v>78</v>
      </c>
      <c r="I3373" s="1"/>
      <c r="J3373" s="1"/>
      <c r="K3373" s="1"/>
      <c r="L3373" s="1"/>
    </row>
    <row r="3374" spans="1:12" x14ac:dyDescent="0.25">
      <c r="A3374" s="1"/>
      <c r="B3374" s="1"/>
      <c r="C3374" s="1"/>
      <c r="D3374" s="1"/>
      <c r="E3374" s="1" t="s">
        <v>1079</v>
      </c>
      <c r="F3374" s="1" t="s">
        <v>174</v>
      </c>
      <c r="G3374" s="1" t="s">
        <v>195</v>
      </c>
      <c r="H3374" s="1" t="s">
        <v>78</v>
      </c>
      <c r="I3374" s="1"/>
      <c r="J3374" s="1"/>
      <c r="K3374" s="1"/>
      <c r="L3374" s="1"/>
    </row>
    <row r="3375" spans="1:12" x14ac:dyDescent="0.25">
      <c r="A3375" s="1"/>
      <c r="B3375" s="1"/>
      <c r="C3375" s="1"/>
      <c r="D3375" s="1"/>
      <c r="E3375" s="1" t="s">
        <v>1079</v>
      </c>
      <c r="F3375" s="1" t="s">
        <v>175</v>
      </c>
      <c r="G3375" s="1" t="s">
        <v>196</v>
      </c>
      <c r="H3375" s="1" t="s">
        <v>275</v>
      </c>
      <c r="I3375" s="1"/>
      <c r="J3375" s="1"/>
      <c r="K3375" s="1"/>
      <c r="L3375" s="1"/>
    </row>
    <row r="3376" spans="1:12" x14ac:dyDescent="0.25">
      <c r="A3376" s="1"/>
      <c r="B3376" s="1"/>
      <c r="C3376" s="1"/>
      <c r="D3376" s="1"/>
      <c r="E3376" s="1" t="s">
        <v>1079</v>
      </c>
      <c r="F3376" s="1" t="s">
        <v>176</v>
      </c>
      <c r="G3376" s="1" t="s">
        <v>197</v>
      </c>
      <c r="H3376" s="1" t="s">
        <v>95</v>
      </c>
      <c r="I3376" s="1"/>
      <c r="J3376" s="1"/>
      <c r="K3376" s="1"/>
      <c r="L3376" s="1"/>
    </row>
    <row r="3377" spans="1:12" x14ac:dyDescent="0.25">
      <c r="A3377" s="1"/>
      <c r="B3377" s="1"/>
      <c r="C3377" s="1"/>
      <c r="D3377" s="1"/>
      <c r="E3377" s="1" t="s">
        <v>1079</v>
      </c>
      <c r="F3377" s="1" t="s">
        <v>177</v>
      </c>
      <c r="G3377" s="1" t="s">
        <v>198</v>
      </c>
      <c r="H3377" s="1" t="s">
        <v>95</v>
      </c>
      <c r="I3377" s="1"/>
      <c r="J3377" s="1"/>
      <c r="K3377" s="1"/>
      <c r="L3377" s="1"/>
    </row>
    <row r="3378" spans="1:12" x14ac:dyDescent="0.25">
      <c r="A3378" s="1"/>
      <c r="B3378" s="1"/>
      <c r="C3378" s="1"/>
      <c r="D3378" s="1"/>
      <c r="E3378" s="1" t="s">
        <v>1079</v>
      </c>
      <c r="F3378" s="1" t="s">
        <v>33</v>
      </c>
      <c r="G3378" s="1" t="s">
        <v>199</v>
      </c>
      <c r="H3378" s="1" t="s">
        <v>92</v>
      </c>
      <c r="I3378" s="1"/>
      <c r="J3378" s="1"/>
      <c r="K3378" s="1"/>
      <c r="L3378" s="1"/>
    </row>
    <row r="3379" spans="1:12" x14ac:dyDescent="0.25">
      <c r="A3379" s="1"/>
      <c r="B3379" s="1"/>
      <c r="C3379" s="1"/>
      <c r="D3379" s="1"/>
      <c r="E3379" s="1" t="s">
        <v>1079</v>
      </c>
      <c r="F3379" s="1" t="s">
        <v>34</v>
      </c>
      <c r="G3379" s="1" t="s">
        <v>200</v>
      </c>
      <c r="H3379" s="1" t="s">
        <v>92</v>
      </c>
      <c r="I3379" s="1"/>
      <c r="J3379" s="1"/>
      <c r="K3379" s="1"/>
      <c r="L3379" s="1"/>
    </row>
    <row r="3380" spans="1:12" x14ac:dyDescent="0.25">
      <c r="A3380" s="1"/>
      <c r="B3380" s="1"/>
      <c r="C3380" s="1"/>
      <c r="D3380" s="1"/>
      <c r="E3380" s="1" t="s">
        <v>1079</v>
      </c>
      <c r="F3380" s="1" t="s">
        <v>35</v>
      </c>
      <c r="G3380" s="1" t="s">
        <v>201</v>
      </c>
      <c r="H3380" s="1" t="s">
        <v>92</v>
      </c>
      <c r="I3380" s="1"/>
      <c r="J3380" s="1"/>
      <c r="K3380" s="1"/>
      <c r="L3380" s="1"/>
    </row>
    <row r="3381" spans="1:12" x14ac:dyDescent="0.25">
      <c r="A3381" s="1"/>
      <c r="B3381" s="1"/>
      <c r="C3381" s="1"/>
      <c r="D3381" s="1"/>
      <c r="E3381" s="1" t="s">
        <v>1079</v>
      </c>
      <c r="F3381" s="1" t="s">
        <v>36</v>
      </c>
      <c r="G3381" s="1" t="s">
        <v>202</v>
      </c>
      <c r="H3381" s="1" t="s">
        <v>97</v>
      </c>
      <c r="I3381" s="1"/>
      <c r="J3381" s="1"/>
      <c r="K3381" s="1"/>
      <c r="L3381" s="1"/>
    </row>
    <row r="3382" spans="1:12" x14ac:dyDescent="0.25">
      <c r="A3382" s="1"/>
      <c r="B3382" s="1"/>
      <c r="C3382" s="1"/>
      <c r="D3382" s="1"/>
      <c r="E3382" s="1" t="s">
        <v>1079</v>
      </c>
      <c r="F3382" s="1" t="s">
        <v>37</v>
      </c>
      <c r="G3382" s="1" t="s">
        <v>203</v>
      </c>
      <c r="H3382" s="1" t="s">
        <v>275</v>
      </c>
      <c r="I3382" s="1"/>
      <c r="J3382" s="1"/>
      <c r="K3382" s="1"/>
      <c r="L3382" s="1"/>
    </row>
    <row r="3383" spans="1:12" x14ac:dyDescent="0.25">
      <c r="A3383" s="1"/>
      <c r="B3383" s="1"/>
      <c r="C3383" s="1"/>
      <c r="D3383" s="1"/>
      <c r="E3383" s="1" t="s">
        <v>1079</v>
      </c>
      <c r="F3383" s="1" t="s">
        <v>38</v>
      </c>
      <c r="G3383" s="1" t="s">
        <v>204</v>
      </c>
      <c r="H3383" s="1" t="s">
        <v>1089</v>
      </c>
      <c r="I3383" s="1"/>
      <c r="J3383" s="1"/>
      <c r="K3383" s="1"/>
      <c r="L3383" s="1"/>
    </row>
    <row r="3384" spans="1:12" x14ac:dyDescent="0.25">
      <c r="A3384" s="1"/>
      <c r="B3384" s="1"/>
      <c r="C3384" s="1"/>
      <c r="D3384" s="1"/>
      <c r="E3384" s="1" t="s">
        <v>1079</v>
      </c>
      <c r="F3384" s="1" t="s">
        <v>178</v>
      </c>
      <c r="G3384" s="1" t="s">
        <v>205</v>
      </c>
      <c r="H3384" s="1" t="s">
        <v>78</v>
      </c>
      <c r="I3384" s="1"/>
      <c r="J3384" s="1"/>
      <c r="K3384" s="1"/>
      <c r="L3384" s="1"/>
    </row>
    <row r="3385" spans="1:12" x14ac:dyDescent="0.25">
      <c r="A3385" s="1"/>
      <c r="B3385" s="1"/>
      <c r="C3385" s="1"/>
      <c r="D3385" s="1"/>
      <c r="E3385" s="1" t="s">
        <v>1079</v>
      </c>
      <c r="F3385" s="1" t="s">
        <v>179</v>
      </c>
      <c r="G3385" s="1" t="s">
        <v>206</v>
      </c>
      <c r="H3385" s="1" t="s">
        <v>78</v>
      </c>
      <c r="I3385" s="1"/>
      <c r="J3385" s="1"/>
      <c r="K3385" s="1"/>
      <c r="L3385" s="1"/>
    </row>
    <row r="3386" spans="1:12" x14ac:dyDescent="0.25">
      <c r="A3386" s="1"/>
      <c r="B3386" s="1"/>
      <c r="C3386" s="1"/>
      <c r="D3386" s="1"/>
      <c r="E3386" s="1" t="s">
        <v>1079</v>
      </c>
      <c r="F3386" s="1" t="s">
        <v>40</v>
      </c>
      <c r="G3386" s="1" t="s">
        <v>207</v>
      </c>
      <c r="H3386" s="1" t="s">
        <v>92</v>
      </c>
      <c r="I3386" s="1"/>
      <c r="J3386" s="1"/>
      <c r="K3386" s="1"/>
      <c r="L3386" s="1"/>
    </row>
    <row r="3387" spans="1:12" x14ac:dyDescent="0.25">
      <c r="A3387" s="1"/>
      <c r="B3387" s="1"/>
      <c r="C3387" s="1"/>
      <c r="D3387" s="1"/>
      <c r="E3387" s="1" t="s">
        <v>1079</v>
      </c>
      <c r="F3387" s="1" t="s">
        <v>180</v>
      </c>
      <c r="G3387" s="1" t="s">
        <v>208</v>
      </c>
      <c r="H3387" s="1" t="s">
        <v>78</v>
      </c>
      <c r="I3387" s="1"/>
      <c r="J3387" s="1"/>
      <c r="K3387" s="1"/>
      <c r="L3387" s="1"/>
    </row>
    <row r="3388" spans="1:12" x14ac:dyDescent="0.25">
      <c r="A3388" s="1"/>
      <c r="B3388" s="1"/>
      <c r="C3388" s="1"/>
      <c r="D3388" s="1"/>
      <c r="E3388" s="1" t="s">
        <v>1079</v>
      </c>
      <c r="F3388" s="1" t="s">
        <v>43</v>
      </c>
      <c r="G3388" s="1" t="s">
        <v>209</v>
      </c>
      <c r="H3388" s="1" t="s">
        <v>275</v>
      </c>
      <c r="I3388" s="1"/>
      <c r="J3388" s="1"/>
      <c r="K3388" s="1"/>
      <c r="L3388" s="1"/>
    </row>
    <row r="3389" spans="1:12" x14ac:dyDescent="0.25">
      <c r="A3389" s="1"/>
      <c r="B3389" s="1"/>
      <c r="C3389" s="1"/>
      <c r="D3389" s="1"/>
      <c r="E3389" s="1" t="s">
        <v>1079</v>
      </c>
      <c r="F3389" s="1" t="s">
        <v>181</v>
      </c>
      <c r="G3389" s="1" t="s">
        <v>210</v>
      </c>
      <c r="H3389" s="1" t="s">
        <v>78</v>
      </c>
      <c r="I3389" s="1"/>
      <c r="J3389" s="1"/>
      <c r="K3389" s="1"/>
      <c r="L3389" s="1"/>
    </row>
    <row r="3390" spans="1:12" x14ac:dyDescent="0.25">
      <c r="A3390" s="1"/>
      <c r="B3390" s="1"/>
      <c r="C3390" s="1"/>
      <c r="D3390" s="1"/>
      <c r="E3390" s="1" t="s">
        <v>1079</v>
      </c>
      <c r="F3390" s="1" t="s">
        <v>182</v>
      </c>
      <c r="G3390" s="1" t="s">
        <v>211</v>
      </c>
      <c r="H3390" s="1" t="s">
        <v>78</v>
      </c>
      <c r="I3390" s="1"/>
      <c r="J3390" s="1"/>
      <c r="K3390" s="1"/>
      <c r="L3390" s="1"/>
    </row>
    <row r="3391" spans="1:12" x14ac:dyDescent="0.25">
      <c r="A3391" s="1"/>
      <c r="B3391" s="1"/>
      <c r="C3391" s="1"/>
      <c r="D3391" s="1"/>
      <c r="E3391" s="1" t="s">
        <v>1079</v>
      </c>
      <c r="F3391" s="1" t="s">
        <v>183</v>
      </c>
      <c r="G3391" s="1" t="s">
        <v>212</v>
      </c>
      <c r="H3391" s="1" t="s">
        <v>223</v>
      </c>
      <c r="I3391" s="1"/>
      <c r="J3391" s="1"/>
      <c r="K3391" s="1"/>
      <c r="L3391" s="1"/>
    </row>
    <row r="3392" spans="1:12" x14ac:dyDescent="0.25">
      <c r="A3392" s="1"/>
      <c r="B3392" s="1"/>
      <c r="C3392" s="1"/>
      <c r="D3392" s="1"/>
      <c r="E3392" s="1" t="s">
        <v>1079</v>
      </c>
      <c r="F3392" s="1" t="s">
        <v>184</v>
      </c>
      <c r="G3392" s="1" t="s">
        <v>213</v>
      </c>
      <c r="H3392" s="1" t="s">
        <v>417</v>
      </c>
      <c r="I3392" s="1"/>
      <c r="J3392" s="1"/>
      <c r="K3392" s="1"/>
      <c r="L3392" s="1"/>
    </row>
    <row r="3393" spans="1:12" x14ac:dyDescent="0.25">
      <c r="A3393" s="1"/>
      <c r="B3393" s="1"/>
      <c r="C3393" s="1"/>
      <c r="D3393" s="1"/>
      <c r="E3393" s="1" t="s">
        <v>1079</v>
      </c>
      <c r="F3393" s="1" t="s">
        <v>185</v>
      </c>
      <c r="G3393" s="1" t="s">
        <v>214</v>
      </c>
      <c r="H3393" s="1" t="s">
        <v>78</v>
      </c>
      <c r="I3393" s="1"/>
      <c r="J3393" s="1"/>
      <c r="K3393" s="1"/>
      <c r="L3393" s="1"/>
    </row>
    <row r="3394" spans="1:12" x14ac:dyDescent="0.25">
      <c r="A3394" s="1"/>
      <c r="B3394" s="1"/>
      <c r="C3394" s="1"/>
      <c r="D3394" s="1"/>
      <c r="E3394" s="1" t="s">
        <v>1079</v>
      </c>
      <c r="F3394" s="1" t="s">
        <v>186</v>
      </c>
      <c r="G3394" s="1" t="s">
        <v>215</v>
      </c>
      <c r="H3394" s="1" t="s">
        <v>78</v>
      </c>
      <c r="I3394" s="1"/>
      <c r="J3394" s="1"/>
      <c r="K3394" s="1"/>
      <c r="L3394" s="1"/>
    </row>
    <row r="3395" spans="1:12" x14ac:dyDescent="0.25">
      <c r="A3395" s="1"/>
      <c r="B3395" s="1"/>
      <c r="C3395" s="1"/>
      <c r="D3395" s="1"/>
      <c r="E3395" s="1" t="s">
        <v>1079</v>
      </c>
      <c r="F3395" s="1" t="s">
        <v>187</v>
      </c>
      <c r="G3395" s="1" t="s">
        <v>216</v>
      </c>
      <c r="H3395" s="1" t="s">
        <v>133</v>
      </c>
      <c r="I3395" s="1"/>
      <c r="J3395" s="1"/>
      <c r="K3395" s="1"/>
      <c r="L3395" s="1"/>
    </row>
    <row r="3396" spans="1:12" x14ac:dyDescent="0.25">
      <c r="A3396" s="1"/>
      <c r="B3396" s="1"/>
      <c r="C3396" s="1"/>
      <c r="D3396" s="1"/>
      <c r="E3396" s="1" t="s">
        <v>1079</v>
      </c>
      <c r="F3396" s="1" t="s">
        <v>188</v>
      </c>
      <c r="G3396" s="1" t="s">
        <v>217</v>
      </c>
      <c r="H3396" s="1" t="s">
        <v>78</v>
      </c>
      <c r="I3396" s="1"/>
      <c r="J3396" s="1"/>
      <c r="K3396" s="1"/>
      <c r="L3396" s="1"/>
    </row>
    <row r="3397" spans="1:12" x14ac:dyDescent="0.25">
      <c r="A3397" s="1"/>
      <c r="B3397" s="1"/>
      <c r="C3397" s="1"/>
      <c r="D3397" s="1"/>
      <c r="E3397" s="1" t="s">
        <v>1079</v>
      </c>
      <c r="F3397" s="1" t="s">
        <v>189</v>
      </c>
      <c r="G3397" s="1" t="s">
        <v>218</v>
      </c>
      <c r="H3397" s="1" t="s">
        <v>223</v>
      </c>
      <c r="I3397" s="1"/>
      <c r="J3397" s="1"/>
      <c r="K3397" s="1"/>
      <c r="L3397" s="1"/>
    </row>
    <row r="3398" spans="1:12" x14ac:dyDescent="0.25">
      <c r="A3398" s="1"/>
      <c r="B3398" s="1"/>
      <c r="C3398" s="1"/>
      <c r="D3398" s="1"/>
      <c r="E3398" s="1" t="s">
        <v>1079</v>
      </c>
      <c r="F3398" s="1" t="s">
        <v>190</v>
      </c>
      <c r="G3398" s="1" t="s">
        <v>219</v>
      </c>
      <c r="H3398" s="1" t="s">
        <v>78</v>
      </c>
      <c r="I3398" s="1"/>
      <c r="J3398" s="1"/>
      <c r="K3398" s="1"/>
      <c r="L3398" s="1"/>
    </row>
    <row r="3399" spans="1:12" x14ac:dyDescent="0.25">
      <c r="A3399" s="1"/>
      <c r="B3399" s="1"/>
      <c r="C3399" s="1"/>
      <c r="D3399" s="1"/>
      <c r="E3399" s="1" t="s">
        <v>1079</v>
      </c>
      <c r="F3399" s="1" t="s">
        <v>191</v>
      </c>
      <c r="G3399" s="1" t="s">
        <v>220</v>
      </c>
      <c r="H3399" s="1" t="s">
        <v>92</v>
      </c>
      <c r="I3399" s="1"/>
      <c r="J3399" s="1"/>
      <c r="K3399" s="1"/>
      <c r="L3399" s="1"/>
    </row>
    <row r="3400" spans="1:12" x14ac:dyDescent="0.25">
      <c r="A3400" s="1"/>
      <c r="B3400" s="1"/>
      <c r="C3400" s="1"/>
      <c r="D3400" s="1"/>
      <c r="E3400" s="1" t="s">
        <v>1079</v>
      </c>
      <c r="F3400" s="1" t="s">
        <v>192</v>
      </c>
      <c r="G3400" s="1" t="s">
        <v>221</v>
      </c>
      <c r="H3400" s="1" t="s">
        <v>92</v>
      </c>
      <c r="I3400" s="1"/>
      <c r="J3400" s="1"/>
      <c r="K3400" s="1"/>
      <c r="L3400" s="1"/>
    </row>
    <row r="3401" spans="1:12" x14ac:dyDescent="0.25">
      <c r="A3401" s="1"/>
      <c r="B3401" s="1"/>
      <c r="C3401" s="1"/>
      <c r="D3401" s="1"/>
      <c r="E3401" s="1" t="s">
        <v>1079</v>
      </c>
      <c r="F3401" s="1" t="s">
        <v>193</v>
      </c>
      <c r="G3401" s="1" t="s">
        <v>222</v>
      </c>
      <c r="H3401" s="1" t="s">
        <v>78</v>
      </c>
      <c r="I3401" s="1"/>
      <c r="J3401" s="1"/>
      <c r="K3401" s="1"/>
      <c r="L3401" s="1"/>
    </row>
    <row r="3402" spans="1:12" x14ac:dyDescent="0.25">
      <c r="A3402" s="1"/>
      <c r="B3402" s="1"/>
      <c r="C3402" s="1"/>
      <c r="D3402" s="1"/>
      <c r="E3402" s="1" t="s">
        <v>1080</v>
      </c>
      <c r="F3402" s="1" t="s">
        <v>173</v>
      </c>
      <c r="G3402" s="1" t="s">
        <v>194</v>
      </c>
      <c r="H3402" s="1" t="s">
        <v>78</v>
      </c>
      <c r="I3402" s="1"/>
      <c r="J3402" s="1"/>
      <c r="K3402" s="1"/>
      <c r="L3402" s="1"/>
    </row>
    <row r="3403" spans="1:12" x14ac:dyDescent="0.25">
      <c r="A3403" s="1"/>
      <c r="B3403" s="1"/>
      <c r="C3403" s="1"/>
      <c r="D3403" s="1"/>
      <c r="E3403" s="1" t="s">
        <v>1080</v>
      </c>
      <c r="F3403" s="1" t="s">
        <v>174</v>
      </c>
      <c r="G3403" s="1" t="s">
        <v>195</v>
      </c>
      <c r="H3403" s="1" t="s">
        <v>78</v>
      </c>
      <c r="I3403" s="1"/>
      <c r="J3403" s="1"/>
      <c r="K3403" s="1"/>
      <c r="L3403" s="1"/>
    </row>
    <row r="3404" spans="1:12" x14ac:dyDescent="0.25">
      <c r="A3404" s="1"/>
      <c r="B3404" s="1"/>
      <c r="C3404" s="1"/>
      <c r="D3404" s="1"/>
      <c r="E3404" s="1" t="s">
        <v>1080</v>
      </c>
      <c r="F3404" s="1" t="s">
        <v>175</v>
      </c>
      <c r="G3404" s="1" t="s">
        <v>196</v>
      </c>
      <c r="H3404" s="1" t="s">
        <v>275</v>
      </c>
      <c r="I3404" s="1"/>
      <c r="J3404" s="1"/>
      <c r="K3404" s="1"/>
      <c r="L3404" s="1"/>
    </row>
    <row r="3405" spans="1:12" x14ac:dyDescent="0.25">
      <c r="A3405" s="1"/>
      <c r="B3405" s="1"/>
      <c r="C3405" s="1"/>
      <c r="D3405" s="1"/>
      <c r="E3405" s="1" t="s">
        <v>1080</v>
      </c>
      <c r="F3405" s="1" t="s">
        <v>176</v>
      </c>
      <c r="G3405" s="1" t="s">
        <v>197</v>
      </c>
      <c r="H3405" s="1" t="s">
        <v>95</v>
      </c>
      <c r="I3405" s="1"/>
      <c r="J3405" s="1"/>
      <c r="K3405" s="1"/>
      <c r="L3405" s="1"/>
    </row>
    <row r="3406" spans="1:12" x14ac:dyDescent="0.25">
      <c r="A3406" s="1"/>
      <c r="B3406" s="1"/>
      <c r="C3406" s="1"/>
      <c r="D3406" s="1"/>
      <c r="E3406" s="1" t="s">
        <v>1080</v>
      </c>
      <c r="F3406" s="1" t="s">
        <v>177</v>
      </c>
      <c r="G3406" s="1" t="s">
        <v>198</v>
      </c>
      <c r="H3406" s="1" t="s">
        <v>95</v>
      </c>
      <c r="I3406" s="1"/>
      <c r="J3406" s="1"/>
      <c r="K3406" s="1"/>
      <c r="L3406" s="1"/>
    </row>
    <row r="3407" spans="1:12" x14ac:dyDescent="0.25">
      <c r="A3407" s="1"/>
      <c r="B3407" s="1"/>
      <c r="C3407" s="1"/>
      <c r="D3407" s="1"/>
      <c r="E3407" s="1" t="s">
        <v>1080</v>
      </c>
      <c r="F3407" s="1" t="s">
        <v>33</v>
      </c>
      <c r="G3407" s="1" t="s">
        <v>199</v>
      </c>
      <c r="H3407" s="1" t="s">
        <v>92</v>
      </c>
      <c r="I3407" s="1"/>
      <c r="J3407" s="1"/>
      <c r="K3407" s="1"/>
      <c r="L3407" s="1"/>
    </row>
    <row r="3408" spans="1:12" x14ac:dyDescent="0.25">
      <c r="A3408" s="1"/>
      <c r="B3408" s="1"/>
      <c r="C3408" s="1"/>
      <c r="D3408" s="1"/>
      <c r="E3408" s="1" t="s">
        <v>1080</v>
      </c>
      <c r="F3408" s="1" t="s">
        <v>34</v>
      </c>
      <c r="G3408" s="1" t="s">
        <v>200</v>
      </c>
      <c r="H3408" s="1" t="s">
        <v>92</v>
      </c>
      <c r="I3408" s="1"/>
      <c r="J3408" s="1"/>
      <c r="K3408" s="1"/>
      <c r="L3408" s="1"/>
    </row>
    <row r="3409" spans="1:12" x14ac:dyDescent="0.25">
      <c r="A3409" s="1"/>
      <c r="B3409" s="1"/>
      <c r="C3409" s="1"/>
      <c r="D3409" s="1"/>
      <c r="E3409" s="1" t="s">
        <v>1080</v>
      </c>
      <c r="F3409" s="1" t="s">
        <v>35</v>
      </c>
      <c r="G3409" s="1" t="s">
        <v>201</v>
      </c>
      <c r="H3409" s="1" t="s">
        <v>92</v>
      </c>
      <c r="I3409" s="1"/>
      <c r="J3409" s="1"/>
      <c r="K3409" s="1"/>
      <c r="L3409" s="1"/>
    </row>
    <row r="3410" spans="1:12" x14ac:dyDescent="0.25">
      <c r="A3410" s="1"/>
      <c r="B3410" s="1"/>
      <c r="C3410" s="1"/>
      <c r="D3410" s="1"/>
      <c r="E3410" s="1" t="s">
        <v>1080</v>
      </c>
      <c r="F3410" s="1" t="s">
        <v>36</v>
      </c>
      <c r="G3410" s="1" t="s">
        <v>202</v>
      </c>
      <c r="H3410" s="1" t="s">
        <v>98</v>
      </c>
      <c r="I3410" s="1"/>
      <c r="J3410" s="1"/>
      <c r="K3410" s="1"/>
      <c r="L3410" s="1"/>
    </row>
    <row r="3411" spans="1:12" x14ac:dyDescent="0.25">
      <c r="A3411" s="1"/>
      <c r="B3411" s="1"/>
      <c r="C3411" s="1"/>
      <c r="D3411" s="1"/>
      <c r="E3411" s="1" t="s">
        <v>1080</v>
      </c>
      <c r="F3411" s="1" t="s">
        <v>37</v>
      </c>
      <c r="G3411" s="1" t="s">
        <v>203</v>
      </c>
      <c r="H3411" s="1" t="s">
        <v>232</v>
      </c>
      <c r="I3411" s="1"/>
      <c r="J3411" s="1"/>
      <c r="K3411" s="1"/>
      <c r="L3411" s="1"/>
    </row>
    <row r="3412" spans="1:12" x14ac:dyDescent="0.25">
      <c r="A3412" s="1"/>
      <c r="B3412" s="1"/>
      <c r="C3412" s="1"/>
      <c r="D3412" s="1"/>
      <c r="E3412" s="1" t="s">
        <v>1080</v>
      </c>
      <c r="F3412" s="1" t="s">
        <v>38</v>
      </c>
      <c r="G3412" s="1" t="s">
        <v>204</v>
      </c>
      <c r="H3412" s="1" t="s">
        <v>1090</v>
      </c>
      <c r="I3412" s="1"/>
      <c r="J3412" s="1"/>
      <c r="K3412" s="1"/>
      <c r="L3412" s="1"/>
    </row>
    <row r="3413" spans="1:12" x14ac:dyDescent="0.25">
      <c r="A3413" s="1"/>
      <c r="B3413" s="1"/>
      <c r="C3413" s="1"/>
      <c r="D3413" s="1"/>
      <c r="E3413" s="1" t="s">
        <v>1080</v>
      </c>
      <c r="F3413" s="1" t="s">
        <v>178</v>
      </c>
      <c r="G3413" s="1" t="s">
        <v>205</v>
      </c>
      <c r="H3413" s="1" t="s">
        <v>78</v>
      </c>
      <c r="I3413" s="1"/>
      <c r="J3413" s="1"/>
      <c r="K3413" s="1"/>
      <c r="L3413" s="1"/>
    </row>
    <row r="3414" spans="1:12" x14ac:dyDescent="0.25">
      <c r="A3414" s="1"/>
      <c r="B3414" s="1"/>
      <c r="C3414" s="1"/>
      <c r="D3414" s="1"/>
      <c r="E3414" s="1" t="s">
        <v>1080</v>
      </c>
      <c r="F3414" s="1" t="s">
        <v>179</v>
      </c>
      <c r="G3414" s="1" t="s">
        <v>206</v>
      </c>
      <c r="H3414" s="1" t="s">
        <v>78</v>
      </c>
      <c r="I3414" s="1"/>
      <c r="J3414" s="1"/>
      <c r="K3414" s="1"/>
      <c r="L3414" s="1"/>
    </row>
    <row r="3415" spans="1:12" x14ac:dyDescent="0.25">
      <c r="A3415" s="1"/>
      <c r="B3415" s="1"/>
      <c r="C3415" s="1"/>
      <c r="D3415" s="1"/>
      <c r="E3415" s="1" t="s">
        <v>1080</v>
      </c>
      <c r="F3415" s="1" t="s">
        <v>40</v>
      </c>
      <c r="G3415" s="1" t="s">
        <v>207</v>
      </c>
      <c r="H3415" s="1" t="s">
        <v>92</v>
      </c>
      <c r="I3415" s="1"/>
      <c r="J3415" s="1"/>
      <c r="K3415" s="1"/>
      <c r="L3415" s="1"/>
    </row>
    <row r="3416" spans="1:12" x14ac:dyDescent="0.25">
      <c r="A3416" s="1"/>
      <c r="B3416" s="1"/>
      <c r="C3416" s="1"/>
      <c r="D3416" s="1"/>
      <c r="E3416" s="1" t="s">
        <v>1080</v>
      </c>
      <c r="F3416" s="1" t="s">
        <v>180</v>
      </c>
      <c r="G3416" s="1" t="s">
        <v>208</v>
      </c>
      <c r="H3416" s="1" t="s">
        <v>78</v>
      </c>
      <c r="I3416" s="1"/>
      <c r="J3416" s="1"/>
      <c r="K3416" s="1"/>
      <c r="L3416" s="1"/>
    </row>
    <row r="3417" spans="1:12" x14ac:dyDescent="0.25">
      <c r="A3417" s="1"/>
      <c r="B3417" s="1"/>
      <c r="C3417" s="1"/>
      <c r="D3417" s="1"/>
      <c r="E3417" s="1" t="s">
        <v>1080</v>
      </c>
      <c r="F3417" s="1" t="s">
        <v>43</v>
      </c>
      <c r="G3417" s="1" t="s">
        <v>209</v>
      </c>
      <c r="H3417" s="1" t="s">
        <v>97</v>
      </c>
      <c r="I3417" s="1"/>
      <c r="J3417" s="1"/>
      <c r="K3417" s="1"/>
      <c r="L3417" s="1"/>
    </row>
    <row r="3418" spans="1:12" x14ac:dyDescent="0.25">
      <c r="A3418" s="1"/>
      <c r="B3418" s="1"/>
      <c r="C3418" s="1"/>
      <c r="D3418" s="1"/>
      <c r="E3418" s="1" t="s">
        <v>1080</v>
      </c>
      <c r="F3418" s="1" t="s">
        <v>181</v>
      </c>
      <c r="G3418" s="1" t="s">
        <v>210</v>
      </c>
      <c r="H3418" s="1" t="s">
        <v>78</v>
      </c>
      <c r="I3418" s="1"/>
      <c r="J3418" s="1"/>
      <c r="K3418" s="1"/>
      <c r="L3418" s="1"/>
    </row>
    <row r="3419" spans="1:12" x14ac:dyDescent="0.25">
      <c r="A3419" s="1"/>
      <c r="B3419" s="1"/>
      <c r="C3419" s="1"/>
      <c r="D3419" s="1"/>
      <c r="E3419" s="1" t="s">
        <v>1080</v>
      </c>
      <c r="F3419" s="1" t="s">
        <v>182</v>
      </c>
      <c r="G3419" s="1" t="s">
        <v>211</v>
      </c>
      <c r="H3419" s="1" t="s">
        <v>78</v>
      </c>
      <c r="I3419" s="1"/>
      <c r="J3419" s="1"/>
      <c r="K3419" s="1"/>
      <c r="L3419" s="1"/>
    </row>
    <row r="3420" spans="1:12" x14ac:dyDescent="0.25">
      <c r="A3420" s="1"/>
      <c r="B3420" s="1"/>
      <c r="C3420" s="1"/>
      <c r="D3420" s="1"/>
      <c r="E3420" s="1" t="s">
        <v>1080</v>
      </c>
      <c r="F3420" s="1" t="s">
        <v>183</v>
      </c>
      <c r="G3420" s="1" t="s">
        <v>212</v>
      </c>
      <c r="H3420" s="1" t="s">
        <v>232</v>
      </c>
      <c r="I3420" s="1"/>
      <c r="J3420" s="1"/>
      <c r="K3420" s="1"/>
      <c r="L3420" s="1"/>
    </row>
    <row r="3421" spans="1:12" x14ac:dyDescent="0.25">
      <c r="A3421" s="1"/>
      <c r="B3421" s="1"/>
      <c r="C3421" s="1"/>
      <c r="D3421" s="1"/>
      <c r="E3421" s="1" t="s">
        <v>1080</v>
      </c>
      <c r="F3421" s="1" t="s">
        <v>184</v>
      </c>
      <c r="G3421" s="1" t="s">
        <v>213</v>
      </c>
      <c r="H3421" s="1" t="s">
        <v>227</v>
      </c>
      <c r="I3421" s="1"/>
      <c r="J3421" s="1"/>
      <c r="K3421" s="1"/>
      <c r="L3421" s="1"/>
    </row>
    <row r="3422" spans="1:12" x14ac:dyDescent="0.25">
      <c r="A3422" s="1"/>
      <c r="B3422" s="1"/>
      <c r="C3422" s="1"/>
      <c r="D3422" s="1"/>
      <c r="E3422" s="1" t="s">
        <v>1080</v>
      </c>
      <c r="F3422" s="1" t="s">
        <v>185</v>
      </c>
      <c r="G3422" s="1" t="s">
        <v>214</v>
      </c>
      <c r="H3422" s="1" t="s">
        <v>78</v>
      </c>
      <c r="I3422" s="1"/>
      <c r="J3422" s="1"/>
      <c r="K3422" s="1"/>
      <c r="L3422" s="1"/>
    </row>
    <row r="3423" spans="1:12" x14ac:dyDescent="0.25">
      <c r="A3423" s="1"/>
      <c r="B3423" s="1"/>
      <c r="C3423" s="1"/>
      <c r="D3423" s="1"/>
      <c r="E3423" s="1" t="s">
        <v>1080</v>
      </c>
      <c r="F3423" s="1" t="s">
        <v>186</v>
      </c>
      <c r="G3423" s="1" t="s">
        <v>215</v>
      </c>
      <c r="H3423" s="1" t="s">
        <v>78</v>
      </c>
      <c r="I3423" s="1"/>
      <c r="J3423" s="1"/>
      <c r="K3423" s="1"/>
      <c r="L3423" s="1"/>
    </row>
    <row r="3424" spans="1:12" x14ac:dyDescent="0.25">
      <c r="A3424" s="1"/>
      <c r="B3424" s="1"/>
      <c r="C3424" s="1"/>
      <c r="D3424" s="1"/>
      <c r="E3424" s="1" t="s">
        <v>1080</v>
      </c>
      <c r="F3424" s="1" t="s">
        <v>187</v>
      </c>
      <c r="G3424" s="1" t="s">
        <v>216</v>
      </c>
      <c r="H3424" s="1" t="s">
        <v>133</v>
      </c>
      <c r="I3424" s="1"/>
      <c r="J3424" s="1"/>
      <c r="K3424" s="1"/>
      <c r="L3424" s="1"/>
    </row>
    <row r="3425" spans="1:12" x14ac:dyDescent="0.25">
      <c r="A3425" s="1"/>
      <c r="B3425" s="1"/>
      <c r="C3425" s="1"/>
      <c r="D3425" s="1"/>
      <c r="E3425" s="1" t="s">
        <v>1080</v>
      </c>
      <c r="F3425" s="1" t="s">
        <v>188</v>
      </c>
      <c r="G3425" s="1" t="s">
        <v>217</v>
      </c>
      <c r="H3425" s="1" t="s">
        <v>78</v>
      </c>
      <c r="I3425" s="1"/>
      <c r="J3425" s="1"/>
      <c r="K3425" s="1"/>
      <c r="L3425" s="1"/>
    </row>
    <row r="3426" spans="1:12" x14ac:dyDescent="0.25">
      <c r="A3426" s="1"/>
      <c r="B3426" s="1"/>
      <c r="C3426" s="1"/>
      <c r="D3426" s="1"/>
      <c r="E3426" s="1" t="s">
        <v>1080</v>
      </c>
      <c r="F3426" s="1" t="s">
        <v>189</v>
      </c>
      <c r="G3426" s="1" t="s">
        <v>218</v>
      </c>
      <c r="H3426" s="1" t="s">
        <v>232</v>
      </c>
      <c r="I3426" s="1"/>
      <c r="J3426" s="1"/>
      <c r="K3426" s="1"/>
      <c r="L3426" s="1"/>
    </row>
    <row r="3427" spans="1:12" x14ac:dyDescent="0.25">
      <c r="A3427" s="1"/>
      <c r="B3427" s="1"/>
      <c r="C3427" s="1"/>
      <c r="D3427" s="1"/>
      <c r="E3427" s="1" t="s">
        <v>1080</v>
      </c>
      <c r="F3427" s="1" t="s">
        <v>190</v>
      </c>
      <c r="G3427" s="1" t="s">
        <v>219</v>
      </c>
      <c r="H3427" s="1" t="s">
        <v>78</v>
      </c>
      <c r="I3427" s="1"/>
      <c r="J3427" s="1"/>
      <c r="K3427" s="1"/>
      <c r="L3427" s="1"/>
    </row>
    <row r="3428" spans="1:12" x14ac:dyDescent="0.25">
      <c r="A3428" s="1"/>
      <c r="B3428" s="1"/>
      <c r="C3428" s="1"/>
      <c r="D3428" s="1"/>
      <c r="E3428" s="1" t="s">
        <v>1080</v>
      </c>
      <c r="F3428" s="1" t="s">
        <v>191</v>
      </c>
      <c r="G3428" s="1" t="s">
        <v>220</v>
      </c>
      <c r="H3428" s="1" t="s">
        <v>92</v>
      </c>
      <c r="I3428" s="1"/>
      <c r="J3428" s="1"/>
      <c r="K3428" s="1"/>
      <c r="L3428" s="1"/>
    </row>
    <row r="3429" spans="1:12" x14ac:dyDescent="0.25">
      <c r="A3429" s="1"/>
      <c r="B3429" s="1"/>
      <c r="C3429" s="1"/>
      <c r="D3429" s="1"/>
      <c r="E3429" s="1" t="s">
        <v>1080</v>
      </c>
      <c r="F3429" s="1" t="s">
        <v>192</v>
      </c>
      <c r="G3429" s="1" t="s">
        <v>221</v>
      </c>
      <c r="H3429" s="1" t="s">
        <v>92</v>
      </c>
      <c r="I3429" s="1"/>
      <c r="J3429" s="1"/>
      <c r="K3429" s="1"/>
      <c r="L3429" s="1"/>
    </row>
    <row r="3430" spans="1:12" x14ac:dyDescent="0.25">
      <c r="A3430" s="1"/>
      <c r="B3430" s="1"/>
      <c r="C3430" s="1"/>
      <c r="D3430" s="1"/>
      <c r="E3430" s="1" t="s">
        <v>1080</v>
      </c>
      <c r="F3430" s="1" t="s">
        <v>193</v>
      </c>
      <c r="G3430" s="1" t="s">
        <v>222</v>
      </c>
      <c r="H3430" s="1" t="s">
        <v>78</v>
      </c>
      <c r="I3430" s="1"/>
      <c r="J3430" s="1"/>
      <c r="K3430" s="1"/>
      <c r="L3430" s="1"/>
    </row>
    <row r="3431" spans="1:12" x14ac:dyDescent="0.25">
      <c r="A3431" s="1"/>
      <c r="B3431" s="1"/>
      <c r="C3431" s="1"/>
      <c r="D3431" s="1"/>
      <c r="E3431" s="1" t="s">
        <v>1081</v>
      </c>
      <c r="F3431" s="1" t="s">
        <v>173</v>
      </c>
      <c r="G3431" s="1" t="s">
        <v>194</v>
      </c>
      <c r="H3431" s="1" t="s">
        <v>78</v>
      </c>
      <c r="I3431" s="1"/>
      <c r="J3431" s="1"/>
      <c r="K3431" s="1"/>
      <c r="L3431" s="1"/>
    </row>
    <row r="3432" spans="1:12" x14ac:dyDescent="0.25">
      <c r="A3432" s="1"/>
      <c r="B3432" s="1"/>
      <c r="C3432" s="1"/>
      <c r="D3432" s="1"/>
      <c r="E3432" s="1" t="s">
        <v>1081</v>
      </c>
      <c r="F3432" s="1" t="s">
        <v>174</v>
      </c>
      <c r="G3432" s="1" t="s">
        <v>195</v>
      </c>
      <c r="H3432" s="1" t="s">
        <v>78</v>
      </c>
      <c r="I3432" s="1"/>
      <c r="J3432" s="1"/>
      <c r="K3432" s="1"/>
      <c r="L3432" s="1"/>
    </row>
    <row r="3433" spans="1:12" x14ac:dyDescent="0.25">
      <c r="A3433" s="1"/>
      <c r="B3433" s="1"/>
      <c r="C3433" s="1"/>
      <c r="D3433" s="1"/>
      <c r="E3433" s="1" t="s">
        <v>1081</v>
      </c>
      <c r="F3433" s="1" t="s">
        <v>175</v>
      </c>
      <c r="G3433" s="1" t="s">
        <v>196</v>
      </c>
      <c r="H3433" s="1" t="s">
        <v>275</v>
      </c>
      <c r="I3433" s="1"/>
      <c r="J3433" s="1"/>
      <c r="K3433" s="1"/>
      <c r="L3433" s="1"/>
    </row>
    <row r="3434" spans="1:12" x14ac:dyDescent="0.25">
      <c r="A3434" s="1"/>
      <c r="B3434" s="1"/>
      <c r="C3434" s="1"/>
      <c r="D3434" s="1"/>
      <c r="E3434" s="1" t="s">
        <v>1081</v>
      </c>
      <c r="F3434" s="1" t="s">
        <v>176</v>
      </c>
      <c r="G3434" s="1" t="s">
        <v>197</v>
      </c>
      <c r="H3434" s="1" t="s">
        <v>95</v>
      </c>
      <c r="I3434" s="1"/>
      <c r="J3434" s="1"/>
      <c r="K3434" s="1"/>
      <c r="L3434" s="1"/>
    </row>
    <row r="3435" spans="1:12" x14ac:dyDescent="0.25">
      <c r="A3435" s="1"/>
      <c r="B3435" s="1"/>
      <c r="C3435" s="1"/>
      <c r="D3435" s="1"/>
      <c r="E3435" s="1" t="s">
        <v>1081</v>
      </c>
      <c r="F3435" s="1" t="s">
        <v>177</v>
      </c>
      <c r="G3435" s="1" t="s">
        <v>198</v>
      </c>
      <c r="H3435" s="1" t="s">
        <v>95</v>
      </c>
      <c r="I3435" s="1"/>
      <c r="J3435" s="1"/>
      <c r="K3435" s="1"/>
      <c r="L3435" s="1"/>
    </row>
    <row r="3436" spans="1:12" x14ac:dyDescent="0.25">
      <c r="A3436" s="1"/>
      <c r="B3436" s="1"/>
      <c r="C3436" s="1"/>
      <c r="D3436" s="1"/>
      <c r="E3436" s="1" t="s">
        <v>1081</v>
      </c>
      <c r="F3436" s="1" t="s">
        <v>33</v>
      </c>
      <c r="G3436" s="1" t="s">
        <v>199</v>
      </c>
      <c r="H3436" s="1" t="s">
        <v>92</v>
      </c>
      <c r="I3436" s="1"/>
      <c r="J3436" s="1"/>
      <c r="K3436" s="1"/>
      <c r="L3436" s="1"/>
    </row>
    <row r="3437" spans="1:12" x14ac:dyDescent="0.25">
      <c r="A3437" s="1"/>
      <c r="B3437" s="1"/>
      <c r="C3437" s="1"/>
      <c r="D3437" s="1"/>
      <c r="E3437" s="1" t="s">
        <v>1081</v>
      </c>
      <c r="F3437" s="1" t="s">
        <v>34</v>
      </c>
      <c r="G3437" s="1" t="s">
        <v>200</v>
      </c>
      <c r="H3437" s="1" t="s">
        <v>92</v>
      </c>
      <c r="I3437" s="1"/>
      <c r="J3437" s="1"/>
      <c r="K3437" s="1"/>
      <c r="L3437" s="1"/>
    </row>
    <row r="3438" spans="1:12" x14ac:dyDescent="0.25">
      <c r="A3438" s="1"/>
      <c r="B3438" s="1"/>
      <c r="C3438" s="1"/>
      <c r="D3438" s="1"/>
      <c r="E3438" s="1" t="s">
        <v>1081</v>
      </c>
      <c r="F3438" s="1" t="s">
        <v>35</v>
      </c>
      <c r="G3438" s="1" t="s">
        <v>201</v>
      </c>
      <c r="H3438" s="1" t="s">
        <v>92</v>
      </c>
      <c r="I3438" s="1"/>
      <c r="J3438" s="1"/>
      <c r="K3438" s="1"/>
      <c r="L3438" s="1"/>
    </row>
    <row r="3439" spans="1:12" x14ac:dyDescent="0.25">
      <c r="A3439" s="1"/>
      <c r="B3439" s="1"/>
      <c r="C3439" s="1"/>
      <c r="D3439" s="1"/>
      <c r="E3439" s="1" t="s">
        <v>1081</v>
      </c>
      <c r="F3439" s="1" t="s">
        <v>36</v>
      </c>
      <c r="G3439" s="1" t="s">
        <v>202</v>
      </c>
      <c r="H3439" s="1" t="s">
        <v>262</v>
      </c>
      <c r="I3439" s="1"/>
      <c r="J3439" s="1"/>
      <c r="K3439" s="1"/>
      <c r="L3439" s="1"/>
    </row>
    <row r="3440" spans="1:12" x14ac:dyDescent="0.25">
      <c r="A3440" s="1"/>
      <c r="B3440" s="1"/>
      <c r="C3440" s="1"/>
      <c r="D3440" s="1"/>
      <c r="E3440" s="1" t="s">
        <v>1081</v>
      </c>
      <c r="F3440" s="1" t="s">
        <v>37</v>
      </c>
      <c r="G3440" s="1" t="s">
        <v>203</v>
      </c>
      <c r="H3440" s="1" t="s">
        <v>232</v>
      </c>
      <c r="I3440" s="1"/>
      <c r="J3440" s="1"/>
      <c r="K3440" s="1"/>
      <c r="L3440" s="1"/>
    </row>
    <row r="3441" spans="1:12" x14ac:dyDescent="0.25">
      <c r="A3441" s="1"/>
      <c r="B3441" s="1"/>
      <c r="C3441" s="1"/>
      <c r="D3441" s="1"/>
      <c r="E3441" s="1" t="s">
        <v>1081</v>
      </c>
      <c r="F3441" s="1" t="s">
        <v>38</v>
      </c>
      <c r="G3441" s="1" t="s">
        <v>204</v>
      </c>
      <c r="H3441" s="1" t="s">
        <v>616</v>
      </c>
      <c r="I3441" s="1"/>
      <c r="J3441" s="1"/>
      <c r="K3441" s="1"/>
      <c r="L3441" s="1"/>
    </row>
    <row r="3442" spans="1:12" x14ac:dyDescent="0.25">
      <c r="A3442" s="1"/>
      <c r="B3442" s="1"/>
      <c r="C3442" s="1"/>
      <c r="D3442" s="1"/>
      <c r="E3442" s="1" t="s">
        <v>1081</v>
      </c>
      <c r="F3442" s="1" t="s">
        <v>178</v>
      </c>
      <c r="G3442" s="1" t="s">
        <v>205</v>
      </c>
      <c r="H3442" s="1" t="s">
        <v>78</v>
      </c>
      <c r="I3442" s="1"/>
      <c r="J3442" s="1"/>
      <c r="K3442" s="1"/>
      <c r="L3442" s="1"/>
    </row>
    <row r="3443" spans="1:12" x14ac:dyDescent="0.25">
      <c r="A3443" s="1"/>
      <c r="B3443" s="1"/>
      <c r="C3443" s="1"/>
      <c r="D3443" s="1"/>
      <c r="E3443" s="1" t="s">
        <v>1081</v>
      </c>
      <c r="F3443" s="1" t="s">
        <v>179</v>
      </c>
      <c r="G3443" s="1" t="s">
        <v>206</v>
      </c>
      <c r="H3443" s="1" t="s">
        <v>78</v>
      </c>
      <c r="I3443" s="1"/>
      <c r="J3443" s="1"/>
      <c r="K3443" s="1"/>
      <c r="L3443" s="1"/>
    </row>
    <row r="3444" spans="1:12" x14ac:dyDescent="0.25">
      <c r="A3444" s="1"/>
      <c r="B3444" s="1"/>
      <c r="C3444" s="1"/>
      <c r="D3444" s="1"/>
      <c r="E3444" s="1" t="s">
        <v>1081</v>
      </c>
      <c r="F3444" s="1" t="s">
        <v>40</v>
      </c>
      <c r="G3444" s="1" t="s">
        <v>207</v>
      </c>
      <c r="H3444" s="1" t="s">
        <v>92</v>
      </c>
      <c r="I3444" s="1"/>
      <c r="J3444" s="1"/>
      <c r="K3444" s="1"/>
      <c r="L3444" s="1"/>
    </row>
    <row r="3445" spans="1:12" x14ac:dyDescent="0.25">
      <c r="A3445" s="1"/>
      <c r="B3445" s="1"/>
      <c r="C3445" s="1"/>
      <c r="D3445" s="1"/>
      <c r="E3445" s="1" t="s">
        <v>1081</v>
      </c>
      <c r="F3445" s="1" t="s">
        <v>180</v>
      </c>
      <c r="G3445" s="1" t="s">
        <v>208</v>
      </c>
      <c r="H3445" s="1" t="s">
        <v>78</v>
      </c>
      <c r="I3445" s="1"/>
      <c r="J3445" s="1"/>
      <c r="K3445" s="1"/>
      <c r="L3445" s="1"/>
    </row>
    <row r="3446" spans="1:12" x14ac:dyDescent="0.25">
      <c r="A3446" s="1"/>
      <c r="B3446" s="1"/>
      <c r="C3446" s="1"/>
      <c r="D3446" s="1"/>
      <c r="E3446" s="1" t="s">
        <v>1081</v>
      </c>
      <c r="F3446" s="1" t="s">
        <v>43</v>
      </c>
      <c r="G3446" s="1" t="s">
        <v>209</v>
      </c>
      <c r="H3446" s="1" t="s">
        <v>275</v>
      </c>
      <c r="I3446" s="1"/>
      <c r="J3446" s="1"/>
      <c r="K3446" s="1"/>
      <c r="L3446" s="1"/>
    </row>
    <row r="3447" spans="1:12" x14ac:dyDescent="0.25">
      <c r="A3447" s="1"/>
      <c r="B3447" s="1"/>
      <c r="C3447" s="1"/>
      <c r="D3447" s="1"/>
      <c r="E3447" s="1" t="s">
        <v>1081</v>
      </c>
      <c r="F3447" s="1" t="s">
        <v>181</v>
      </c>
      <c r="G3447" s="1" t="s">
        <v>210</v>
      </c>
      <c r="H3447" s="1" t="s">
        <v>78</v>
      </c>
      <c r="I3447" s="1"/>
      <c r="J3447" s="1"/>
      <c r="K3447" s="1"/>
      <c r="L3447" s="1"/>
    </row>
    <row r="3448" spans="1:12" x14ac:dyDescent="0.25">
      <c r="A3448" s="1"/>
      <c r="B3448" s="1"/>
      <c r="C3448" s="1"/>
      <c r="D3448" s="1"/>
      <c r="E3448" s="1" t="s">
        <v>1081</v>
      </c>
      <c r="F3448" s="1" t="s">
        <v>182</v>
      </c>
      <c r="G3448" s="1" t="s">
        <v>211</v>
      </c>
      <c r="H3448" s="1" t="s">
        <v>78</v>
      </c>
      <c r="I3448" s="1"/>
      <c r="J3448" s="1"/>
      <c r="K3448" s="1"/>
      <c r="L3448" s="1"/>
    </row>
    <row r="3449" spans="1:12" x14ac:dyDescent="0.25">
      <c r="A3449" s="1"/>
      <c r="B3449" s="1"/>
      <c r="C3449" s="1"/>
      <c r="D3449" s="1"/>
      <c r="E3449" s="1" t="s">
        <v>1081</v>
      </c>
      <c r="F3449" s="1" t="s">
        <v>183</v>
      </c>
      <c r="G3449" s="1" t="s">
        <v>212</v>
      </c>
      <c r="H3449" s="1" t="s">
        <v>223</v>
      </c>
      <c r="I3449" s="1"/>
      <c r="J3449" s="1"/>
      <c r="K3449" s="1"/>
      <c r="L3449" s="1"/>
    </row>
    <row r="3450" spans="1:12" x14ac:dyDescent="0.25">
      <c r="A3450" s="1"/>
      <c r="B3450" s="1"/>
      <c r="C3450" s="1"/>
      <c r="D3450" s="1"/>
      <c r="E3450" s="1" t="s">
        <v>1081</v>
      </c>
      <c r="F3450" s="1" t="s">
        <v>184</v>
      </c>
      <c r="G3450" s="1" t="s">
        <v>213</v>
      </c>
      <c r="H3450" s="1" t="s">
        <v>417</v>
      </c>
      <c r="I3450" s="1"/>
      <c r="J3450" s="1"/>
      <c r="K3450" s="1"/>
      <c r="L3450" s="1"/>
    </row>
    <row r="3451" spans="1:12" x14ac:dyDescent="0.25">
      <c r="A3451" s="1"/>
      <c r="B3451" s="1"/>
      <c r="C3451" s="1"/>
      <c r="D3451" s="1"/>
      <c r="E3451" s="1" t="s">
        <v>1081</v>
      </c>
      <c r="F3451" s="1" t="s">
        <v>185</v>
      </c>
      <c r="G3451" s="1" t="s">
        <v>214</v>
      </c>
      <c r="H3451" s="1" t="s">
        <v>78</v>
      </c>
      <c r="I3451" s="1"/>
      <c r="J3451" s="1"/>
      <c r="K3451" s="1"/>
      <c r="L3451" s="1"/>
    </row>
    <row r="3452" spans="1:12" x14ac:dyDescent="0.25">
      <c r="A3452" s="1"/>
      <c r="B3452" s="1"/>
      <c r="C3452" s="1"/>
      <c r="D3452" s="1"/>
      <c r="E3452" s="1" t="s">
        <v>1081</v>
      </c>
      <c r="F3452" s="1" t="s">
        <v>186</v>
      </c>
      <c r="G3452" s="1" t="s">
        <v>215</v>
      </c>
      <c r="H3452" s="1" t="s">
        <v>78</v>
      </c>
      <c r="I3452" s="1"/>
      <c r="J3452" s="1"/>
      <c r="K3452" s="1"/>
      <c r="L3452" s="1"/>
    </row>
    <row r="3453" spans="1:12" x14ac:dyDescent="0.25">
      <c r="A3453" s="1"/>
      <c r="B3453" s="1"/>
      <c r="C3453" s="1"/>
      <c r="D3453" s="1"/>
      <c r="E3453" s="1" t="s">
        <v>1081</v>
      </c>
      <c r="F3453" s="1" t="s">
        <v>187</v>
      </c>
      <c r="G3453" s="1" t="s">
        <v>216</v>
      </c>
      <c r="H3453" s="1" t="s">
        <v>133</v>
      </c>
      <c r="I3453" s="1"/>
      <c r="J3453" s="1"/>
      <c r="K3453" s="1"/>
      <c r="L3453" s="1"/>
    </row>
    <row r="3454" spans="1:12" x14ac:dyDescent="0.25">
      <c r="A3454" s="1"/>
      <c r="B3454" s="1"/>
      <c r="C3454" s="1"/>
      <c r="D3454" s="1"/>
      <c r="E3454" s="1" t="s">
        <v>1081</v>
      </c>
      <c r="F3454" s="1" t="s">
        <v>188</v>
      </c>
      <c r="G3454" s="1" t="s">
        <v>217</v>
      </c>
      <c r="H3454" s="1" t="s">
        <v>78</v>
      </c>
      <c r="I3454" s="1"/>
      <c r="J3454" s="1"/>
      <c r="K3454" s="1"/>
      <c r="L3454" s="1"/>
    </row>
    <row r="3455" spans="1:12" x14ac:dyDescent="0.25">
      <c r="A3455" s="1"/>
      <c r="B3455" s="1"/>
      <c r="C3455" s="1"/>
      <c r="D3455" s="1"/>
      <c r="E3455" s="1" t="s">
        <v>1081</v>
      </c>
      <c r="F3455" s="1" t="s">
        <v>189</v>
      </c>
      <c r="G3455" s="1" t="s">
        <v>218</v>
      </c>
      <c r="H3455" s="1" t="s">
        <v>223</v>
      </c>
      <c r="I3455" s="1"/>
      <c r="J3455" s="1"/>
      <c r="K3455" s="1"/>
      <c r="L3455" s="1"/>
    </row>
    <row r="3456" spans="1:12" x14ac:dyDescent="0.25">
      <c r="A3456" s="1"/>
      <c r="B3456" s="1"/>
      <c r="C3456" s="1"/>
      <c r="D3456" s="1"/>
      <c r="E3456" s="1" t="s">
        <v>1081</v>
      </c>
      <c r="F3456" s="1" t="s">
        <v>190</v>
      </c>
      <c r="G3456" s="1" t="s">
        <v>219</v>
      </c>
      <c r="H3456" s="1" t="s">
        <v>78</v>
      </c>
      <c r="I3456" s="1"/>
      <c r="J3456" s="1"/>
      <c r="K3456" s="1"/>
      <c r="L3456" s="1"/>
    </row>
    <row r="3457" spans="1:12" x14ac:dyDescent="0.25">
      <c r="A3457" s="1"/>
      <c r="B3457" s="1"/>
      <c r="C3457" s="1"/>
      <c r="D3457" s="1"/>
      <c r="E3457" s="1" t="s">
        <v>1081</v>
      </c>
      <c r="F3457" s="1" t="s">
        <v>191</v>
      </c>
      <c r="G3457" s="1" t="s">
        <v>220</v>
      </c>
      <c r="H3457" s="1" t="s">
        <v>92</v>
      </c>
      <c r="I3457" s="1"/>
      <c r="J3457" s="1"/>
      <c r="K3457" s="1"/>
      <c r="L3457" s="1"/>
    </row>
    <row r="3458" spans="1:12" x14ac:dyDescent="0.25">
      <c r="A3458" s="1"/>
      <c r="B3458" s="1"/>
      <c r="C3458" s="1"/>
      <c r="D3458" s="1"/>
      <c r="E3458" s="1" t="s">
        <v>1081</v>
      </c>
      <c r="F3458" s="1" t="s">
        <v>192</v>
      </c>
      <c r="G3458" s="1" t="s">
        <v>221</v>
      </c>
      <c r="H3458" s="1" t="s">
        <v>92</v>
      </c>
      <c r="I3458" s="1"/>
      <c r="J3458" s="1"/>
      <c r="K3458" s="1"/>
      <c r="L3458" s="1"/>
    </row>
    <row r="3459" spans="1:12" x14ac:dyDescent="0.25">
      <c r="A3459" s="1"/>
      <c r="B3459" s="1"/>
      <c r="C3459" s="1"/>
      <c r="D3459" s="1"/>
      <c r="E3459" s="1" t="s">
        <v>1081</v>
      </c>
      <c r="F3459" s="1" t="s">
        <v>193</v>
      </c>
      <c r="G3459" s="1" t="s">
        <v>222</v>
      </c>
      <c r="H3459" s="1" t="s">
        <v>78</v>
      </c>
      <c r="I3459" s="1"/>
      <c r="J3459" s="1"/>
      <c r="K3459" s="1"/>
      <c r="L3459" s="1"/>
    </row>
    <row r="3460" spans="1:12" x14ac:dyDescent="0.25">
      <c r="A3460" s="1"/>
      <c r="B3460" s="1"/>
      <c r="C3460" s="1"/>
      <c r="D3460" s="1"/>
      <c r="E3460" s="1" t="s">
        <v>1082</v>
      </c>
      <c r="F3460" s="1" t="s">
        <v>173</v>
      </c>
      <c r="G3460" s="1" t="s">
        <v>194</v>
      </c>
      <c r="H3460" s="1" t="s">
        <v>78</v>
      </c>
      <c r="I3460" s="1"/>
      <c r="J3460" s="1"/>
      <c r="K3460" s="1"/>
      <c r="L3460" s="1"/>
    </row>
    <row r="3461" spans="1:12" x14ac:dyDescent="0.25">
      <c r="A3461" s="1"/>
      <c r="B3461" s="1"/>
      <c r="C3461" s="1"/>
      <c r="D3461" s="1"/>
      <c r="E3461" s="1" t="s">
        <v>1082</v>
      </c>
      <c r="F3461" s="1" t="s">
        <v>174</v>
      </c>
      <c r="G3461" s="1" t="s">
        <v>195</v>
      </c>
      <c r="H3461" s="1" t="s">
        <v>78</v>
      </c>
      <c r="I3461" s="1"/>
      <c r="J3461" s="1"/>
      <c r="K3461" s="1"/>
      <c r="L3461" s="1"/>
    </row>
    <row r="3462" spans="1:12" x14ac:dyDescent="0.25">
      <c r="A3462" s="1"/>
      <c r="B3462" s="1"/>
      <c r="C3462" s="1"/>
      <c r="D3462" s="1"/>
      <c r="E3462" s="1" t="s">
        <v>1082</v>
      </c>
      <c r="F3462" s="1" t="s">
        <v>175</v>
      </c>
      <c r="G3462" s="1" t="s">
        <v>196</v>
      </c>
      <c r="H3462" s="1" t="s">
        <v>275</v>
      </c>
      <c r="I3462" s="1"/>
      <c r="J3462" s="1"/>
      <c r="K3462" s="1"/>
      <c r="L3462" s="1"/>
    </row>
    <row r="3463" spans="1:12" x14ac:dyDescent="0.25">
      <c r="A3463" s="1"/>
      <c r="B3463" s="1"/>
      <c r="C3463" s="1"/>
      <c r="D3463" s="1"/>
      <c r="E3463" s="1" t="s">
        <v>1082</v>
      </c>
      <c r="F3463" s="1" t="s">
        <v>176</v>
      </c>
      <c r="G3463" s="1" t="s">
        <v>197</v>
      </c>
      <c r="H3463" s="1" t="s">
        <v>95</v>
      </c>
      <c r="I3463" s="1"/>
      <c r="J3463" s="1"/>
      <c r="K3463" s="1"/>
      <c r="L3463" s="1"/>
    </row>
    <row r="3464" spans="1:12" x14ac:dyDescent="0.25">
      <c r="A3464" s="1"/>
      <c r="B3464" s="1"/>
      <c r="C3464" s="1"/>
      <c r="D3464" s="1"/>
      <c r="E3464" s="1" t="s">
        <v>1082</v>
      </c>
      <c r="F3464" s="1" t="s">
        <v>177</v>
      </c>
      <c r="G3464" s="1" t="s">
        <v>198</v>
      </c>
      <c r="H3464" s="1" t="s">
        <v>95</v>
      </c>
      <c r="I3464" s="1"/>
      <c r="J3464" s="1"/>
      <c r="K3464" s="1"/>
      <c r="L3464" s="1"/>
    </row>
    <row r="3465" spans="1:12" x14ac:dyDescent="0.25">
      <c r="A3465" s="1"/>
      <c r="B3465" s="1"/>
      <c r="C3465" s="1"/>
      <c r="D3465" s="1"/>
      <c r="E3465" s="1" t="s">
        <v>1082</v>
      </c>
      <c r="F3465" s="1" t="s">
        <v>33</v>
      </c>
      <c r="G3465" s="1" t="s">
        <v>199</v>
      </c>
      <c r="H3465" s="1" t="s">
        <v>92</v>
      </c>
      <c r="I3465" s="1"/>
      <c r="J3465" s="1"/>
      <c r="K3465" s="1"/>
      <c r="L3465" s="1"/>
    </row>
    <row r="3466" spans="1:12" x14ac:dyDescent="0.25">
      <c r="A3466" s="1"/>
      <c r="B3466" s="1"/>
      <c r="C3466" s="1"/>
      <c r="D3466" s="1"/>
      <c r="E3466" s="1" t="s">
        <v>1082</v>
      </c>
      <c r="F3466" s="1" t="s">
        <v>34</v>
      </c>
      <c r="G3466" s="1" t="s">
        <v>200</v>
      </c>
      <c r="H3466" s="1" t="s">
        <v>92</v>
      </c>
      <c r="I3466" s="1"/>
      <c r="J3466" s="1"/>
      <c r="K3466" s="1"/>
      <c r="L3466" s="1"/>
    </row>
    <row r="3467" spans="1:12" x14ac:dyDescent="0.25">
      <c r="A3467" s="1"/>
      <c r="B3467" s="1"/>
      <c r="C3467" s="1"/>
      <c r="D3467" s="1"/>
      <c r="E3467" s="1" t="s">
        <v>1082</v>
      </c>
      <c r="F3467" s="1" t="s">
        <v>35</v>
      </c>
      <c r="G3467" s="1" t="s">
        <v>201</v>
      </c>
      <c r="H3467" s="1" t="s">
        <v>92</v>
      </c>
      <c r="I3467" s="1"/>
      <c r="J3467" s="1"/>
      <c r="K3467" s="1"/>
      <c r="L3467" s="1"/>
    </row>
    <row r="3468" spans="1:12" x14ac:dyDescent="0.25">
      <c r="A3468" s="1"/>
      <c r="B3468" s="1"/>
      <c r="C3468" s="1"/>
      <c r="D3468" s="1"/>
      <c r="E3468" s="1" t="s">
        <v>1082</v>
      </c>
      <c r="F3468" s="1" t="s">
        <v>36</v>
      </c>
      <c r="G3468" s="1" t="s">
        <v>202</v>
      </c>
      <c r="H3468" s="1" t="s">
        <v>232</v>
      </c>
      <c r="I3468" s="1"/>
      <c r="J3468" s="1"/>
      <c r="K3468" s="1"/>
      <c r="L3468" s="1"/>
    </row>
    <row r="3469" spans="1:12" x14ac:dyDescent="0.25">
      <c r="A3469" s="1"/>
      <c r="B3469" s="1"/>
      <c r="C3469" s="1"/>
      <c r="D3469" s="1"/>
      <c r="E3469" s="1" t="s">
        <v>1082</v>
      </c>
      <c r="F3469" s="1" t="s">
        <v>37</v>
      </c>
      <c r="G3469" s="1" t="s">
        <v>203</v>
      </c>
      <c r="H3469" s="1" t="s">
        <v>275</v>
      </c>
      <c r="I3469" s="1"/>
      <c r="J3469" s="1"/>
      <c r="K3469" s="1"/>
      <c r="L3469" s="1"/>
    </row>
    <row r="3470" spans="1:12" x14ac:dyDescent="0.25">
      <c r="A3470" s="1"/>
      <c r="B3470" s="1"/>
      <c r="C3470" s="1"/>
      <c r="D3470" s="1"/>
      <c r="E3470" s="1" t="s">
        <v>1082</v>
      </c>
      <c r="F3470" s="1" t="s">
        <v>38</v>
      </c>
      <c r="G3470" s="1" t="s">
        <v>204</v>
      </c>
      <c r="H3470" s="1" t="s">
        <v>1091</v>
      </c>
      <c r="I3470" s="1"/>
      <c r="J3470" s="1"/>
      <c r="K3470" s="1"/>
      <c r="L3470" s="1"/>
    </row>
    <row r="3471" spans="1:12" x14ac:dyDescent="0.25">
      <c r="A3471" s="1"/>
      <c r="B3471" s="1"/>
      <c r="C3471" s="1"/>
      <c r="D3471" s="1"/>
      <c r="E3471" s="1" t="s">
        <v>1082</v>
      </c>
      <c r="F3471" s="1" t="s">
        <v>178</v>
      </c>
      <c r="G3471" s="1" t="s">
        <v>205</v>
      </c>
      <c r="H3471" s="1" t="s">
        <v>78</v>
      </c>
      <c r="I3471" s="1"/>
      <c r="J3471" s="1"/>
      <c r="K3471" s="1"/>
      <c r="L3471" s="1"/>
    </row>
    <row r="3472" spans="1:12" x14ac:dyDescent="0.25">
      <c r="A3472" s="1"/>
      <c r="B3472" s="1"/>
      <c r="C3472" s="1"/>
      <c r="D3472" s="1"/>
      <c r="E3472" s="1" t="s">
        <v>1082</v>
      </c>
      <c r="F3472" s="1" t="s">
        <v>179</v>
      </c>
      <c r="G3472" s="1" t="s">
        <v>206</v>
      </c>
      <c r="H3472" s="1" t="s">
        <v>78</v>
      </c>
      <c r="I3472" s="1"/>
      <c r="J3472" s="1"/>
      <c r="K3472" s="1"/>
      <c r="L3472" s="1"/>
    </row>
    <row r="3473" spans="1:12" x14ac:dyDescent="0.25">
      <c r="A3473" s="1"/>
      <c r="B3473" s="1"/>
      <c r="C3473" s="1"/>
      <c r="D3473" s="1"/>
      <c r="E3473" s="1" t="s">
        <v>1082</v>
      </c>
      <c r="F3473" s="1" t="s">
        <v>40</v>
      </c>
      <c r="G3473" s="1" t="s">
        <v>207</v>
      </c>
      <c r="H3473" s="1" t="s">
        <v>92</v>
      </c>
      <c r="I3473" s="1"/>
      <c r="J3473" s="1"/>
      <c r="K3473" s="1"/>
      <c r="L3473" s="1"/>
    </row>
    <row r="3474" spans="1:12" x14ac:dyDescent="0.25">
      <c r="A3474" s="1"/>
      <c r="B3474" s="1"/>
      <c r="C3474" s="1"/>
      <c r="D3474" s="1"/>
      <c r="E3474" s="1" t="s">
        <v>1082</v>
      </c>
      <c r="F3474" s="1" t="s">
        <v>180</v>
      </c>
      <c r="G3474" s="1" t="s">
        <v>208</v>
      </c>
      <c r="H3474" s="1" t="s">
        <v>78</v>
      </c>
      <c r="I3474" s="1"/>
      <c r="J3474" s="1"/>
      <c r="K3474" s="1"/>
      <c r="L3474" s="1"/>
    </row>
    <row r="3475" spans="1:12" x14ac:dyDescent="0.25">
      <c r="A3475" s="1"/>
      <c r="B3475" s="1"/>
      <c r="C3475" s="1"/>
      <c r="D3475" s="1"/>
      <c r="E3475" s="1" t="s">
        <v>1082</v>
      </c>
      <c r="F3475" s="1" t="s">
        <v>43</v>
      </c>
      <c r="G3475" s="1" t="s">
        <v>209</v>
      </c>
      <c r="H3475" s="1" t="s">
        <v>223</v>
      </c>
      <c r="I3475" s="1"/>
      <c r="J3475" s="1"/>
      <c r="K3475" s="1"/>
      <c r="L3475" s="1"/>
    </row>
    <row r="3476" spans="1:12" x14ac:dyDescent="0.25">
      <c r="A3476" s="1"/>
      <c r="B3476" s="1"/>
      <c r="C3476" s="1"/>
      <c r="D3476" s="1"/>
      <c r="E3476" s="1" t="s">
        <v>1082</v>
      </c>
      <c r="F3476" s="1" t="s">
        <v>181</v>
      </c>
      <c r="G3476" s="1" t="s">
        <v>210</v>
      </c>
      <c r="H3476" s="1" t="s">
        <v>78</v>
      </c>
      <c r="I3476" s="1"/>
      <c r="J3476" s="1"/>
      <c r="K3476" s="1"/>
      <c r="L3476" s="1"/>
    </row>
    <row r="3477" spans="1:12" x14ac:dyDescent="0.25">
      <c r="A3477" s="1"/>
      <c r="B3477" s="1"/>
      <c r="C3477" s="1"/>
      <c r="D3477" s="1"/>
      <c r="E3477" s="1" t="s">
        <v>1082</v>
      </c>
      <c r="F3477" s="1" t="s">
        <v>182</v>
      </c>
      <c r="G3477" s="1" t="s">
        <v>211</v>
      </c>
      <c r="H3477" s="1" t="s">
        <v>78</v>
      </c>
      <c r="I3477" s="1"/>
      <c r="J3477" s="1"/>
      <c r="K3477" s="1"/>
      <c r="L3477" s="1"/>
    </row>
    <row r="3478" spans="1:12" x14ac:dyDescent="0.25">
      <c r="A3478" s="1"/>
      <c r="B3478" s="1"/>
      <c r="C3478" s="1"/>
      <c r="D3478" s="1"/>
      <c r="E3478" s="1" t="s">
        <v>1082</v>
      </c>
      <c r="F3478" s="1" t="s">
        <v>183</v>
      </c>
      <c r="G3478" s="1" t="s">
        <v>212</v>
      </c>
      <c r="H3478" s="1" t="s">
        <v>95</v>
      </c>
      <c r="I3478" s="1"/>
      <c r="J3478" s="1"/>
      <c r="K3478" s="1"/>
      <c r="L3478" s="1"/>
    </row>
    <row r="3479" spans="1:12" x14ac:dyDescent="0.25">
      <c r="A3479" s="1"/>
      <c r="B3479" s="1"/>
      <c r="C3479" s="1"/>
      <c r="D3479" s="1"/>
      <c r="E3479" s="1" t="s">
        <v>1082</v>
      </c>
      <c r="F3479" s="1" t="s">
        <v>184</v>
      </c>
      <c r="G3479" s="1" t="s">
        <v>213</v>
      </c>
      <c r="H3479" s="1" t="s">
        <v>228</v>
      </c>
      <c r="I3479" s="1"/>
      <c r="J3479" s="1"/>
      <c r="K3479" s="1"/>
      <c r="L3479" s="1"/>
    </row>
    <row r="3480" spans="1:12" x14ac:dyDescent="0.25">
      <c r="A3480" s="1"/>
      <c r="B3480" s="1"/>
      <c r="C3480" s="1"/>
      <c r="D3480" s="1"/>
      <c r="E3480" s="1" t="s">
        <v>1082</v>
      </c>
      <c r="F3480" s="1" t="s">
        <v>185</v>
      </c>
      <c r="G3480" s="1" t="s">
        <v>214</v>
      </c>
      <c r="H3480" s="1" t="s">
        <v>78</v>
      </c>
      <c r="I3480" s="1"/>
      <c r="J3480" s="1"/>
      <c r="K3480" s="1"/>
      <c r="L3480" s="1"/>
    </row>
    <row r="3481" spans="1:12" x14ac:dyDescent="0.25">
      <c r="A3481" s="1"/>
      <c r="B3481" s="1"/>
      <c r="C3481" s="1"/>
      <c r="D3481" s="1"/>
      <c r="E3481" s="1" t="s">
        <v>1082</v>
      </c>
      <c r="F3481" s="1" t="s">
        <v>186</v>
      </c>
      <c r="G3481" s="1" t="s">
        <v>215</v>
      </c>
      <c r="H3481" s="1" t="s">
        <v>78</v>
      </c>
      <c r="I3481" s="1"/>
      <c r="J3481" s="1"/>
      <c r="K3481" s="1"/>
      <c r="L3481" s="1"/>
    </row>
    <row r="3482" spans="1:12" x14ac:dyDescent="0.25">
      <c r="A3482" s="1"/>
      <c r="B3482" s="1"/>
      <c r="C3482" s="1"/>
      <c r="D3482" s="1"/>
      <c r="E3482" s="1" t="s">
        <v>1082</v>
      </c>
      <c r="F3482" s="1" t="s">
        <v>187</v>
      </c>
      <c r="G3482" s="1" t="s">
        <v>216</v>
      </c>
      <c r="H3482" s="1" t="s">
        <v>133</v>
      </c>
      <c r="I3482" s="1"/>
      <c r="J3482" s="1"/>
      <c r="K3482" s="1"/>
      <c r="L3482" s="1"/>
    </row>
    <row r="3483" spans="1:12" x14ac:dyDescent="0.25">
      <c r="A3483" s="1"/>
      <c r="B3483" s="1"/>
      <c r="C3483" s="1"/>
      <c r="D3483" s="1"/>
      <c r="E3483" s="1" t="s">
        <v>1082</v>
      </c>
      <c r="F3483" s="1" t="s">
        <v>188</v>
      </c>
      <c r="G3483" s="1" t="s">
        <v>217</v>
      </c>
      <c r="H3483" s="1" t="s">
        <v>78</v>
      </c>
      <c r="I3483" s="1"/>
      <c r="J3483" s="1"/>
      <c r="K3483" s="1"/>
      <c r="L3483" s="1"/>
    </row>
    <row r="3484" spans="1:12" x14ac:dyDescent="0.25">
      <c r="A3484" s="1"/>
      <c r="B3484" s="1"/>
      <c r="C3484" s="1"/>
      <c r="D3484" s="1"/>
      <c r="E3484" s="1" t="s">
        <v>1082</v>
      </c>
      <c r="F3484" s="1" t="s">
        <v>189</v>
      </c>
      <c r="G3484" s="1" t="s">
        <v>218</v>
      </c>
      <c r="H3484" s="1" t="s">
        <v>95</v>
      </c>
      <c r="I3484" s="1"/>
      <c r="J3484" s="1"/>
      <c r="K3484" s="1"/>
      <c r="L3484" s="1"/>
    </row>
    <row r="3485" spans="1:12" x14ac:dyDescent="0.25">
      <c r="A3485" s="1"/>
      <c r="B3485" s="1"/>
      <c r="C3485" s="1"/>
      <c r="D3485" s="1"/>
      <c r="E3485" s="1" t="s">
        <v>1082</v>
      </c>
      <c r="F3485" s="1" t="s">
        <v>190</v>
      </c>
      <c r="G3485" s="1" t="s">
        <v>219</v>
      </c>
      <c r="H3485" s="1" t="s">
        <v>78</v>
      </c>
      <c r="I3485" s="1"/>
      <c r="J3485" s="1"/>
      <c r="K3485" s="1"/>
      <c r="L3485" s="1"/>
    </row>
    <row r="3486" spans="1:12" x14ac:dyDescent="0.25">
      <c r="A3486" s="1"/>
      <c r="B3486" s="1"/>
      <c r="C3486" s="1"/>
      <c r="D3486" s="1"/>
      <c r="E3486" s="1" t="s">
        <v>1082</v>
      </c>
      <c r="F3486" s="1" t="s">
        <v>191</v>
      </c>
      <c r="G3486" s="1" t="s">
        <v>220</v>
      </c>
      <c r="H3486" s="1" t="s">
        <v>92</v>
      </c>
      <c r="I3486" s="1"/>
      <c r="J3486" s="1"/>
      <c r="K3486" s="1"/>
      <c r="L3486" s="1"/>
    </row>
    <row r="3487" spans="1:12" x14ac:dyDescent="0.25">
      <c r="A3487" s="1"/>
      <c r="B3487" s="1"/>
      <c r="C3487" s="1"/>
      <c r="D3487" s="1"/>
      <c r="E3487" s="1" t="s">
        <v>1082</v>
      </c>
      <c r="F3487" s="1" t="s">
        <v>192</v>
      </c>
      <c r="G3487" s="1" t="s">
        <v>221</v>
      </c>
      <c r="H3487" s="1" t="s">
        <v>92</v>
      </c>
      <c r="I3487" s="1"/>
      <c r="J3487" s="1"/>
      <c r="K3487" s="1"/>
      <c r="L3487" s="1"/>
    </row>
    <row r="3488" spans="1:12" x14ac:dyDescent="0.25">
      <c r="A3488" s="1"/>
      <c r="B3488" s="1"/>
      <c r="C3488" s="1"/>
      <c r="D3488" s="1"/>
      <c r="E3488" s="1" t="s">
        <v>1082</v>
      </c>
      <c r="F3488" s="1" t="s">
        <v>193</v>
      </c>
      <c r="G3488" s="1" t="s">
        <v>222</v>
      </c>
      <c r="H3488" s="1" t="s">
        <v>78</v>
      </c>
      <c r="I3488" s="1"/>
      <c r="J3488" s="1"/>
      <c r="K3488" s="1"/>
      <c r="L3488" s="1"/>
    </row>
    <row r="3489" spans="1:12" x14ac:dyDescent="0.25">
      <c r="A3489" s="1"/>
      <c r="B3489" s="1"/>
      <c r="C3489" s="1"/>
      <c r="D3489" s="1"/>
      <c r="E3489" s="1" t="s">
        <v>1083</v>
      </c>
      <c r="F3489" s="1" t="s">
        <v>173</v>
      </c>
      <c r="G3489" s="1" t="s">
        <v>194</v>
      </c>
      <c r="H3489" s="1" t="s">
        <v>78</v>
      </c>
      <c r="I3489" s="1"/>
      <c r="J3489" s="1"/>
      <c r="K3489" s="1"/>
      <c r="L3489" s="1"/>
    </row>
    <row r="3490" spans="1:12" x14ac:dyDescent="0.25">
      <c r="A3490" s="1"/>
      <c r="B3490" s="1"/>
      <c r="C3490" s="1"/>
      <c r="D3490" s="1"/>
      <c r="E3490" s="1" t="s">
        <v>1083</v>
      </c>
      <c r="F3490" s="1" t="s">
        <v>174</v>
      </c>
      <c r="G3490" s="1" t="s">
        <v>195</v>
      </c>
      <c r="H3490" s="1" t="s">
        <v>78</v>
      </c>
      <c r="I3490" s="1"/>
      <c r="J3490" s="1"/>
      <c r="K3490" s="1"/>
      <c r="L3490" s="1"/>
    </row>
    <row r="3491" spans="1:12" x14ac:dyDescent="0.25">
      <c r="A3491" s="1"/>
      <c r="B3491" s="1"/>
      <c r="C3491" s="1"/>
      <c r="D3491" s="1"/>
      <c r="E3491" s="1" t="s">
        <v>1083</v>
      </c>
      <c r="F3491" s="1" t="s">
        <v>175</v>
      </c>
      <c r="G3491" s="1" t="s">
        <v>196</v>
      </c>
      <c r="H3491" s="1" t="s">
        <v>232</v>
      </c>
      <c r="I3491" s="1"/>
      <c r="J3491" s="1"/>
      <c r="K3491" s="1"/>
      <c r="L3491" s="1"/>
    </row>
    <row r="3492" spans="1:12" x14ac:dyDescent="0.25">
      <c r="A3492" s="1"/>
      <c r="B3492" s="1"/>
      <c r="C3492" s="1"/>
      <c r="D3492" s="1"/>
      <c r="E3492" s="1" t="s">
        <v>1083</v>
      </c>
      <c r="F3492" s="1" t="s">
        <v>176</v>
      </c>
      <c r="G3492" s="1" t="s">
        <v>197</v>
      </c>
      <c r="H3492" s="1" t="s">
        <v>223</v>
      </c>
      <c r="I3492" s="1"/>
      <c r="J3492" s="1"/>
      <c r="K3492" s="1"/>
      <c r="L3492" s="1"/>
    </row>
    <row r="3493" spans="1:12" x14ac:dyDescent="0.25">
      <c r="A3493" s="1"/>
      <c r="B3493" s="1"/>
      <c r="C3493" s="1"/>
      <c r="D3493" s="1"/>
      <c r="E3493" s="1" t="s">
        <v>1083</v>
      </c>
      <c r="F3493" s="1" t="s">
        <v>177</v>
      </c>
      <c r="G3493" s="1" t="s">
        <v>198</v>
      </c>
      <c r="H3493" s="1" t="s">
        <v>95</v>
      </c>
      <c r="I3493" s="1"/>
      <c r="J3493" s="1"/>
      <c r="K3493" s="1"/>
      <c r="L3493" s="1"/>
    </row>
    <row r="3494" spans="1:12" x14ac:dyDescent="0.25">
      <c r="A3494" s="1"/>
      <c r="B3494" s="1"/>
      <c r="C3494" s="1"/>
      <c r="D3494" s="1"/>
      <c r="E3494" s="1" t="s">
        <v>1083</v>
      </c>
      <c r="F3494" s="1" t="s">
        <v>33</v>
      </c>
      <c r="G3494" s="1" t="s">
        <v>199</v>
      </c>
      <c r="H3494" s="1" t="s">
        <v>92</v>
      </c>
      <c r="I3494" s="1"/>
      <c r="J3494" s="1"/>
      <c r="K3494" s="1"/>
      <c r="L3494" s="1"/>
    </row>
    <row r="3495" spans="1:12" x14ac:dyDescent="0.25">
      <c r="A3495" s="1"/>
      <c r="B3495" s="1"/>
      <c r="C3495" s="1"/>
      <c r="D3495" s="1"/>
      <c r="E3495" s="1" t="s">
        <v>1083</v>
      </c>
      <c r="F3495" s="1" t="s">
        <v>34</v>
      </c>
      <c r="G3495" s="1" t="s">
        <v>200</v>
      </c>
      <c r="H3495" s="1" t="s">
        <v>92</v>
      </c>
      <c r="I3495" s="1"/>
      <c r="J3495" s="1"/>
      <c r="K3495" s="1"/>
      <c r="L3495" s="1"/>
    </row>
    <row r="3496" spans="1:12" x14ac:dyDescent="0.25">
      <c r="A3496" s="1"/>
      <c r="B3496" s="1"/>
      <c r="C3496" s="1"/>
      <c r="D3496" s="1"/>
      <c r="E3496" s="1" t="s">
        <v>1083</v>
      </c>
      <c r="F3496" s="1" t="s">
        <v>35</v>
      </c>
      <c r="G3496" s="1" t="s">
        <v>201</v>
      </c>
      <c r="H3496" s="1" t="s">
        <v>92</v>
      </c>
      <c r="I3496" s="1"/>
      <c r="J3496" s="1"/>
      <c r="K3496" s="1"/>
      <c r="L3496" s="1"/>
    </row>
    <row r="3497" spans="1:12" x14ac:dyDescent="0.25">
      <c r="A3497" s="1"/>
      <c r="B3497" s="1"/>
      <c r="C3497" s="1"/>
      <c r="D3497" s="1"/>
      <c r="E3497" s="1" t="s">
        <v>1083</v>
      </c>
      <c r="F3497" s="1" t="s">
        <v>36</v>
      </c>
      <c r="G3497" s="1" t="s">
        <v>202</v>
      </c>
      <c r="H3497" s="1" t="s">
        <v>98</v>
      </c>
      <c r="I3497" s="1"/>
      <c r="J3497" s="1"/>
      <c r="K3497" s="1"/>
      <c r="L3497" s="1"/>
    </row>
    <row r="3498" spans="1:12" x14ac:dyDescent="0.25">
      <c r="A3498" s="1"/>
      <c r="B3498" s="1"/>
      <c r="C3498" s="1"/>
      <c r="D3498" s="1"/>
      <c r="E3498" s="1" t="s">
        <v>1083</v>
      </c>
      <c r="F3498" s="1" t="s">
        <v>37</v>
      </c>
      <c r="G3498" s="1" t="s">
        <v>203</v>
      </c>
      <c r="H3498" s="1" t="s">
        <v>232</v>
      </c>
      <c r="I3498" s="1"/>
      <c r="J3498" s="1"/>
      <c r="K3498" s="1"/>
      <c r="L3498" s="1"/>
    </row>
    <row r="3499" spans="1:12" x14ac:dyDescent="0.25">
      <c r="A3499" s="1"/>
      <c r="B3499" s="1"/>
      <c r="C3499" s="1"/>
      <c r="D3499" s="1"/>
      <c r="E3499" s="1" t="s">
        <v>1083</v>
      </c>
      <c r="F3499" s="1" t="s">
        <v>38</v>
      </c>
      <c r="G3499" s="1" t="s">
        <v>204</v>
      </c>
      <c r="H3499" s="1" t="s">
        <v>1090</v>
      </c>
      <c r="I3499" s="1"/>
      <c r="J3499" s="1"/>
      <c r="K3499" s="1"/>
      <c r="L3499" s="1"/>
    </row>
    <row r="3500" spans="1:12" x14ac:dyDescent="0.25">
      <c r="A3500" s="1"/>
      <c r="B3500" s="1"/>
      <c r="C3500" s="1"/>
      <c r="D3500" s="1"/>
      <c r="E3500" s="1" t="s">
        <v>1083</v>
      </c>
      <c r="F3500" s="1" t="s">
        <v>178</v>
      </c>
      <c r="G3500" s="1" t="s">
        <v>205</v>
      </c>
      <c r="H3500" s="1" t="s">
        <v>78</v>
      </c>
      <c r="I3500" s="1"/>
      <c r="J3500" s="1"/>
      <c r="K3500" s="1"/>
      <c r="L3500" s="1"/>
    </row>
    <row r="3501" spans="1:12" x14ac:dyDescent="0.25">
      <c r="A3501" s="1"/>
      <c r="B3501" s="1"/>
      <c r="C3501" s="1"/>
      <c r="D3501" s="1"/>
      <c r="E3501" s="1" t="s">
        <v>1083</v>
      </c>
      <c r="F3501" s="1" t="s">
        <v>179</v>
      </c>
      <c r="G3501" s="1" t="s">
        <v>206</v>
      </c>
      <c r="H3501" s="1" t="s">
        <v>78</v>
      </c>
      <c r="I3501" s="1"/>
      <c r="J3501" s="1"/>
      <c r="K3501" s="1"/>
      <c r="L3501" s="1"/>
    </row>
    <row r="3502" spans="1:12" x14ac:dyDescent="0.25">
      <c r="A3502" s="1"/>
      <c r="B3502" s="1"/>
      <c r="C3502" s="1"/>
      <c r="D3502" s="1"/>
      <c r="E3502" s="1" t="s">
        <v>1083</v>
      </c>
      <c r="F3502" s="1" t="s">
        <v>40</v>
      </c>
      <c r="G3502" s="1" t="s">
        <v>207</v>
      </c>
      <c r="H3502" s="1" t="s">
        <v>92</v>
      </c>
      <c r="I3502" s="1"/>
      <c r="J3502" s="1"/>
      <c r="K3502" s="1"/>
      <c r="L3502" s="1"/>
    </row>
    <row r="3503" spans="1:12" x14ac:dyDescent="0.25">
      <c r="A3503" s="1"/>
      <c r="B3503" s="1"/>
      <c r="C3503" s="1"/>
      <c r="D3503" s="1"/>
      <c r="E3503" s="1" t="s">
        <v>1083</v>
      </c>
      <c r="F3503" s="1" t="s">
        <v>180</v>
      </c>
      <c r="G3503" s="1" t="s">
        <v>208</v>
      </c>
      <c r="H3503" s="1" t="s">
        <v>78</v>
      </c>
      <c r="I3503" s="1"/>
      <c r="J3503" s="1"/>
      <c r="K3503" s="1"/>
      <c r="L3503" s="1"/>
    </row>
    <row r="3504" spans="1:12" x14ac:dyDescent="0.25">
      <c r="A3504" s="1"/>
      <c r="B3504" s="1"/>
      <c r="C3504" s="1"/>
      <c r="D3504" s="1"/>
      <c r="E3504" s="1" t="s">
        <v>1083</v>
      </c>
      <c r="F3504" s="1" t="s">
        <v>43</v>
      </c>
      <c r="G3504" s="1" t="s">
        <v>209</v>
      </c>
      <c r="H3504" s="1" t="s">
        <v>97</v>
      </c>
      <c r="I3504" s="1"/>
      <c r="J3504" s="1"/>
      <c r="K3504" s="1"/>
      <c r="L3504" s="1"/>
    </row>
    <row r="3505" spans="1:12" x14ac:dyDescent="0.25">
      <c r="A3505" s="1"/>
      <c r="B3505" s="1"/>
      <c r="C3505" s="1"/>
      <c r="D3505" s="1"/>
      <c r="E3505" s="1" t="s">
        <v>1083</v>
      </c>
      <c r="F3505" s="1" t="s">
        <v>181</v>
      </c>
      <c r="G3505" s="1" t="s">
        <v>210</v>
      </c>
      <c r="H3505" s="1" t="s">
        <v>78</v>
      </c>
      <c r="I3505" s="1"/>
      <c r="J3505" s="1"/>
      <c r="K3505" s="1"/>
      <c r="L3505" s="1"/>
    </row>
    <row r="3506" spans="1:12" x14ac:dyDescent="0.25">
      <c r="A3506" s="1"/>
      <c r="B3506" s="1"/>
      <c r="C3506" s="1"/>
      <c r="D3506" s="1"/>
      <c r="E3506" s="1" t="s">
        <v>1083</v>
      </c>
      <c r="F3506" s="1" t="s">
        <v>182</v>
      </c>
      <c r="G3506" s="1" t="s">
        <v>211</v>
      </c>
      <c r="H3506" s="1" t="s">
        <v>78</v>
      </c>
      <c r="I3506" s="1"/>
      <c r="J3506" s="1"/>
      <c r="K3506" s="1"/>
      <c r="L3506" s="1"/>
    </row>
    <row r="3507" spans="1:12" x14ac:dyDescent="0.25">
      <c r="A3507" s="1"/>
      <c r="B3507" s="1"/>
      <c r="C3507" s="1"/>
      <c r="D3507" s="1"/>
      <c r="E3507" s="1" t="s">
        <v>1083</v>
      </c>
      <c r="F3507" s="1" t="s">
        <v>183</v>
      </c>
      <c r="G3507" s="1" t="s">
        <v>212</v>
      </c>
      <c r="H3507" s="1" t="s">
        <v>232</v>
      </c>
      <c r="I3507" s="1"/>
      <c r="J3507" s="1"/>
      <c r="K3507" s="1"/>
      <c r="L3507" s="1"/>
    </row>
    <row r="3508" spans="1:12" x14ac:dyDescent="0.25">
      <c r="A3508" s="1"/>
      <c r="B3508" s="1"/>
      <c r="C3508" s="1"/>
      <c r="D3508" s="1"/>
      <c r="E3508" s="1" t="s">
        <v>1083</v>
      </c>
      <c r="F3508" s="1" t="s">
        <v>184</v>
      </c>
      <c r="G3508" s="1" t="s">
        <v>213</v>
      </c>
      <c r="H3508" s="1" t="s">
        <v>227</v>
      </c>
      <c r="I3508" s="1"/>
      <c r="J3508" s="1"/>
      <c r="K3508" s="1"/>
      <c r="L3508" s="1"/>
    </row>
    <row r="3509" spans="1:12" x14ac:dyDescent="0.25">
      <c r="A3509" s="1"/>
      <c r="B3509" s="1"/>
      <c r="C3509" s="1"/>
      <c r="D3509" s="1"/>
      <c r="E3509" s="1" t="s">
        <v>1083</v>
      </c>
      <c r="F3509" s="1" t="s">
        <v>185</v>
      </c>
      <c r="G3509" s="1" t="s">
        <v>214</v>
      </c>
      <c r="H3509" s="1" t="s">
        <v>78</v>
      </c>
      <c r="I3509" s="1"/>
      <c r="J3509" s="1"/>
      <c r="K3509" s="1"/>
      <c r="L3509" s="1"/>
    </row>
    <row r="3510" spans="1:12" x14ac:dyDescent="0.25">
      <c r="A3510" s="1"/>
      <c r="B3510" s="1"/>
      <c r="C3510" s="1"/>
      <c r="D3510" s="1"/>
      <c r="E3510" s="1" t="s">
        <v>1083</v>
      </c>
      <c r="F3510" s="1" t="s">
        <v>186</v>
      </c>
      <c r="G3510" s="1" t="s">
        <v>215</v>
      </c>
      <c r="H3510" s="1" t="s">
        <v>78</v>
      </c>
      <c r="I3510" s="1"/>
      <c r="J3510" s="1"/>
      <c r="K3510" s="1"/>
      <c r="L3510" s="1"/>
    </row>
    <row r="3511" spans="1:12" x14ac:dyDescent="0.25">
      <c r="A3511" s="1"/>
      <c r="B3511" s="1"/>
      <c r="C3511" s="1"/>
      <c r="D3511" s="1"/>
      <c r="E3511" s="1" t="s">
        <v>1083</v>
      </c>
      <c r="F3511" s="1" t="s">
        <v>187</v>
      </c>
      <c r="G3511" s="1" t="s">
        <v>216</v>
      </c>
      <c r="H3511" s="1" t="s">
        <v>133</v>
      </c>
      <c r="I3511" s="1"/>
      <c r="J3511" s="1"/>
      <c r="K3511" s="1"/>
      <c r="L3511" s="1"/>
    </row>
    <row r="3512" spans="1:12" x14ac:dyDescent="0.25">
      <c r="A3512" s="1"/>
      <c r="B3512" s="1"/>
      <c r="C3512" s="1"/>
      <c r="D3512" s="1"/>
      <c r="E3512" s="1" t="s">
        <v>1083</v>
      </c>
      <c r="F3512" s="1" t="s">
        <v>188</v>
      </c>
      <c r="G3512" s="1" t="s">
        <v>217</v>
      </c>
      <c r="H3512" s="1" t="s">
        <v>78</v>
      </c>
      <c r="I3512" s="1"/>
      <c r="J3512" s="1"/>
      <c r="K3512" s="1"/>
      <c r="L3512" s="1"/>
    </row>
    <row r="3513" spans="1:12" x14ac:dyDescent="0.25">
      <c r="A3513" s="1"/>
      <c r="B3513" s="1"/>
      <c r="C3513" s="1"/>
      <c r="D3513" s="1"/>
      <c r="E3513" s="1" t="s">
        <v>1083</v>
      </c>
      <c r="F3513" s="1" t="s">
        <v>189</v>
      </c>
      <c r="G3513" s="1" t="s">
        <v>218</v>
      </c>
      <c r="H3513" s="1" t="s">
        <v>232</v>
      </c>
      <c r="I3513" s="1"/>
      <c r="J3513" s="1"/>
      <c r="K3513" s="1"/>
      <c r="L3513" s="1"/>
    </row>
    <row r="3514" spans="1:12" x14ac:dyDescent="0.25">
      <c r="A3514" s="1"/>
      <c r="B3514" s="1"/>
      <c r="C3514" s="1"/>
      <c r="D3514" s="1"/>
      <c r="E3514" s="1" t="s">
        <v>1083</v>
      </c>
      <c r="F3514" s="1" t="s">
        <v>190</v>
      </c>
      <c r="G3514" s="1" t="s">
        <v>219</v>
      </c>
      <c r="H3514" s="1" t="s">
        <v>78</v>
      </c>
      <c r="I3514" s="1"/>
      <c r="J3514" s="1"/>
      <c r="K3514" s="1"/>
      <c r="L3514" s="1"/>
    </row>
    <row r="3515" spans="1:12" x14ac:dyDescent="0.25">
      <c r="A3515" s="1"/>
      <c r="B3515" s="1"/>
      <c r="C3515" s="1"/>
      <c r="D3515" s="1"/>
      <c r="E3515" s="1" t="s">
        <v>1083</v>
      </c>
      <c r="F3515" s="1" t="s">
        <v>191</v>
      </c>
      <c r="G3515" s="1" t="s">
        <v>220</v>
      </c>
      <c r="H3515" s="1" t="s">
        <v>92</v>
      </c>
      <c r="I3515" s="1"/>
      <c r="J3515" s="1"/>
      <c r="K3515" s="1"/>
      <c r="L3515" s="1"/>
    </row>
    <row r="3516" spans="1:12" x14ac:dyDescent="0.25">
      <c r="A3516" s="1"/>
      <c r="B3516" s="1"/>
      <c r="C3516" s="1"/>
      <c r="D3516" s="1"/>
      <c r="E3516" s="1" t="s">
        <v>1083</v>
      </c>
      <c r="F3516" s="1" t="s">
        <v>192</v>
      </c>
      <c r="G3516" s="1" t="s">
        <v>221</v>
      </c>
      <c r="H3516" s="1" t="s">
        <v>92</v>
      </c>
      <c r="I3516" s="1"/>
      <c r="J3516" s="1"/>
      <c r="K3516" s="1"/>
      <c r="L3516" s="1"/>
    </row>
    <row r="3517" spans="1:12" x14ac:dyDescent="0.25">
      <c r="A3517" s="1"/>
      <c r="B3517" s="1"/>
      <c r="C3517" s="1"/>
      <c r="D3517" s="1"/>
      <c r="E3517" s="1" t="s">
        <v>1083</v>
      </c>
      <c r="F3517" s="1" t="s">
        <v>193</v>
      </c>
      <c r="G3517" s="1" t="s">
        <v>222</v>
      </c>
      <c r="H3517" s="1" t="s">
        <v>78</v>
      </c>
      <c r="I3517" s="1"/>
      <c r="J3517" s="1"/>
      <c r="K3517" s="1"/>
      <c r="L3517" s="1"/>
    </row>
    <row r="3518" spans="1:12" x14ac:dyDescent="0.25">
      <c r="A3518" s="1"/>
      <c r="B3518" s="1"/>
      <c r="C3518" s="1"/>
      <c r="D3518" s="1"/>
      <c r="E3518" s="1" t="s">
        <v>1077</v>
      </c>
      <c r="F3518" s="1" t="s">
        <v>175</v>
      </c>
      <c r="G3518" s="1" t="s">
        <v>196</v>
      </c>
      <c r="H3518" s="1" t="s">
        <v>275</v>
      </c>
      <c r="I3518" s="1"/>
      <c r="J3518" s="1"/>
      <c r="K3518" s="1"/>
      <c r="L3518" s="1"/>
    </row>
    <row r="3519" spans="1:12" x14ac:dyDescent="0.25">
      <c r="A3519" s="1"/>
      <c r="B3519" s="1"/>
      <c r="C3519" s="1"/>
      <c r="D3519" s="1"/>
      <c r="E3519" s="1" t="s">
        <v>1077</v>
      </c>
      <c r="F3519" s="1" t="s">
        <v>177</v>
      </c>
      <c r="G3519" s="1" t="s">
        <v>198</v>
      </c>
      <c r="H3519" s="1" t="s">
        <v>95</v>
      </c>
      <c r="I3519" s="1"/>
      <c r="J3519" s="1"/>
      <c r="K3519" s="1"/>
      <c r="L3519" s="1"/>
    </row>
    <row r="3520" spans="1:12" x14ac:dyDescent="0.25">
      <c r="A3520" s="1"/>
      <c r="B3520" s="1"/>
      <c r="C3520" s="1"/>
      <c r="D3520" s="1"/>
      <c r="E3520" s="1" t="s">
        <v>1077</v>
      </c>
      <c r="F3520" s="1" t="s">
        <v>36</v>
      </c>
      <c r="G3520" s="1" t="s">
        <v>202</v>
      </c>
      <c r="H3520" s="1" t="s">
        <v>98</v>
      </c>
      <c r="I3520" s="1"/>
      <c r="J3520" s="1"/>
      <c r="K3520" s="1"/>
      <c r="L3520" s="1"/>
    </row>
    <row r="3521" spans="1:12" x14ac:dyDescent="0.25">
      <c r="A3521" s="1"/>
      <c r="B3521" s="1"/>
      <c r="C3521" s="1"/>
      <c r="D3521" s="1"/>
      <c r="E3521" s="1" t="s">
        <v>1077</v>
      </c>
      <c r="F3521" s="1" t="s">
        <v>37</v>
      </c>
      <c r="G3521" s="1" t="s">
        <v>203</v>
      </c>
      <c r="H3521" s="1" t="s">
        <v>232</v>
      </c>
      <c r="I3521" s="1"/>
      <c r="J3521" s="1"/>
      <c r="K3521" s="1"/>
      <c r="L3521" s="1"/>
    </row>
    <row r="3522" spans="1:12" x14ac:dyDescent="0.25">
      <c r="A3522" s="1"/>
      <c r="B3522" s="1"/>
      <c r="C3522" s="1"/>
      <c r="D3522" s="1"/>
      <c r="E3522" s="1" t="s">
        <v>1077</v>
      </c>
      <c r="F3522" s="1" t="s">
        <v>38</v>
      </c>
      <c r="G3522" s="1" t="s">
        <v>204</v>
      </c>
      <c r="H3522" s="1" t="s">
        <v>1090</v>
      </c>
      <c r="I3522" s="1"/>
      <c r="J3522" s="1"/>
      <c r="K3522" s="1"/>
      <c r="L3522" s="1"/>
    </row>
    <row r="3523" spans="1:12" x14ac:dyDescent="0.25">
      <c r="A3523" s="1"/>
      <c r="B3523" s="1"/>
      <c r="C3523" s="1"/>
      <c r="D3523" s="1"/>
      <c r="E3523" s="1" t="s">
        <v>1077</v>
      </c>
      <c r="F3523" s="1" t="s">
        <v>179</v>
      </c>
      <c r="G3523" s="1" t="s">
        <v>206</v>
      </c>
      <c r="H3523" s="1" t="s">
        <v>78</v>
      </c>
      <c r="I3523" s="1"/>
      <c r="J3523" s="1"/>
      <c r="K3523" s="1"/>
      <c r="L3523" s="1"/>
    </row>
    <row r="3524" spans="1:12" x14ac:dyDescent="0.25">
      <c r="A3524" s="1"/>
      <c r="B3524" s="1"/>
      <c r="C3524" s="1"/>
      <c r="D3524" s="1"/>
      <c r="E3524" s="1" t="s">
        <v>1077</v>
      </c>
      <c r="F3524" s="1" t="s">
        <v>40</v>
      </c>
      <c r="G3524" s="1" t="s">
        <v>207</v>
      </c>
      <c r="H3524" s="1" t="s">
        <v>92</v>
      </c>
      <c r="I3524" s="1"/>
      <c r="J3524" s="1"/>
      <c r="K3524" s="1"/>
      <c r="L3524" s="1"/>
    </row>
    <row r="3525" spans="1:12" x14ac:dyDescent="0.25">
      <c r="A3525" s="1"/>
      <c r="B3525" s="1"/>
      <c r="C3525" s="1"/>
      <c r="D3525" s="1"/>
      <c r="E3525" s="1" t="s">
        <v>1077</v>
      </c>
      <c r="F3525" s="1" t="s">
        <v>43</v>
      </c>
      <c r="G3525" s="1" t="s">
        <v>209</v>
      </c>
      <c r="H3525" s="1" t="s">
        <v>97</v>
      </c>
      <c r="I3525" s="1"/>
      <c r="J3525" s="1"/>
      <c r="K3525" s="1"/>
      <c r="L3525" s="1"/>
    </row>
    <row r="3526" spans="1:12" x14ac:dyDescent="0.25">
      <c r="A3526" s="1"/>
      <c r="B3526" s="1"/>
      <c r="C3526" s="1"/>
      <c r="D3526" s="1"/>
      <c r="E3526" s="1" t="s">
        <v>1077</v>
      </c>
      <c r="F3526" s="1" t="s">
        <v>181</v>
      </c>
      <c r="G3526" s="1" t="s">
        <v>210</v>
      </c>
      <c r="H3526" s="1" t="s">
        <v>78</v>
      </c>
      <c r="I3526" s="1"/>
      <c r="J3526" s="1"/>
      <c r="K3526" s="1"/>
      <c r="L3526" s="1"/>
    </row>
    <row r="3527" spans="1:12" x14ac:dyDescent="0.25">
      <c r="A3527" s="1"/>
      <c r="B3527" s="1"/>
      <c r="C3527" s="1"/>
      <c r="D3527" s="1"/>
      <c r="E3527" s="1" t="s">
        <v>1077</v>
      </c>
      <c r="F3527" s="1" t="s">
        <v>182</v>
      </c>
      <c r="G3527" s="1" t="s">
        <v>211</v>
      </c>
      <c r="H3527" s="1" t="s">
        <v>78</v>
      </c>
      <c r="I3527" s="1"/>
      <c r="J3527" s="1"/>
      <c r="K3527" s="1"/>
      <c r="L3527" s="1"/>
    </row>
    <row r="3528" spans="1:12" x14ac:dyDescent="0.25">
      <c r="A3528" s="1"/>
      <c r="B3528" s="1"/>
      <c r="C3528" s="1"/>
      <c r="D3528" s="1"/>
      <c r="E3528" s="1" t="s">
        <v>1077</v>
      </c>
      <c r="F3528" s="1" t="s">
        <v>184</v>
      </c>
      <c r="G3528" s="1" t="s">
        <v>213</v>
      </c>
      <c r="H3528" s="1" t="s">
        <v>227</v>
      </c>
      <c r="I3528" s="1"/>
      <c r="J3528" s="1"/>
      <c r="K3528" s="1"/>
      <c r="L3528" s="1"/>
    </row>
    <row r="3529" spans="1:12" x14ac:dyDescent="0.25">
      <c r="A3529" s="1"/>
      <c r="B3529" s="1"/>
      <c r="C3529" s="1"/>
      <c r="D3529" s="1"/>
      <c r="E3529" s="1" t="s">
        <v>1077</v>
      </c>
      <c r="F3529" s="1" t="s">
        <v>185</v>
      </c>
      <c r="G3529" s="1" t="s">
        <v>214</v>
      </c>
      <c r="H3529" s="1" t="s">
        <v>78</v>
      </c>
      <c r="I3529" s="1"/>
      <c r="J3529" s="1"/>
      <c r="K3529" s="1"/>
      <c r="L3529" s="1"/>
    </row>
    <row r="3530" spans="1:12" x14ac:dyDescent="0.25">
      <c r="A3530" s="1"/>
      <c r="B3530" s="1"/>
      <c r="C3530" s="1"/>
      <c r="D3530" s="1"/>
      <c r="E3530" s="1" t="s">
        <v>1077</v>
      </c>
      <c r="F3530" s="1" t="s">
        <v>186</v>
      </c>
      <c r="G3530" s="1" t="s">
        <v>215</v>
      </c>
      <c r="H3530" s="1" t="s">
        <v>78</v>
      </c>
      <c r="I3530" s="1"/>
      <c r="J3530" s="1"/>
      <c r="K3530" s="1"/>
      <c r="L3530" s="1"/>
    </row>
    <row r="3531" spans="1:12" x14ac:dyDescent="0.25">
      <c r="A3531" s="1"/>
      <c r="B3531" s="1"/>
      <c r="C3531" s="1"/>
      <c r="D3531" s="1"/>
      <c r="E3531" s="1" t="s">
        <v>1077</v>
      </c>
      <c r="F3531" s="1" t="s">
        <v>187</v>
      </c>
      <c r="G3531" s="1" t="s">
        <v>216</v>
      </c>
      <c r="H3531" s="1" t="s">
        <v>133</v>
      </c>
      <c r="I3531" s="1"/>
      <c r="J3531" s="1"/>
      <c r="K3531" s="1"/>
      <c r="L3531" s="1"/>
    </row>
    <row r="3532" spans="1:12" x14ac:dyDescent="0.25">
      <c r="A3532" s="1"/>
      <c r="B3532" s="1"/>
      <c r="C3532" s="1"/>
      <c r="D3532" s="1"/>
      <c r="E3532" s="1" t="s">
        <v>1077</v>
      </c>
      <c r="F3532" s="1" t="s">
        <v>189</v>
      </c>
      <c r="G3532" s="1" t="s">
        <v>218</v>
      </c>
      <c r="H3532" s="1" t="s">
        <v>232</v>
      </c>
      <c r="I3532" s="1"/>
      <c r="J3532" s="1"/>
      <c r="K3532" s="1"/>
      <c r="L3532" s="1"/>
    </row>
    <row r="3533" spans="1:12" x14ac:dyDescent="0.25">
      <c r="A3533" s="1"/>
      <c r="B3533" s="1"/>
      <c r="C3533" s="1"/>
      <c r="D3533" s="1"/>
      <c r="E3533" s="1" t="s">
        <v>1077</v>
      </c>
      <c r="F3533" s="1" t="s">
        <v>190</v>
      </c>
      <c r="G3533" s="1" t="s">
        <v>219</v>
      </c>
      <c r="H3533" s="1" t="s">
        <v>78</v>
      </c>
      <c r="I3533" s="1"/>
      <c r="J3533" s="1"/>
      <c r="K3533" s="1"/>
      <c r="L3533" s="1"/>
    </row>
    <row r="3534" spans="1:12" x14ac:dyDescent="0.25">
      <c r="A3534" s="1"/>
      <c r="B3534" s="1"/>
      <c r="C3534" s="1"/>
      <c r="D3534" s="1"/>
      <c r="E3534" s="1" t="s">
        <v>1077</v>
      </c>
      <c r="F3534" s="1" t="s">
        <v>193</v>
      </c>
      <c r="G3534" s="1" t="s">
        <v>222</v>
      </c>
      <c r="H3534" s="1" t="s">
        <v>78</v>
      </c>
      <c r="I3534" s="1"/>
      <c r="J3534" s="1"/>
      <c r="K3534" s="1"/>
      <c r="L3534" s="1"/>
    </row>
    <row r="3535" spans="1:12" x14ac:dyDescent="0.25">
      <c r="A3535" s="1" t="s">
        <v>545</v>
      </c>
      <c r="B3535" s="1" t="s">
        <v>174</v>
      </c>
      <c r="C3535" s="1" t="s">
        <v>574</v>
      </c>
      <c r="D3535" s="1" t="s">
        <v>78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5">
      <c r="A3536" s="1" t="s">
        <v>545</v>
      </c>
      <c r="B3536" s="1" t="s">
        <v>563</v>
      </c>
      <c r="C3536" s="1" t="s">
        <v>575</v>
      </c>
      <c r="D3536" s="1" t="s">
        <v>78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5">
      <c r="A3537" s="1" t="s">
        <v>545</v>
      </c>
      <c r="B3537" s="1" t="s">
        <v>564</v>
      </c>
      <c r="C3537" s="1" t="s">
        <v>576</v>
      </c>
      <c r="D3537" s="1" t="s">
        <v>92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5">
      <c r="A3538" s="1" t="s">
        <v>545</v>
      </c>
      <c r="B3538" s="1" t="s">
        <v>565</v>
      </c>
      <c r="C3538" s="1" t="s">
        <v>577</v>
      </c>
      <c r="D3538" s="1" t="s">
        <v>78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5">
      <c r="A3539" s="1" t="s">
        <v>545</v>
      </c>
      <c r="B3539" s="1" t="s">
        <v>566</v>
      </c>
      <c r="C3539" s="1" t="s">
        <v>578</v>
      </c>
      <c r="D3539" s="1" t="s">
        <v>78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5">
      <c r="A3540" s="1" t="s">
        <v>545</v>
      </c>
      <c r="B3540" s="1" t="s">
        <v>33</v>
      </c>
      <c r="C3540" s="1" t="s">
        <v>579</v>
      </c>
      <c r="D3540" s="1" t="s">
        <v>141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5">
      <c r="A3541" s="1" t="s">
        <v>545</v>
      </c>
      <c r="B3541" s="1" t="s">
        <v>34</v>
      </c>
      <c r="C3541" s="1" t="s">
        <v>580</v>
      </c>
      <c r="D3541" s="1" t="s">
        <v>236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5">
      <c r="A3542" s="1" t="s">
        <v>545</v>
      </c>
      <c r="B3542" s="1" t="s">
        <v>35</v>
      </c>
      <c r="C3542" s="1" t="s">
        <v>581</v>
      </c>
      <c r="D3542" s="1" t="s">
        <v>1044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5">
      <c r="A3543" s="1" t="s">
        <v>545</v>
      </c>
      <c r="B3543" s="1" t="s">
        <v>36</v>
      </c>
      <c r="C3543" s="1" t="s">
        <v>582</v>
      </c>
      <c r="D3543" s="1" t="s">
        <v>233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5">
      <c r="A3544" s="1" t="s">
        <v>545</v>
      </c>
      <c r="B3544" s="1" t="s">
        <v>37</v>
      </c>
      <c r="C3544" s="1" t="s">
        <v>583</v>
      </c>
      <c r="D3544" s="1" t="s">
        <v>98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5">
      <c r="A3545" s="1" t="s">
        <v>545</v>
      </c>
      <c r="B3545" s="1" t="s">
        <v>38</v>
      </c>
      <c r="C3545" s="1" t="s">
        <v>584</v>
      </c>
      <c r="D3545" s="1" t="s">
        <v>236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545</v>
      </c>
      <c r="B3546" s="1" t="s">
        <v>39</v>
      </c>
      <c r="C3546" s="1" t="s">
        <v>585</v>
      </c>
      <c r="D3546" s="1" t="s">
        <v>145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5">
      <c r="A3547" s="1" t="s">
        <v>545</v>
      </c>
      <c r="B3547" s="1" t="s">
        <v>567</v>
      </c>
      <c r="C3547" s="1" t="s">
        <v>586</v>
      </c>
      <c r="D3547" s="1" t="s">
        <v>141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5">
      <c r="A3548" s="1" t="s">
        <v>545</v>
      </c>
      <c r="B3548" s="1" t="s">
        <v>568</v>
      </c>
      <c r="C3548" s="1" t="s">
        <v>587</v>
      </c>
      <c r="D3548" s="1" t="s">
        <v>78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5">
      <c r="A3549" s="1" t="s">
        <v>545</v>
      </c>
      <c r="B3549" s="1" t="s">
        <v>40</v>
      </c>
      <c r="C3549" s="1" t="s">
        <v>588</v>
      </c>
      <c r="D3549" s="1" t="s">
        <v>1045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5">
      <c r="A3550" s="1" t="s">
        <v>545</v>
      </c>
      <c r="B3550" s="1" t="s">
        <v>569</v>
      </c>
      <c r="C3550" s="1" t="s">
        <v>589</v>
      </c>
      <c r="D3550" s="1" t="s">
        <v>78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545</v>
      </c>
      <c r="B3551" s="1" t="s">
        <v>570</v>
      </c>
      <c r="C3551" s="1" t="s">
        <v>590</v>
      </c>
      <c r="D3551" s="1" t="s">
        <v>95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545</v>
      </c>
      <c r="B3552" s="1" t="s">
        <v>571</v>
      </c>
      <c r="C3552" s="1" t="s">
        <v>591</v>
      </c>
      <c r="D3552" s="1" t="s">
        <v>262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545</v>
      </c>
      <c r="B3553" s="1" t="s">
        <v>572</v>
      </c>
      <c r="C3553" s="1" t="s">
        <v>592</v>
      </c>
      <c r="D3553" s="1" t="s">
        <v>78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545</v>
      </c>
      <c r="B3554" s="1" t="s">
        <v>573</v>
      </c>
      <c r="C3554" s="1" t="s">
        <v>593</v>
      </c>
      <c r="D3554" s="1" t="s">
        <v>275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5">
      <c r="A3555" s="1" t="s">
        <v>546</v>
      </c>
      <c r="B3555" s="1" t="s">
        <v>174</v>
      </c>
      <c r="C3555" s="1" t="s">
        <v>574</v>
      </c>
      <c r="D3555" s="1" t="s">
        <v>78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5">
      <c r="A3556" s="1" t="s">
        <v>546</v>
      </c>
      <c r="B3556" s="1" t="s">
        <v>563</v>
      </c>
      <c r="C3556" s="1" t="s">
        <v>575</v>
      </c>
      <c r="D3556" s="1" t="s">
        <v>78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546</v>
      </c>
      <c r="B3557" s="1" t="s">
        <v>564</v>
      </c>
      <c r="C3557" s="1" t="s">
        <v>576</v>
      </c>
      <c r="D3557" s="1" t="s">
        <v>141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546</v>
      </c>
      <c r="B3558" s="1" t="s">
        <v>565</v>
      </c>
      <c r="C3558" s="1" t="s">
        <v>577</v>
      </c>
      <c r="D3558" s="1" t="s">
        <v>223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546</v>
      </c>
      <c r="B3559" s="1" t="s">
        <v>566</v>
      </c>
      <c r="C3559" s="1" t="s">
        <v>578</v>
      </c>
      <c r="D3559" s="1" t="s">
        <v>78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546</v>
      </c>
      <c r="B3560" s="1" t="s">
        <v>33</v>
      </c>
      <c r="C3560" s="1" t="s">
        <v>579</v>
      </c>
      <c r="D3560" s="1" t="s">
        <v>385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546</v>
      </c>
      <c r="B3561" s="1" t="s">
        <v>34</v>
      </c>
      <c r="C3561" s="1" t="s">
        <v>580</v>
      </c>
      <c r="D3561" s="1" t="s">
        <v>726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546</v>
      </c>
      <c r="B3562" s="1" t="s">
        <v>35</v>
      </c>
      <c r="C3562" s="1" t="s">
        <v>581</v>
      </c>
      <c r="D3562" s="1" t="s">
        <v>727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5">
      <c r="A3563" s="1" t="s">
        <v>546</v>
      </c>
      <c r="B3563" s="1" t="s">
        <v>36</v>
      </c>
      <c r="C3563" s="1" t="s">
        <v>582</v>
      </c>
      <c r="D3563" s="1" t="s">
        <v>145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5">
      <c r="A3564" s="1" t="s">
        <v>546</v>
      </c>
      <c r="B3564" s="1" t="s">
        <v>37</v>
      </c>
      <c r="C3564" s="1" t="s">
        <v>583</v>
      </c>
      <c r="D3564" s="1" t="s">
        <v>145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5">
      <c r="A3565" s="1" t="s">
        <v>546</v>
      </c>
      <c r="B3565" s="1" t="s">
        <v>38</v>
      </c>
      <c r="C3565" s="1" t="s">
        <v>584</v>
      </c>
      <c r="D3565" s="1" t="s">
        <v>728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5">
      <c r="A3566" s="1" t="s">
        <v>546</v>
      </c>
      <c r="B3566" s="1" t="s">
        <v>39</v>
      </c>
      <c r="C3566" s="1" t="s">
        <v>585</v>
      </c>
      <c r="D3566" s="1" t="s">
        <v>232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5">
      <c r="A3567" s="1" t="s">
        <v>546</v>
      </c>
      <c r="B3567" s="1" t="s">
        <v>567</v>
      </c>
      <c r="C3567" s="1" t="s">
        <v>586</v>
      </c>
      <c r="D3567" s="1" t="s">
        <v>92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5">
      <c r="A3568" s="1" t="s">
        <v>546</v>
      </c>
      <c r="B3568" s="1" t="s">
        <v>568</v>
      </c>
      <c r="C3568" s="1" t="s">
        <v>587</v>
      </c>
      <c r="D3568" s="1" t="s">
        <v>78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5">
      <c r="A3569" s="1" t="s">
        <v>546</v>
      </c>
      <c r="B3569" s="1" t="s">
        <v>40</v>
      </c>
      <c r="C3569" s="1" t="s">
        <v>588</v>
      </c>
      <c r="D3569" s="1" t="s">
        <v>1046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5">
      <c r="A3570" s="1" t="s">
        <v>546</v>
      </c>
      <c r="B3570" s="1" t="s">
        <v>569</v>
      </c>
      <c r="C3570" s="1" t="s">
        <v>589</v>
      </c>
      <c r="D3570" s="1" t="s">
        <v>78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 t="s">
        <v>546</v>
      </c>
      <c r="B3571" s="1" t="s">
        <v>570</v>
      </c>
      <c r="C3571" s="1" t="s">
        <v>590</v>
      </c>
      <c r="D3571" s="1" t="s">
        <v>95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5">
      <c r="A3572" s="1" t="s">
        <v>546</v>
      </c>
      <c r="B3572" s="1" t="s">
        <v>571</v>
      </c>
      <c r="C3572" s="1" t="s">
        <v>591</v>
      </c>
      <c r="D3572" s="1" t="s">
        <v>223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5">
      <c r="A3573" s="1" t="s">
        <v>546</v>
      </c>
      <c r="B3573" s="1" t="s">
        <v>572</v>
      </c>
      <c r="C3573" s="1" t="s">
        <v>592</v>
      </c>
      <c r="D3573" s="1" t="s">
        <v>78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5">
      <c r="A3574" s="1" t="s">
        <v>546</v>
      </c>
      <c r="B3574" s="1" t="s">
        <v>573</v>
      </c>
      <c r="C3574" s="1" t="s">
        <v>593</v>
      </c>
      <c r="D3574" s="1" t="s">
        <v>223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5">
      <c r="A3575" s="1" t="s">
        <v>547</v>
      </c>
      <c r="B3575" s="1" t="s">
        <v>174</v>
      </c>
      <c r="C3575" s="1" t="s">
        <v>574</v>
      </c>
      <c r="D3575" s="1" t="s">
        <v>262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5">
      <c r="A3576" s="1" t="s">
        <v>547</v>
      </c>
      <c r="B3576" s="1" t="s">
        <v>563</v>
      </c>
      <c r="C3576" s="1" t="s">
        <v>575</v>
      </c>
      <c r="D3576" s="1" t="s">
        <v>95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5">
      <c r="A3577" s="1" t="s">
        <v>547</v>
      </c>
      <c r="B3577" s="1" t="s">
        <v>564</v>
      </c>
      <c r="C3577" s="1" t="s">
        <v>576</v>
      </c>
      <c r="D3577" s="1" t="s">
        <v>600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5">
      <c r="A3578" s="1" t="s">
        <v>547</v>
      </c>
      <c r="B3578" s="1" t="s">
        <v>565</v>
      </c>
      <c r="C3578" s="1" t="s">
        <v>577</v>
      </c>
      <c r="D3578" s="1" t="s">
        <v>134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 t="s">
        <v>547</v>
      </c>
      <c r="B3579" s="1" t="s">
        <v>566</v>
      </c>
      <c r="C3579" s="1" t="s">
        <v>578</v>
      </c>
      <c r="D3579" s="1" t="s">
        <v>275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5">
      <c r="A3580" s="1" t="s">
        <v>547</v>
      </c>
      <c r="B3580" s="1" t="s">
        <v>33</v>
      </c>
      <c r="C3580" s="1" t="s">
        <v>579</v>
      </c>
      <c r="D3580" s="1" t="s">
        <v>1047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5">
      <c r="A3581" s="1" t="s">
        <v>547</v>
      </c>
      <c r="B3581" s="1" t="s">
        <v>34</v>
      </c>
      <c r="C3581" s="1" t="s">
        <v>580</v>
      </c>
      <c r="D3581" s="1" t="s">
        <v>1048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5">
      <c r="A3582" s="1" t="s">
        <v>547</v>
      </c>
      <c r="B3582" s="1" t="s">
        <v>35</v>
      </c>
      <c r="C3582" s="1" t="s">
        <v>581</v>
      </c>
      <c r="D3582" s="1" t="s">
        <v>1049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5">
      <c r="A3583" s="1" t="s">
        <v>547</v>
      </c>
      <c r="B3583" s="1" t="s">
        <v>36</v>
      </c>
      <c r="C3583" s="1" t="s">
        <v>582</v>
      </c>
      <c r="D3583" s="1" t="s">
        <v>844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5">
      <c r="A3584" s="1" t="s">
        <v>547</v>
      </c>
      <c r="B3584" s="1" t="s">
        <v>37</v>
      </c>
      <c r="C3584" s="1" t="s">
        <v>583</v>
      </c>
      <c r="D3584" s="1" t="s">
        <v>343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5">
      <c r="A3585" s="1" t="s">
        <v>547</v>
      </c>
      <c r="B3585" s="1" t="s">
        <v>38</v>
      </c>
      <c r="C3585" s="1" t="s">
        <v>584</v>
      </c>
      <c r="D3585" s="1" t="s">
        <v>1050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5">
      <c r="A3586" s="1" t="s">
        <v>547</v>
      </c>
      <c r="B3586" s="1" t="s">
        <v>39</v>
      </c>
      <c r="C3586" s="1" t="s">
        <v>585</v>
      </c>
      <c r="D3586" s="1" t="s">
        <v>295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5">
      <c r="A3587" s="1" t="s">
        <v>547</v>
      </c>
      <c r="B3587" s="1" t="s">
        <v>567</v>
      </c>
      <c r="C3587" s="1" t="s">
        <v>586</v>
      </c>
      <c r="D3587" s="1" t="s">
        <v>92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5">
      <c r="A3588" s="1" t="s">
        <v>547</v>
      </c>
      <c r="B3588" s="1" t="s">
        <v>568</v>
      </c>
      <c r="C3588" s="1" t="s">
        <v>587</v>
      </c>
      <c r="D3588" s="1" t="s">
        <v>95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5">
      <c r="A3589" s="1" t="s">
        <v>547</v>
      </c>
      <c r="B3589" s="1" t="s">
        <v>40</v>
      </c>
      <c r="C3589" s="1" t="s">
        <v>588</v>
      </c>
      <c r="D3589" s="1" t="s">
        <v>1051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5">
      <c r="A3590" s="1" t="s">
        <v>547</v>
      </c>
      <c r="B3590" s="1" t="s">
        <v>569</v>
      </c>
      <c r="C3590" s="1" t="s">
        <v>589</v>
      </c>
      <c r="D3590" s="1" t="s">
        <v>223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 t="s">
        <v>547</v>
      </c>
      <c r="B3591" s="1" t="s">
        <v>570</v>
      </c>
      <c r="C3591" s="1" t="s">
        <v>590</v>
      </c>
      <c r="D3591" s="1" t="s">
        <v>262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5">
      <c r="A3592" s="1" t="s">
        <v>547</v>
      </c>
      <c r="B3592" s="1" t="s">
        <v>571</v>
      </c>
      <c r="C3592" s="1" t="s">
        <v>591</v>
      </c>
      <c r="D3592" s="1" t="s">
        <v>227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5">
      <c r="A3593" s="1" t="s">
        <v>547</v>
      </c>
      <c r="B3593" s="1" t="s">
        <v>572</v>
      </c>
      <c r="C3593" s="1" t="s">
        <v>592</v>
      </c>
      <c r="D3593" s="1" t="s">
        <v>95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5">
      <c r="A3594" s="1" t="s">
        <v>547</v>
      </c>
      <c r="B3594" s="1" t="s">
        <v>573</v>
      </c>
      <c r="C3594" s="1" t="s">
        <v>593</v>
      </c>
      <c r="D3594" s="1" t="s">
        <v>275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548</v>
      </c>
      <c r="B3595" s="1" t="s">
        <v>174</v>
      </c>
      <c r="C3595" s="1" t="s">
        <v>574</v>
      </c>
      <c r="D3595" s="1" t="s">
        <v>245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5">
      <c r="A3596" s="1" t="s">
        <v>548</v>
      </c>
      <c r="B3596" s="1" t="s">
        <v>563</v>
      </c>
      <c r="C3596" s="1" t="s">
        <v>575</v>
      </c>
      <c r="D3596" s="1" t="s">
        <v>95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5">
      <c r="A3597" s="1" t="s">
        <v>548</v>
      </c>
      <c r="B3597" s="1" t="s">
        <v>564</v>
      </c>
      <c r="C3597" s="1" t="s">
        <v>576</v>
      </c>
      <c r="D3597" s="1" t="s">
        <v>1052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5">
      <c r="A3598" s="1" t="s">
        <v>548</v>
      </c>
      <c r="B3598" s="1" t="s">
        <v>565</v>
      </c>
      <c r="C3598" s="1" t="s">
        <v>577</v>
      </c>
      <c r="D3598" s="1" t="s">
        <v>227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548</v>
      </c>
      <c r="B3599" s="1" t="s">
        <v>566</v>
      </c>
      <c r="C3599" s="1" t="s">
        <v>578</v>
      </c>
      <c r="D3599" s="1" t="s">
        <v>145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5">
      <c r="A3600" s="1" t="s">
        <v>548</v>
      </c>
      <c r="B3600" s="1" t="s">
        <v>33</v>
      </c>
      <c r="C3600" s="1" t="s">
        <v>579</v>
      </c>
      <c r="D3600" s="1" t="s">
        <v>1053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5">
      <c r="A3601" s="1" t="s">
        <v>548</v>
      </c>
      <c r="B3601" s="1" t="s">
        <v>34</v>
      </c>
      <c r="C3601" s="1" t="s">
        <v>580</v>
      </c>
      <c r="D3601" s="1" t="s">
        <v>1054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5">
      <c r="A3602" s="1" t="s">
        <v>548</v>
      </c>
      <c r="B3602" s="1" t="s">
        <v>35</v>
      </c>
      <c r="C3602" s="1" t="s">
        <v>581</v>
      </c>
      <c r="D3602" s="1" t="s">
        <v>1055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5">
      <c r="A3603" s="1" t="s">
        <v>548</v>
      </c>
      <c r="B3603" s="1" t="s">
        <v>36</v>
      </c>
      <c r="C3603" s="1" t="s">
        <v>582</v>
      </c>
      <c r="D3603" s="1" t="s">
        <v>407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5">
      <c r="A3604" s="1" t="s">
        <v>548</v>
      </c>
      <c r="B3604" s="1" t="s">
        <v>37</v>
      </c>
      <c r="C3604" s="1" t="s">
        <v>583</v>
      </c>
      <c r="D3604" s="1" t="s">
        <v>747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5">
      <c r="A3605" s="1" t="s">
        <v>548</v>
      </c>
      <c r="B3605" s="1" t="s">
        <v>38</v>
      </c>
      <c r="C3605" s="1" t="s">
        <v>584</v>
      </c>
      <c r="D3605" s="1" t="s">
        <v>1056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5">
      <c r="A3606" s="1" t="s">
        <v>548</v>
      </c>
      <c r="B3606" s="1" t="s">
        <v>39</v>
      </c>
      <c r="C3606" s="1" t="s">
        <v>585</v>
      </c>
      <c r="D3606" s="1" t="s">
        <v>384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5">
      <c r="A3607" s="1" t="s">
        <v>548</v>
      </c>
      <c r="B3607" s="1" t="s">
        <v>567</v>
      </c>
      <c r="C3607" s="1" t="s">
        <v>586</v>
      </c>
      <c r="D3607" s="1" t="s">
        <v>1057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5">
      <c r="A3608" s="1" t="s">
        <v>548</v>
      </c>
      <c r="B3608" s="1" t="s">
        <v>568</v>
      </c>
      <c r="C3608" s="1" t="s">
        <v>587</v>
      </c>
      <c r="D3608" s="1" t="s">
        <v>95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5">
      <c r="A3609" s="1" t="s">
        <v>548</v>
      </c>
      <c r="B3609" s="1" t="s">
        <v>40</v>
      </c>
      <c r="C3609" s="1" t="s">
        <v>588</v>
      </c>
      <c r="D3609" s="1" t="s">
        <v>1058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5">
      <c r="A3610" s="1" t="s">
        <v>548</v>
      </c>
      <c r="B3610" s="1" t="s">
        <v>569</v>
      </c>
      <c r="C3610" s="1" t="s">
        <v>589</v>
      </c>
      <c r="D3610" s="1" t="s">
        <v>223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548</v>
      </c>
      <c r="B3611" s="1" t="s">
        <v>570</v>
      </c>
      <c r="C3611" s="1" t="s">
        <v>590</v>
      </c>
      <c r="D3611" s="1" t="s">
        <v>134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5">
      <c r="A3612" s="1" t="s">
        <v>548</v>
      </c>
      <c r="B3612" s="1" t="s">
        <v>571</v>
      </c>
      <c r="C3612" s="1" t="s">
        <v>591</v>
      </c>
      <c r="D3612" s="1" t="s">
        <v>289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5">
      <c r="A3613" s="1" t="s">
        <v>548</v>
      </c>
      <c r="B3613" s="1" t="s">
        <v>572</v>
      </c>
      <c r="C3613" s="1" t="s">
        <v>592</v>
      </c>
      <c r="D3613" s="1" t="s">
        <v>95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5">
      <c r="A3614" s="1" t="s">
        <v>548</v>
      </c>
      <c r="B3614" s="1" t="s">
        <v>573</v>
      </c>
      <c r="C3614" s="1" t="s">
        <v>593</v>
      </c>
      <c r="D3614" s="1" t="s">
        <v>223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549</v>
      </c>
      <c r="B3615" s="1" t="s">
        <v>174</v>
      </c>
      <c r="C3615" s="1" t="s">
        <v>574</v>
      </c>
      <c r="D3615" s="1" t="s">
        <v>232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5">
      <c r="A3616" s="1" t="s">
        <v>549</v>
      </c>
      <c r="B3616" s="1" t="s">
        <v>563</v>
      </c>
      <c r="C3616" s="1" t="s">
        <v>575</v>
      </c>
      <c r="D3616" s="1" t="s">
        <v>95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5">
      <c r="A3617" s="1" t="s">
        <v>549</v>
      </c>
      <c r="B3617" s="1" t="s">
        <v>564</v>
      </c>
      <c r="C3617" s="1" t="s">
        <v>576</v>
      </c>
      <c r="D3617" s="1" t="s">
        <v>1059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5">
      <c r="A3618" s="1" t="s">
        <v>549</v>
      </c>
      <c r="B3618" s="1" t="s">
        <v>565</v>
      </c>
      <c r="C3618" s="1" t="s">
        <v>577</v>
      </c>
      <c r="D3618" s="1" t="s">
        <v>262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549</v>
      </c>
      <c r="B3619" s="1" t="s">
        <v>566</v>
      </c>
      <c r="C3619" s="1" t="s">
        <v>578</v>
      </c>
      <c r="D3619" s="1" t="s">
        <v>97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5">
      <c r="A3620" s="1" t="s">
        <v>549</v>
      </c>
      <c r="B3620" s="1" t="s">
        <v>33</v>
      </c>
      <c r="C3620" s="1" t="s">
        <v>579</v>
      </c>
      <c r="D3620" s="1" t="s">
        <v>1060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5">
      <c r="A3621" s="1" t="s">
        <v>549</v>
      </c>
      <c r="B3621" s="1" t="s">
        <v>34</v>
      </c>
      <c r="C3621" s="1" t="s">
        <v>580</v>
      </c>
      <c r="D3621" s="1" t="s">
        <v>1061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5">
      <c r="A3622" s="1" t="s">
        <v>549</v>
      </c>
      <c r="B3622" s="1" t="s">
        <v>35</v>
      </c>
      <c r="C3622" s="1" t="s">
        <v>581</v>
      </c>
      <c r="D3622" s="1" t="s">
        <v>1062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5">
      <c r="A3623" s="1" t="s">
        <v>549</v>
      </c>
      <c r="B3623" s="1" t="s">
        <v>36</v>
      </c>
      <c r="C3623" s="1" t="s">
        <v>582</v>
      </c>
      <c r="D3623" s="1" t="s">
        <v>380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549</v>
      </c>
      <c r="B3624" s="1" t="s">
        <v>37</v>
      </c>
      <c r="C3624" s="1" t="s">
        <v>583</v>
      </c>
      <c r="D3624" s="1" t="s">
        <v>306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549</v>
      </c>
      <c r="B3625" s="1" t="s">
        <v>38</v>
      </c>
      <c r="C3625" s="1" t="s">
        <v>584</v>
      </c>
      <c r="D3625" s="1" t="s">
        <v>1063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549</v>
      </c>
      <c r="B3626" s="1" t="s">
        <v>39</v>
      </c>
      <c r="C3626" s="1" t="s">
        <v>585</v>
      </c>
      <c r="D3626" s="1" t="s">
        <v>390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5">
      <c r="A3627" s="1" t="s">
        <v>549</v>
      </c>
      <c r="B3627" s="1" t="s">
        <v>567</v>
      </c>
      <c r="C3627" s="1" t="s">
        <v>586</v>
      </c>
      <c r="D3627" s="1" t="s">
        <v>1064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5">
      <c r="A3628" s="1" t="s">
        <v>549</v>
      </c>
      <c r="B3628" s="1" t="s">
        <v>568</v>
      </c>
      <c r="C3628" s="1" t="s">
        <v>587</v>
      </c>
      <c r="D3628" s="1" t="s">
        <v>78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549</v>
      </c>
      <c r="B3629" s="1" t="s">
        <v>40</v>
      </c>
      <c r="C3629" s="1" t="s">
        <v>588</v>
      </c>
      <c r="D3629" s="1" t="s">
        <v>1065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549</v>
      </c>
      <c r="B3630" s="1" t="s">
        <v>569</v>
      </c>
      <c r="C3630" s="1" t="s">
        <v>589</v>
      </c>
      <c r="D3630" s="1" t="s">
        <v>95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549</v>
      </c>
      <c r="B3631" s="1" t="s">
        <v>570</v>
      </c>
      <c r="C3631" s="1" t="s">
        <v>590</v>
      </c>
      <c r="D3631" s="1" t="s">
        <v>97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549</v>
      </c>
      <c r="B3632" s="1" t="s">
        <v>571</v>
      </c>
      <c r="C3632" s="1" t="s">
        <v>591</v>
      </c>
      <c r="D3632" s="1" t="s">
        <v>134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549</v>
      </c>
      <c r="B3633" s="1" t="s">
        <v>572</v>
      </c>
      <c r="C3633" s="1" t="s">
        <v>592</v>
      </c>
      <c r="D3633" s="1" t="s">
        <v>78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549</v>
      </c>
      <c r="B3634" s="1" t="s">
        <v>573</v>
      </c>
      <c r="C3634" s="1" t="s">
        <v>593</v>
      </c>
      <c r="D3634" s="1" t="s">
        <v>95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550</v>
      </c>
      <c r="B3635" s="1" t="s">
        <v>174</v>
      </c>
      <c r="C3635" s="1" t="s">
        <v>574</v>
      </c>
      <c r="D3635" s="1" t="s">
        <v>78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5">
      <c r="A3636" s="1" t="s">
        <v>550</v>
      </c>
      <c r="B3636" s="1" t="s">
        <v>563</v>
      </c>
      <c r="C3636" s="1" t="s">
        <v>575</v>
      </c>
      <c r="D3636" s="1" t="s">
        <v>78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5">
      <c r="A3637" s="1" t="s">
        <v>550</v>
      </c>
      <c r="B3637" s="1" t="s">
        <v>564</v>
      </c>
      <c r="C3637" s="1" t="s">
        <v>576</v>
      </c>
      <c r="D3637" s="1" t="s">
        <v>637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5">
      <c r="A3638" s="1" t="s">
        <v>550</v>
      </c>
      <c r="B3638" s="1" t="s">
        <v>565</v>
      </c>
      <c r="C3638" s="1" t="s">
        <v>577</v>
      </c>
      <c r="D3638" s="1" t="s">
        <v>275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5">
      <c r="A3639" s="1" t="s">
        <v>550</v>
      </c>
      <c r="B3639" s="1" t="s">
        <v>566</v>
      </c>
      <c r="C3639" s="1" t="s">
        <v>578</v>
      </c>
      <c r="D3639" s="1" t="s">
        <v>78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5">
      <c r="A3640" s="1" t="s">
        <v>550</v>
      </c>
      <c r="B3640" s="1" t="s">
        <v>33</v>
      </c>
      <c r="C3640" s="1" t="s">
        <v>579</v>
      </c>
      <c r="D3640" s="1" t="s">
        <v>1066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5">
      <c r="A3641" s="1" t="s">
        <v>550</v>
      </c>
      <c r="B3641" s="1" t="s">
        <v>34</v>
      </c>
      <c r="C3641" s="1" t="s">
        <v>580</v>
      </c>
      <c r="D3641" s="1" t="s">
        <v>1067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5">
      <c r="A3642" s="1" t="s">
        <v>550</v>
      </c>
      <c r="B3642" s="1" t="s">
        <v>35</v>
      </c>
      <c r="C3642" s="1" t="s">
        <v>581</v>
      </c>
      <c r="D3642" s="1" t="s">
        <v>1068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5">
      <c r="A3643" s="1" t="s">
        <v>550</v>
      </c>
      <c r="B3643" s="1" t="s">
        <v>36</v>
      </c>
      <c r="C3643" s="1" t="s">
        <v>582</v>
      </c>
      <c r="D3643" s="1" t="s">
        <v>133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5">
      <c r="A3644" s="1" t="s">
        <v>550</v>
      </c>
      <c r="B3644" s="1" t="s">
        <v>37</v>
      </c>
      <c r="C3644" s="1" t="s">
        <v>583</v>
      </c>
      <c r="D3644" s="1" t="s">
        <v>230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5">
      <c r="A3645" s="1" t="s">
        <v>550</v>
      </c>
      <c r="B3645" s="1" t="s">
        <v>38</v>
      </c>
      <c r="C3645" s="1" t="s">
        <v>584</v>
      </c>
      <c r="D3645" s="1" t="s">
        <v>660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5">
      <c r="A3646" s="1" t="s">
        <v>550</v>
      </c>
      <c r="B3646" s="1" t="s">
        <v>39</v>
      </c>
      <c r="C3646" s="1" t="s">
        <v>585</v>
      </c>
      <c r="D3646" s="1" t="s">
        <v>145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5">
      <c r="A3647" s="1" t="s">
        <v>550</v>
      </c>
      <c r="B3647" s="1" t="s">
        <v>567</v>
      </c>
      <c r="C3647" s="1" t="s">
        <v>586</v>
      </c>
      <c r="D3647" s="1" t="s">
        <v>141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5">
      <c r="A3648" s="1" t="s">
        <v>550</v>
      </c>
      <c r="B3648" s="1" t="s">
        <v>568</v>
      </c>
      <c r="C3648" s="1" t="s">
        <v>587</v>
      </c>
      <c r="D3648" s="1" t="s">
        <v>78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5">
      <c r="A3649" s="1" t="s">
        <v>550</v>
      </c>
      <c r="B3649" s="1" t="s">
        <v>40</v>
      </c>
      <c r="C3649" s="1" t="s">
        <v>588</v>
      </c>
      <c r="D3649" s="1" t="s">
        <v>1069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5">
      <c r="A3650" s="1" t="s">
        <v>550</v>
      </c>
      <c r="B3650" s="1" t="s">
        <v>569</v>
      </c>
      <c r="C3650" s="1" t="s">
        <v>589</v>
      </c>
      <c r="D3650" s="1" t="s">
        <v>78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 t="s">
        <v>550</v>
      </c>
      <c r="B3651" s="1" t="s">
        <v>570</v>
      </c>
      <c r="C3651" s="1" t="s">
        <v>590</v>
      </c>
      <c r="D3651" s="1" t="s">
        <v>95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5">
      <c r="A3652" s="1" t="s">
        <v>550</v>
      </c>
      <c r="B3652" s="1" t="s">
        <v>571</v>
      </c>
      <c r="C3652" s="1" t="s">
        <v>591</v>
      </c>
      <c r="D3652" s="1" t="s">
        <v>97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5">
      <c r="A3653" s="1" t="s">
        <v>550</v>
      </c>
      <c r="B3653" s="1" t="s">
        <v>572</v>
      </c>
      <c r="C3653" s="1" t="s">
        <v>592</v>
      </c>
      <c r="D3653" s="1" t="s">
        <v>78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5">
      <c r="A3654" s="1" t="s">
        <v>550</v>
      </c>
      <c r="B3654" s="1" t="s">
        <v>573</v>
      </c>
      <c r="C3654" s="1" t="s">
        <v>593</v>
      </c>
      <c r="D3654" s="1" t="s">
        <v>223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 t="s">
        <v>551</v>
      </c>
      <c r="B3655" s="1" t="s">
        <v>174</v>
      </c>
      <c r="C3655" s="1" t="s">
        <v>574</v>
      </c>
      <c r="D3655" s="1" t="s">
        <v>78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5">
      <c r="A3656" s="1" t="s">
        <v>551</v>
      </c>
      <c r="B3656" s="1" t="s">
        <v>563</v>
      </c>
      <c r="C3656" s="1" t="s">
        <v>575</v>
      </c>
      <c r="D3656" s="1" t="s">
        <v>78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5">
      <c r="A3657" s="1" t="s">
        <v>551</v>
      </c>
      <c r="B3657" s="1" t="s">
        <v>564</v>
      </c>
      <c r="C3657" s="1" t="s">
        <v>576</v>
      </c>
      <c r="D3657" s="1" t="s">
        <v>141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5">
      <c r="A3658" s="1" t="s">
        <v>551</v>
      </c>
      <c r="B3658" s="1" t="s">
        <v>565</v>
      </c>
      <c r="C3658" s="1" t="s">
        <v>577</v>
      </c>
      <c r="D3658" s="1" t="s">
        <v>95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5">
      <c r="A3659" s="1" t="s">
        <v>551</v>
      </c>
      <c r="B3659" s="1" t="s">
        <v>566</v>
      </c>
      <c r="C3659" s="1" t="s">
        <v>578</v>
      </c>
      <c r="D3659" s="1" t="s">
        <v>78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5">
      <c r="A3660" s="1" t="s">
        <v>551</v>
      </c>
      <c r="B3660" s="1" t="s">
        <v>33</v>
      </c>
      <c r="C3660" s="1" t="s">
        <v>579</v>
      </c>
      <c r="D3660" s="1" t="s">
        <v>615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5">
      <c r="A3661" s="1" t="s">
        <v>551</v>
      </c>
      <c r="B3661" s="1" t="s">
        <v>34</v>
      </c>
      <c r="C3661" s="1" t="s">
        <v>580</v>
      </c>
      <c r="D3661" s="1" t="s">
        <v>623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5">
      <c r="A3662" s="1" t="s">
        <v>551</v>
      </c>
      <c r="B3662" s="1" t="s">
        <v>35</v>
      </c>
      <c r="C3662" s="1" t="s">
        <v>581</v>
      </c>
      <c r="D3662" s="1" t="s">
        <v>624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5">
      <c r="A3663" s="1" t="s">
        <v>551</v>
      </c>
      <c r="B3663" s="1" t="s">
        <v>36</v>
      </c>
      <c r="C3663" s="1" t="s">
        <v>582</v>
      </c>
      <c r="D3663" s="1" t="s">
        <v>97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5">
      <c r="A3664" s="1" t="s">
        <v>551</v>
      </c>
      <c r="B3664" s="1" t="s">
        <v>37</v>
      </c>
      <c r="C3664" s="1" t="s">
        <v>583</v>
      </c>
      <c r="D3664" s="1" t="s">
        <v>97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5">
      <c r="A3665" s="1" t="s">
        <v>551</v>
      </c>
      <c r="B3665" s="1" t="s">
        <v>38</v>
      </c>
      <c r="C3665" s="1" t="s">
        <v>584</v>
      </c>
      <c r="D3665" s="1" t="s">
        <v>625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5">
      <c r="A3666" s="1" t="s">
        <v>551</v>
      </c>
      <c r="B3666" s="1" t="s">
        <v>39</v>
      </c>
      <c r="C3666" s="1" t="s">
        <v>585</v>
      </c>
      <c r="D3666" s="1" t="s">
        <v>232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5">
      <c r="A3667" s="1" t="s">
        <v>551</v>
      </c>
      <c r="B3667" s="1" t="s">
        <v>567</v>
      </c>
      <c r="C3667" s="1" t="s">
        <v>586</v>
      </c>
      <c r="D3667" s="1" t="s">
        <v>141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 t="s">
        <v>551</v>
      </c>
      <c r="B3668" s="1" t="s">
        <v>568</v>
      </c>
      <c r="C3668" s="1" t="s">
        <v>587</v>
      </c>
      <c r="D3668" s="1" t="s">
        <v>78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5">
      <c r="A3669" s="1" t="s">
        <v>551</v>
      </c>
      <c r="B3669" s="1" t="s">
        <v>40</v>
      </c>
      <c r="C3669" s="1" t="s">
        <v>588</v>
      </c>
      <c r="D3669" s="1" t="s">
        <v>850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5">
      <c r="A3670" s="1" t="s">
        <v>551</v>
      </c>
      <c r="B3670" s="1" t="s">
        <v>569</v>
      </c>
      <c r="C3670" s="1" t="s">
        <v>589</v>
      </c>
      <c r="D3670" s="1" t="s">
        <v>78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 t="s">
        <v>551</v>
      </c>
      <c r="B3671" s="1" t="s">
        <v>570</v>
      </c>
      <c r="C3671" s="1" t="s">
        <v>590</v>
      </c>
      <c r="D3671" s="1" t="s">
        <v>95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5">
      <c r="A3672" s="1" t="s">
        <v>551</v>
      </c>
      <c r="B3672" s="1" t="s">
        <v>571</v>
      </c>
      <c r="C3672" s="1" t="s">
        <v>591</v>
      </c>
      <c r="D3672" s="1" t="s">
        <v>223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5">
      <c r="A3673" s="1" t="s">
        <v>551</v>
      </c>
      <c r="B3673" s="1" t="s">
        <v>572</v>
      </c>
      <c r="C3673" s="1" t="s">
        <v>592</v>
      </c>
      <c r="D3673" s="1" t="s">
        <v>78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5">
      <c r="A3674" s="1" t="s">
        <v>551</v>
      </c>
      <c r="B3674" s="1" t="s">
        <v>573</v>
      </c>
      <c r="C3674" s="1" t="s">
        <v>593</v>
      </c>
      <c r="D3674" s="1" t="s">
        <v>95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 t="s">
        <v>552</v>
      </c>
      <c r="B3675" s="1" t="s">
        <v>174</v>
      </c>
      <c r="C3675" s="1" t="s">
        <v>574</v>
      </c>
      <c r="D3675" s="1" t="s">
        <v>78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5">
      <c r="A3676" s="1" t="s">
        <v>552</v>
      </c>
      <c r="B3676" s="1" t="s">
        <v>563</v>
      </c>
      <c r="C3676" s="1" t="s">
        <v>575</v>
      </c>
      <c r="D3676" s="1" t="s">
        <v>78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5">
      <c r="A3677" s="1" t="s">
        <v>552</v>
      </c>
      <c r="B3677" s="1" t="s">
        <v>564</v>
      </c>
      <c r="C3677" s="1" t="s">
        <v>576</v>
      </c>
      <c r="D3677" s="1" t="s">
        <v>141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5">
      <c r="A3678" s="1" t="s">
        <v>552</v>
      </c>
      <c r="B3678" s="1" t="s">
        <v>565</v>
      </c>
      <c r="C3678" s="1" t="s">
        <v>577</v>
      </c>
      <c r="D3678" s="1" t="s">
        <v>95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5">
      <c r="A3679" s="1" t="s">
        <v>552</v>
      </c>
      <c r="B3679" s="1" t="s">
        <v>566</v>
      </c>
      <c r="C3679" s="1" t="s">
        <v>578</v>
      </c>
      <c r="D3679" s="1" t="s">
        <v>78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5">
      <c r="A3680" s="1" t="s">
        <v>552</v>
      </c>
      <c r="B3680" s="1" t="s">
        <v>33</v>
      </c>
      <c r="C3680" s="1" t="s">
        <v>579</v>
      </c>
      <c r="D3680" s="1" t="s">
        <v>615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5">
      <c r="A3681" s="1" t="s">
        <v>552</v>
      </c>
      <c r="B3681" s="1" t="s">
        <v>34</v>
      </c>
      <c r="C3681" s="1" t="s">
        <v>580</v>
      </c>
      <c r="D3681" s="1" t="s">
        <v>623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5">
      <c r="A3682" s="1" t="s">
        <v>552</v>
      </c>
      <c r="B3682" s="1" t="s">
        <v>35</v>
      </c>
      <c r="C3682" s="1" t="s">
        <v>581</v>
      </c>
      <c r="D3682" s="1" t="s">
        <v>624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5">
      <c r="A3683" s="1" t="s">
        <v>552</v>
      </c>
      <c r="B3683" s="1" t="s">
        <v>36</v>
      </c>
      <c r="C3683" s="1" t="s">
        <v>582</v>
      </c>
      <c r="D3683" s="1" t="s">
        <v>97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5">
      <c r="A3684" s="1" t="s">
        <v>552</v>
      </c>
      <c r="B3684" s="1" t="s">
        <v>37</v>
      </c>
      <c r="C3684" s="1" t="s">
        <v>583</v>
      </c>
      <c r="D3684" s="1" t="s">
        <v>97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5">
      <c r="A3685" s="1" t="s">
        <v>552</v>
      </c>
      <c r="B3685" s="1" t="s">
        <v>38</v>
      </c>
      <c r="C3685" s="1" t="s">
        <v>584</v>
      </c>
      <c r="D3685" s="1" t="s">
        <v>625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5">
      <c r="A3686" s="1" t="s">
        <v>552</v>
      </c>
      <c r="B3686" s="1" t="s">
        <v>39</v>
      </c>
      <c r="C3686" s="1" t="s">
        <v>585</v>
      </c>
      <c r="D3686" s="1" t="s">
        <v>232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5">
      <c r="A3687" s="1" t="s">
        <v>552</v>
      </c>
      <c r="B3687" s="1" t="s">
        <v>567</v>
      </c>
      <c r="C3687" s="1" t="s">
        <v>586</v>
      </c>
      <c r="D3687" s="1" t="s">
        <v>141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552</v>
      </c>
      <c r="B3688" s="1" t="s">
        <v>568</v>
      </c>
      <c r="C3688" s="1" t="s">
        <v>587</v>
      </c>
      <c r="D3688" s="1" t="s">
        <v>78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5">
      <c r="A3689" s="1" t="s">
        <v>552</v>
      </c>
      <c r="B3689" s="1" t="s">
        <v>40</v>
      </c>
      <c r="C3689" s="1" t="s">
        <v>588</v>
      </c>
      <c r="D3689" s="1" t="s">
        <v>850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5">
      <c r="A3690" s="1" t="s">
        <v>552</v>
      </c>
      <c r="B3690" s="1" t="s">
        <v>569</v>
      </c>
      <c r="C3690" s="1" t="s">
        <v>589</v>
      </c>
      <c r="D3690" s="1" t="s">
        <v>78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552</v>
      </c>
      <c r="B3691" s="1" t="s">
        <v>570</v>
      </c>
      <c r="C3691" s="1" t="s">
        <v>590</v>
      </c>
      <c r="D3691" s="1" t="s">
        <v>95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5">
      <c r="A3692" s="1" t="s">
        <v>552</v>
      </c>
      <c r="B3692" s="1" t="s">
        <v>571</v>
      </c>
      <c r="C3692" s="1" t="s">
        <v>591</v>
      </c>
      <c r="D3692" s="1" t="s">
        <v>223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5">
      <c r="A3693" s="1" t="s">
        <v>552</v>
      </c>
      <c r="B3693" s="1" t="s">
        <v>572</v>
      </c>
      <c r="C3693" s="1" t="s">
        <v>592</v>
      </c>
      <c r="D3693" s="1" t="s">
        <v>78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5">
      <c r="A3694" s="1" t="s">
        <v>552</v>
      </c>
      <c r="B3694" s="1" t="s">
        <v>573</v>
      </c>
      <c r="C3694" s="1" t="s">
        <v>593</v>
      </c>
      <c r="D3694" s="1" t="s">
        <v>95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553</v>
      </c>
      <c r="B3695" s="1" t="s">
        <v>174</v>
      </c>
      <c r="C3695" s="1" t="s">
        <v>574</v>
      </c>
      <c r="D3695" s="1" t="s">
        <v>78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553</v>
      </c>
      <c r="B3696" s="1" t="s">
        <v>563</v>
      </c>
      <c r="C3696" s="1" t="s">
        <v>575</v>
      </c>
      <c r="D3696" s="1" t="s">
        <v>78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553</v>
      </c>
      <c r="B3697" s="1" t="s">
        <v>564</v>
      </c>
      <c r="C3697" s="1" t="s">
        <v>576</v>
      </c>
      <c r="D3697" s="1" t="s">
        <v>141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553</v>
      </c>
      <c r="B3698" s="1" t="s">
        <v>565</v>
      </c>
      <c r="C3698" s="1" t="s">
        <v>577</v>
      </c>
      <c r="D3698" s="1" t="s">
        <v>95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5">
      <c r="A3699" s="1" t="s">
        <v>553</v>
      </c>
      <c r="B3699" s="1" t="s">
        <v>566</v>
      </c>
      <c r="C3699" s="1" t="s">
        <v>578</v>
      </c>
      <c r="D3699" s="1" t="s">
        <v>95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5">
      <c r="A3700" s="1" t="s">
        <v>553</v>
      </c>
      <c r="B3700" s="1" t="s">
        <v>33</v>
      </c>
      <c r="C3700" s="1" t="s">
        <v>579</v>
      </c>
      <c r="D3700" s="1" t="s">
        <v>722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553</v>
      </c>
      <c r="B3701" s="1" t="s">
        <v>34</v>
      </c>
      <c r="C3701" s="1" t="s">
        <v>580</v>
      </c>
      <c r="D3701" s="1" t="s">
        <v>1070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553</v>
      </c>
      <c r="B3702" s="1" t="s">
        <v>35</v>
      </c>
      <c r="C3702" s="1" t="s">
        <v>581</v>
      </c>
      <c r="D3702" s="1" t="s">
        <v>620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553</v>
      </c>
      <c r="B3703" s="1" t="s">
        <v>36</v>
      </c>
      <c r="C3703" s="1" t="s">
        <v>582</v>
      </c>
      <c r="D3703" s="1" t="s">
        <v>289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553</v>
      </c>
      <c r="B3704" s="1" t="s">
        <v>37</v>
      </c>
      <c r="C3704" s="1" t="s">
        <v>583</v>
      </c>
      <c r="D3704" s="1" t="s">
        <v>227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553</v>
      </c>
      <c r="B3705" s="1" t="s">
        <v>38</v>
      </c>
      <c r="C3705" s="1" t="s">
        <v>584</v>
      </c>
      <c r="D3705" s="1" t="s">
        <v>943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553</v>
      </c>
      <c r="B3706" s="1" t="s">
        <v>39</v>
      </c>
      <c r="C3706" s="1" t="s">
        <v>585</v>
      </c>
      <c r="D3706" s="1" t="s">
        <v>245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5">
      <c r="A3707" s="1" t="s">
        <v>553</v>
      </c>
      <c r="B3707" s="1" t="s">
        <v>567</v>
      </c>
      <c r="C3707" s="1" t="s">
        <v>586</v>
      </c>
      <c r="D3707" s="1" t="s">
        <v>1071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553</v>
      </c>
      <c r="B3708" s="1" t="s">
        <v>568</v>
      </c>
      <c r="C3708" s="1" t="s">
        <v>587</v>
      </c>
      <c r="D3708" s="1" t="s">
        <v>78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5">
      <c r="A3709" s="1" t="s">
        <v>553</v>
      </c>
      <c r="B3709" s="1" t="s">
        <v>40</v>
      </c>
      <c r="C3709" s="1" t="s">
        <v>588</v>
      </c>
      <c r="D3709" s="1" t="s">
        <v>1072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5">
      <c r="A3710" s="1" t="s">
        <v>553</v>
      </c>
      <c r="B3710" s="1" t="s">
        <v>569</v>
      </c>
      <c r="C3710" s="1" t="s">
        <v>589</v>
      </c>
      <c r="D3710" s="1" t="s">
        <v>78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5">
      <c r="A3711" s="1" t="s">
        <v>553</v>
      </c>
      <c r="B3711" s="1" t="s">
        <v>570</v>
      </c>
      <c r="C3711" s="1" t="s">
        <v>590</v>
      </c>
      <c r="D3711" s="1" t="s">
        <v>95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5">
      <c r="A3712" s="1" t="s">
        <v>553</v>
      </c>
      <c r="B3712" s="1" t="s">
        <v>571</v>
      </c>
      <c r="C3712" s="1" t="s">
        <v>591</v>
      </c>
      <c r="D3712" s="1" t="s">
        <v>230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5">
      <c r="A3713" s="1" t="s">
        <v>553</v>
      </c>
      <c r="B3713" s="1" t="s">
        <v>572</v>
      </c>
      <c r="C3713" s="1" t="s">
        <v>592</v>
      </c>
      <c r="D3713" s="1" t="s">
        <v>78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5">
      <c r="A3714" s="1" t="s">
        <v>553</v>
      </c>
      <c r="B3714" s="1" t="s">
        <v>573</v>
      </c>
      <c r="C3714" s="1" t="s">
        <v>593</v>
      </c>
      <c r="D3714" s="1" t="s">
        <v>275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554</v>
      </c>
      <c r="B3715" s="1" t="s">
        <v>174</v>
      </c>
      <c r="C3715" s="1" t="s">
        <v>574</v>
      </c>
      <c r="D3715" s="1" t="s">
        <v>78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5">
      <c r="A3716" s="1" t="s">
        <v>554</v>
      </c>
      <c r="B3716" s="1" t="s">
        <v>563</v>
      </c>
      <c r="C3716" s="1" t="s">
        <v>575</v>
      </c>
      <c r="D3716" s="1" t="s">
        <v>78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5">
      <c r="A3717" s="1" t="s">
        <v>554</v>
      </c>
      <c r="B3717" s="1" t="s">
        <v>564</v>
      </c>
      <c r="C3717" s="1" t="s">
        <v>576</v>
      </c>
      <c r="D3717" s="1" t="s">
        <v>92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5">
      <c r="A3718" s="1" t="s">
        <v>554</v>
      </c>
      <c r="B3718" s="1" t="s">
        <v>565</v>
      </c>
      <c r="C3718" s="1" t="s">
        <v>577</v>
      </c>
      <c r="D3718" s="1" t="s">
        <v>78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5">
      <c r="A3719" s="1" t="s">
        <v>554</v>
      </c>
      <c r="B3719" s="1" t="s">
        <v>566</v>
      </c>
      <c r="C3719" s="1" t="s">
        <v>578</v>
      </c>
      <c r="D3719" s="1" t="s">
        <v>78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5">
      <c r="A3720" s="1" t="s">
        <v>554</v>
      </c>
      <c r="B3720" s="1" t="s">
        <v>33</v>
      </c>
      <c r="C3720" s="1" t="s">
        <v>579</v>
      </c>
      <c r="D3720" s="1" t="s">
        <v>141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5">
      <c r="A3721" s="1" t="s">
        <v>554</v>
      </c>
      <c r="B3721" s="1" t="s">
        <v>34</v>
      </c>
      <c r="C3721" s="1" t="s">
        <v>580</v>
      </c>
      <c r="D3721" s="1" t="s">
        <v>629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5">
      <c r="A3722" s="1" t="s">
        <v>554</v>
      </c>
      <c r="B3722" s="1" t="s">
        <v>35</v>
      </c>
      <c r="C3722" s="1" t="s">
        <v>581</v>
      </c>
      <c r="D3722" s="1" t="s">
        <v>630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5">
      <c r="A3723" s="1" t="s">
        <v>554</v>
      </c>
      <c r="B3723" s="1" t="s">
        <v>36</v>
      </c>
      <c r="C3723" s="1" t="s">
        <v>582</v>
      </c>
      <c r="D3723" s="1" t="s">
        <v>275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5">
      <c r="A3724" s="1" t="s">
        <v>554</v>
      </c>
      <c r="B3724" s="1" t="s">
        <v>37</v>
      </c>
      <c r="C3724" s="1" t="s">
        <v>583</v>
      </c>
      <c r="D3724" s="1" t="s">
        <v>275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5">
      <c r="A3725" s="1" t="s">
        <v>554</v>
      </c>
      <c r="B3725" s="1" t="s">
        <v>38</v>
      </c>
      <c r="C3725" s="1" t="s">
        <v>584</v>
      </c>
      <c r="D3725" s="1" t="s">
        <v>629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5">
      <c r="A3726" s="1" t="s">
        <v>554</v>
      </c>
      <c r="B3726" s="1" t="s">
        <v>39</v>
      </c>
      <c r="C3726" s="1" t="s">
        <v>585</v>
      </c>
      <c r="D3726" s="1" t="s">
        <v>95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5">
      <c r="A3727" s="1" t="s">
        <v>554</v>
      </c>
      <c r="B3727" s="1" t="s">
        <v>567</v>
      </c>
      <c r="C3727" s="1" t="s">
        <v>586</v>
      </c>
      <c r="D3727" s="1" t="s">
        <v>141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554</v>
      </c>
      <c r="B3728" s="1" t="s">
        <v>568</v>
      </c>
      <c r="C3728" s="1" t="s">
        <v>587</v>
      </c>
      <c r="D3728" s="1" t="s">
        <v>78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5">
      <c r="A3729" s="1" t="s">
        <v>554</v>
      </c>
      <c r="B3729" s="1" t="s">
        <v>40</v>
      </c>
      <c r="C3729" s="1" t="s">
        <v>588</v>
      </c>
      <c r="D3729" s="1" t="s">
        <v>1073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5">
      <c r="A3730" s="1" t="s">
        <v>554</v>
      </c>
      <c r="B3730" s="1" t="s">
        <v>569</v>
      </c>
      <c r="C3730" s="1" t="s">
        <v>589</v>
      </c>
      <c r="D3730" s="1" t="s">
        <v>78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5">
      <c r="A3731" s="1" t="s">
        <v>554</v>
      </c>
      <c r="B3731" s="1" t="s">
        <v>570</v>
      </c>
      <c r="C3731" s="1" t="s">
        <v>590</v>
      </c>
      <c r="D3731" s="1" t="s">
        <v>95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5">
      <c r="A3732" s="1" t="s">
        <v>554</v>
      </c>
      <c r="B3732" s="1" t="s">
        <v>571</v>
      </c>
      <c r="C3732" s="1" t="s">
        <v>591</v>
      </c>
      <c r="D3732" s="1" t="s">
        <v>95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5">
      <c r="A3733" s="1" t="s">
        <v>554</v>
      </c>
      <c r="B3733" s="1" t="s">
        <v>572</v>
      </c>
      <c r="C3733" s="1" t="s">
        <v>592</v>
      </c>
      <c r="D3733" s="1" t="s">
        <v>78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5">
      <c r="A3734" s="1" t="s">
        <v>554</v>
      </c>
      <c r="B3734" s="1" t="s">
        <v>573</v>
      </c>
      <c r="C3734" s="1" t="s">
        <v>593</v>
      </c>
      <c r="D3734" s="1" t="s">
        <v>78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555</v>
      </c>
      <c r="B3735" s="1" t="s">
        <v>174</v>
      </c>
      <c r="C3735" s="1" t="s">
        <v>574</v>
      </c>
      <c r="D3735" s="1" t="s">
        <v>78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5">
      <c r="A3736" s="1" t="s">
        <v>555</v>
      </c>
      <c r="B3736" s="1" t="s">
        <v>563</v>
      </c>
      <c r="C3736" s="1" t="s">
        <v>575</v>
      </c>
      <c r="D3736" s="1" t="s">
        <v>78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5">
      <c r="A3737" s="1" t="s">
        <v>555</v>
      </c>
      <c r="B3737" s="1" t="s">
        <v>564</v>
      </c>
      <c r="C3737" s="1" t="s">
        <v>576</v>
      </c>
      <c r="D3737" s="1" t="s">
        <v>92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5">
      <c r="A3738" s="1" t="s">
        <v>555</v>
      </c>
      <c r="B3738" s="1" t="s">
        <v>565</v>
      </c>
      <c r="C3738" s="1" t="s">
        <v>577</v>
      </c>
      <c r="D3738" s="1" t="s">
        <v>78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5">
      <c r="A3739" s="1" t="s">
        <v>555</v>
      </c>
      <c r="B3739" s="1" t="s">
        <v>566</v>
      </c>
      <c r="C3739" s="1" t="s">
        <v>578</v>
      </c>
      <c r="D3739" s="1" t="s">
        <v>78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555</v>
      </c>
      <c r="B3740" s="1" t="s">
        <v>33</v>
      </c>
      <c r="C3740" s="1" t="s">
        <v>579</v>
      </c>
      <c r="D3740" s="1" t="s">
        <v>141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5">
      <c r="A3741" s="1" t="s">
        <v>555</v>
      </c>
      <c r="B3741" s="1" t="s">
        <v>34</v>
      </c>
      <c r="C3741" s="1" t="s">
        <v>580</v>
      </c>
      <c r="D3741" s="1" t="s">
        <v>629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5">
      <c r="A3742" s="1" t="s">
        <v>555</v>
      </c>
      <c r="B3742" s="1" t="s">
        <v>35</v>
      </c>
      <c r="C3742" s="1" t="s">
        <v>581</v>
      </c>
      <c r="D3742" s="1" t="s">
        <v>630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5">
      <c r="A3743" s="1" t="s">
        <v>555</v>
      </c>
      <c r="B3743" s="1" t="s">
        <v>36</v>
      </c>
      <c r="C3743" s="1" t="s">
        <v>582</v>
      </c>
      <c r="D3743" s="1" t="s">
        <v>275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5">
      <c r="A3744" s="1" t="s">
        <v>555</v>
      </c>
      <c r="B3744" s="1" t="s">
        <v>37</v>
      </c>
      <c r="C3744" s="1" t="s">
        <v>583</v>
      </c>
      <c r="D3744" s="1" t="s">
        <v>275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5">
      <c r="A3745" s="1" t="s">
        <v>555</v>
      </c>
      <c r="B3745" s="1" t="s">
        <v>38</v>
      </c>
      <c r="C3745" s="1" t="s">
        <v>584</v>
      </c>
      <c r="D3745" s="1" t="s">
        <v>629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5">
      <c r="A3746" s="1" t="s">
        <v>555</v>
      </c>
      <c r="B3746" s="1" t="s">
        <v>39</v>
      </c>
      <c r="C3746" s="1" t="s">
        <v>585</v>
      </c>
      <c r="D3746" s="1" t="s">
        <v>95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5">
      <c r="A3747" s="1" t="s">
        <v>555</v>
      </c>
      <c r="B3747" s="1" t="s">
        <v>567</v>
      </c>
      <c r="C3747" s="1" t="s">
        <v>586</v>
      </c>
      <c r="D3747" s="1" t="s">
        <v>141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555</v>
      </c>
      <c r="B3748" s="1" t="s">
        <v>568</v>
      </c>
      <c r="C3748" s="1" t="s">
        <v>587</v>
      </c>
      <c r="D3748" s="1" t="s">
        <v>78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5">
      <c r="A3749" s="1" t="s">
        <v>555</v>
      </c>
      <c r="B3749" s="1" t="s">
        <v>40</v>
      </c>
      <c r="C3749" s="1" t="s">
        <v>588</v>
      </c>
      <c r="D3749" s="1" t="s">
        <v>1073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5">
      <c r="A3750" s="1" t="s">
        <v>555</v>
      </c>
      <c r="B3750" s="1" t="s">
        <v>569</v>
      </c>
      <c r="C3750" s="1" t="s">
        <v>589</v>
      </c>
      <c r="D3750" s="1" t="s">
        <v>78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5">
      <c r="A3751" s="1" t="s">
        <v>555</v>
      </c>
      <c r="B3751" s="1" t="s">
        <v>570</v>
      </c>
      <c r="C3751" s="1" t="s">
        <v>590</v>
      </c>
      <c r="D3751" s="1" t="s">
        <v>95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5">
      <c r="A3752" s="1" t="s">
        <v>555</v>
      </c>
      <c r="B3752" s="1" t="s">
        <v>571</v>
      </c>
      <c r="C3752" s="1" t="s">
        <v>591</v>
      </c>
      <c r="D3752" s="1" t="s">
        <v>95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5">
      <c r="A3753" s="1" t="s">
        <v>555</v>
      </c>
      <c r="B3753" s="1" t="s">
        <v>572</v>
      </c>
      <c r="C3753" s="1" t="s">
        <v>592</v>
      </c>
      <c r="D3753" s="1" t="s">
        <v>78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5">
      <c r="A3754" s="1" t="s">
        <v>555</v>
      </c>
      <c r="B3754" s="1" t="s">
        <v>573</v>
      </c>
      <c r="C3754" s="1" t="s">
        <v>593</v>
      </c>
      <c r="D3754" s="1" t="s">
        <v>78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5">
      <c r="A3755" s="1" t="s">
        <v>556</v>
      </c>
      <c r="B3755" s="1" t="s">
        <v>174</v>
      </c>
      <c r="C3755" s="1" t="s">
        <v>574</v>
      </c>
      <c r="D3755" s="1" t="s">
        <v>78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5">
      <c r="A3756" s="1" t="s">
        <v>556</v>
      </c>
      <c r="B3756" s="1" t="s">
        <v>563</v>
      </c>
      <c r="C3756" s="1" t="s">
        <v>575</v>
      </c>
      <c r="D3756" s="1" t="s">
        <v>78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5">
      <c r="A3757" s="1" t="s">
        <v>556</v>
      </c>
      <c r="B3757" s="1" t="s">
        <v>564</v>
      </c>
      <c r="C3757" s="1" t="s">
        <v>576</v>
      </c>
      <c r="D3757" s="1" t="s">
        <v>92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5">
      <c r="A3758" s="1" t="s">
        <v>556</v>
      </c>
      <c r="B3758" s="1" t="s">
        <v>565</v>
      </c>
      <c r="C3758" s="1" t="s">
        <v>577</v>
      </c>
      <c r="D3758" s="1" t="s">
        <v>78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5">
      <c r="A3759" s="1" t="s">
        <v>556</v>
      </c>
      <c r="B3759" s="1" t="s">
        <v>566</v>
      </c>
      <c r="C3759" s="1" t="s">
        <v>578</v>
      </c>
      <c r="D3759" s="1" t="s">
        <v>78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556</v>
      </c>
      <c r="B3760" s="1" t="s">
        <v>33</v>
      </c>
      <c r="C3760" s="1" t="s">
        <v>579</v>
      </c>
      <c r="D3760" s="1" t="s">
        <v>141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5">
      <c r="A3761" s="1" t="s">
        <v>556</v>
      </c>
      <c r="B3761" s="1" t="s">
        <v>34</v>
      </c>
      <c r="C3761" s="1" t="s">
        <v>580</v>
      </c>
      <c r="D3761" s="1" t="s">
        <v>629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5">
      <c r="A3762" s="1" t="s">
        <v>556</v>
      </c>
      <c r="B3762" s="1" t="s">
        <v>35</v>
      </c>
      <c r="C3762" s="1" t="s">
        <v>581</v>
      </c>
      <c r="D3762" s="1" t="s">
        <v>630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5">
      <c r="A3763" s="1" t="s">
        <v>556</v>
      </c>
      <c r="B3763" s="1" t="s">
        <v>36</v>
      </c>
      <c r="C3763" s="1" t="s">
        <v>582</v>
      </c>
      <c r="D3763" s="1" t="s">
        <v>275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5">
      <c r="A3764" s="1" t="s">
        <v>556</v>
      </c>
      <c r="B3764" s="1" t="s">
        <v>37</v>
      </c>
      <c r="C3764" s="1" t="s">
        <v>583</v>
      </c>
      <c r="D3764" s="1" t="s">
        <v>275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5">
      <c r="A3765" s="1" t="s">
        <v>556</v>
      </c>
      <c r="B3765" s="1" t="s">
        <v>38</v>
      </c>
      <c r="C3765" s="1" t="s">
        <v>584</v>
      </c>
      <c r="D3765" s="1" t="s">
        <v>629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5">
      <c r="A3766" s="1" t="s">
        <v>556</v>
      </c>
      <c r="B3766" s="1" t="s">
        <v>39</v>
      </c>
      <c r="C3766" s="1" t="s">
        <v>585</v>
      </c>
      <c r="D3766" s="1" t="s">
        <v>95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5">
      <c r="A3767" s="1" t="s">
        <v>556</v>
      </c>
      <c r="B3767" s="1" t="s">
        <v>567</v>
      </c>
      <c r="C3767" s="1" t="s">
        <v>586</v>
      </c>
      <c r="D3767" s="1" t="s">
        <v>141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556</v>
      </c>
      <c r="B3768" s="1" t="s">
        <v>568</v>
      </c>
      <c r="C3768" s="1" t="s">
        <v>587</v>
      </c>
      <c r="D3768" s="1" t="s">
        <v>78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556</v>
      </c>
      <c r="B3769" s="1" t="s">
        <v>40</v>
      </c>
      <c r="C3769" s="1" t="s">
        <v>588</v>
      </c>
      <c r="D3769" s="1" t="s">
        <v>1073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556</v>
      </c>
      <c r="B3770" s="1" t="s">
        <v>569</v>
      </c>
      <c r="C3770" s="1" t="s">
        <v>589</v>
      </c>
      <c r="D3770" s="1" t="s">
        <v>78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5">
      <c r="A3771" s="1" t="s">
        <v>556</v>
      </c>
      <c r="B3771" s="1" t="s">
        <v>570</v>
      </c>
      <c r="C3771" s="1" t="s">
        <v>590</v>
      </c>
      <c r="D3771" s="1" t="s">
        <v>95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5">
      <c r="A3772" s="1" t="s">
        <v>556</v>
      </c>
      <c r="B3772" s="1" t="s">
        <v>571</v>
      </c>
      <c r="C3772" s="1" t="s">
        <v>591</v>
      </c>
      <c r="D3772" s="1" t="s">
        <v>95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556</v>
      </c>
      <c r="B3773" s="1" t="s">
        <v>572</v>
      </c>
      <c r="C3773" s="1" t="s">
        <v>592</v>
      </c>
      <c r="D3773" s="1" t="s">
        <v>78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556</v>
      </c>
      <c r="B3774" s="1" t="s">
        <v>573</v>
      </c>
      <c r="C3774" s="1" t="s">
        <v>593</v>
      </c>
      <c r="D3774" s="1" t="s">
        <v>78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557</v>
      </c>
      <c r="B3775" s="1" t="s">
        <v>174</v>
      </c>
      <c r="C3775" s="1" t="s">
        <v>574</v>
      </c>
      <c r="D3775" s="1" t="s">
        <v>78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557</v>
      </c>
      <c r="B3776" s="1" t="s">
        <v>563</v>
      </c>
      <c r="C3776" s="1" t="s">
        <v>575</v>
      </c>
      <c r="D3776" s="1" t="s">
        <v>78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557</v>
      </c>
      <c r="B3777" s="1" t="s">
        <v>564</v>
      </c>
      <c r="C3777" s="1" t="s">
        <v>576</v>
      </c>
      <c r="D3777" s="1" t="s">
        <v>92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557</v>
      </c>
      <c r="B3778" s="1" t="s">
        <v>565</v>
      </c>
      <c r="C3778" s="1" t="s">
        <v>577</v>
      </c>
      <c r="D3778" s="1" t="s">
        <v>78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5">
      <c r="A3779" s="1" t="s">
        <v>557</v>
      </c>
      <c r="B3779" s="1" t="s">
        <v>566</v>
      </c>
      <c r="C3779" s="1" t="s">
        <v>578</v>
      </c>
      <c r="D3779" s="1" t="s">
        <v>78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557</v>
      </c>
      <c r="B3780" s="1" t="s">
        <v>33</v>
      </c>
      <c r="C3780" s="1" t="s">
        <v>579</v>
      </c>
      <c r="D3780" s="1" t="s">
        <v>141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5">
      <c r="A3781" s="1" t="s">
        <v>557</v>
      </c>
      <c r="B3781" s="1" t="s">
        <v>34</v>
      </c>
      <c r="C3781" s="1" t="s">
        <v>580</v>
      </c>
      <c r="D3781" s="1" t="s">
        <v>629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5">
      <c r="A3782" s="1" t="s">
        <v>557</v>
      </c>
      <c r="B3782" s="1" t="s">
        <v>35</v>
      </c>
      <c r="C3782" s="1" t="s">
        <v>581</v>
      </c>
      <c r="D3782" s="1" t="s">
        <v>630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5">
      <c r="A3783" s="1" t="s">
        <v>557</v>
      </c>
      <c r="B3783" s="1" t="s">
        <v>36</v>
      </c>
      <c r="C3783" s="1" t="s">
        <v>582</v>
      </c>
      <c r="D3783" s="1" t="s">
        <v>275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557</v>
      </c>
      <c r="B3784" s="1" t="s">
        <v>37</v>
      </c>
      <c r="C3784" s="1" t="s">
        <v>583</v>
      </c>
      <c r="D3784" s="1" t="s">
        <v>275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5">
      <c r="A3785" s="1" t="s">
        <v>557</v>
      </c>
      <c r="B3785" s="1" t="s">
        <v>38</v>
      </c>
      <c r="C3785" s="1" t="s">
        <v>584</v>
      </c>
      <c r="D3785" s="1" t="s">
        <v>629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5">
      <c r="A3786" s="1" t="s">
        <v>557</v>
      </c>
      <c r="B3786" s="1" t="s">
        <v>39</v>
      </c>
      <c r="C3786" s="1" t="s">
        <v>585</v>
      </c>
      <c r="D3786" s="1" t="s">
        <v>95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5">
      <c r="A3787" s="1" t="s">
        <v>557</v>
      </c>
      <c r="B3787" s="1" t="s">
        <v>567</v>
      </c>
      <c r="C3787" s="1" t="s">
        <v>586</v>
      </c>
      <c r="D3787" s="1" t="s">
        <v>141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557</v>
      </c>
      <c r="B3788" s="1" t="s">
        <v>568</v>
      </c>
      <c r="C3788" s="1" t="s">
        <v>587</v>
      </c>
      <c r="D3788" s="1" t="s">
        <v>78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5">
      <c r="A3789" s="1" t="s">
        <v>557</v>
      </c>
      <c r="B3789" s="1" t="s">
        <v>40</v>
      </c>
      <c r="C3789" s="1" t="s">
        <v>588</v>
      </c>
      <c r="D3789" s="1" t="s">
        <v>1073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5">
      <c r="A3790" s="1" t="s">
        <v>557</v>
      </c>
      <c r="B3790" s="1" t="s">
        <v>569</v>
      </c>
      <c r="C3790" s="1" t="s">
        <v>589</v>
      </c>
      <c r="D3790" s="1" t="s">
        <v>78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5">
      <c r="A3791" s="1" t="s">
        <v>557</v>
      </c>
      <c r="B3791" s="1" t="s">
        <v>570</v>
      </c>
      <c r="C3791" s="1" t="s">
        <v>590</v>
      </c>
      <c r="D3791" s="1" t="s">
        <v>95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5">
      <c r="A3792" s="1" t="s">
        <v>557</v>
      </c>
      <c r="B3792" s="1" t="s">
        <v>571</v>
      </c>
      <c r="C3792" s="1" t="s">
        <v>591</v>
      </c>
      <c r="D3792" s="1" t="s">
        <v>95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5">
      <c r="A3793" s="1" t="s">
        <v>557</v>
      </c>
      <c r="B3793" s="1" t="s">
        <v>572</v>
      </c>
      <c r="C3793" s="1" t="s">
        <v>592</v>
      </c>
      <c r="D3793" s="1" t="s">
        <v>78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5">
      <c r="A3794" s="1" t="s">
        <v>557</v>
      </c>
      <c r="B3794" s="1" t="s">
        <v>573</v>
      </c>
      <c r="C3794" s="1" t="s">
        <v>593</v>
      </c>
      <c r="D3794" s="1" t="s">
        <v>78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5">
      <c r="A3795" s="1" t="s">
        <v>558</v>
      </c>
      <c r="B3795" s="1" t="s">
        <v>174</v>
      </c>
      <c r="C3795" s="1" t="s">
        <v>574</v>
      </c>
      <c r="D3795" s="1" t="s">
        <v>78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25">
      <c r="A3796" s="1" t="s">
        <v>558</v>
      </c>
      <c r="B3796" s="1" t="s">
        <v>563</v>
      </c>
      <c r="C3796" s="1" t="s">
        <v>575</v>
      </c>
      <c r="D3796" s="1" t="s">
        <v>78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25">
      <c r="A3797" s="1" t="s">
        <v>558</v>
      </c>
      <c r="B3797" s="1" t="s">
        <v>564</v>
      </c>
      <c r="C3797" s="1" t="s">
        <v>576</v>
      </c>
      <c r="D3797" s="1" t="s">
        <v>92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25">
      <c r="A3798" s="1" t="s">
        <v>558</v>
      </c>
      <c r="B3798" s="1" t="s">
        <v>565</v>
      </c>
      <c r="C3798" s="1" t="s">
        <v>577</v>
      </c>
      <c r="D3798" s="1" t="s">
        <v>78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25">
      <c r="A3799" s="1" t="s">
        <v>558</v>
      </c>
      <c r="B3799" s="1" t="s">
        <v>566</v>
      </c>
      <c r="C3799" s="1" t="s">
        <v>578</v>
      </c>
      <c r="D3799" s="1" t="s">
        <v>78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5">
      <c r="A3800" s="1" t="s">
        <v>558</v>
      </c>
      <c r="B3800" s="1" t="s">
        <v>33</v>
      </c>
      <c r="C3800" s="1" t="s">
        <v>579</v>
      </c>
      <c r="D3800" s="1" t="s">
        <v>615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25">
      <c r="A3801" s="1" t="s">
        <v>558</v>
      </c>
      <c r="B3801" s="1" t="s">
        <v>34</v>
      </c>
      <c r="C3801" s="1" t="s">
        <v>580</v>
      </c>
      <c r="D3801" s="1" t="s">
        <v>616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25">
      <c r="A3802" s="1" t="s">
        <v>558</v>
      </c>
      <c r="B3802" s="1" t="s">
        <v>35</v>
      </c>
      <c r="C3802" s="1" t="s">
        <v>581</v>
      </c>
      <c r="D3802" s="1" t="s">
        <v>617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25">
      <c r="A3803" s="1" t="s">
        <v>558</v>
      </c>
      <c r="B3803" s="1" t="s">
        <v>36</v>
      </c>
      <c r="C3803" s="1" t="s">
        <v>582</v>
      </c>
      <c r="D3803" s="1" t="s">
        <v>232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5">
      <c r="A3804" s="1" t="s">
        <v>558</v>
      </c>
      <c r="B3804" s="1" t="s">
        <v>37</v>
      </c>
      <c r="C3804" s="1" t="s">
        <v>583</v>
      </c>
      <c r="D3804" s="1" t="s">
        <v>232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25">
      <c r="A3805" s="1" t="s">
        <v>558</v>
      </c>
      <c r="B3805" s="1" t="s">
        <v>38</v>
      </c>
      <c r="C3805" s="1" t="s">
        <v>584</v>
      </c>
      <c r="D3805" s="1" t="s">
        <v>607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25">
      <c r="A3806" s="1" t="s">
        <v>558</v>
      </c>
      <c r="B3806" s="1" t="s">
        <v>39</v>
      </c>
      <c r="C3806" s="1" t="s">
        <v>585</v>
      </c>
      <c r="D3806" s="1" t="s">
        <v>95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25">
      <c r="A3807" s="1" t="s">
        <v>558</v>
      </c>
      <c r="B3807" s="1" t="s">
        <v>567</v>
      </c>
      <c r="C3807" s="1" t="s">
        <v>586</v>
      </c>
      <c r="D3807" s="1" t="s">
        <v>141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5">
      <c r="A3808" s="1" t="s">
        <v>558</v>
      </c>
      <c r="B3808" s="1" t="s">
        <v>568</v>
      </c>
      <c r="C3808" s="1" t="s">
        <v>587</v>
      </c>
      <c r="D3808" s="1" t="s">
        <v>78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25">
      <c r="A3809" s="1" t="s">
        <v>558</v>
      </c>
      <c r="B3809" s="1" t="s">
        <v>40</v>
      </c>
      <c r="C3809" s="1" t="s">
        <v>588</v>
      </c>
      <c r="D3809" s="1" t="s">
        <v>1074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5">
      <c r="A3810" s="1" t="s">
        <v>558</v>
      </c>
      <c r="B3810" s="1" t="s">
        <v>569</v>
      </c>
      <c r="C3810" s="1" t="s">
        <v>589</v>
      </c>
      <c r="D3810" s="1" t="s">
        <v>78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25">
      <c r="A3811" s="1" t="s">
        <v>558</v>
      </c>
      <c r="B3811" s="1" t="s">
        <v>570</v>
      </c>
      <c r="C3811" s="1" t="s">
        <v>590</v>
      </c>
      <c r="D3811" s="1" t="s">
        <v>95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25">
      <c r="A3812" s="1" t="s">
        <v>558</v>
      </c>
      <c r="B3812" s="1" t="s">
        <v>571</v>
      </c>
      <c r="C3812" s="1" t="s">
        <v>591</v>
      </c>
      <c r="D3812" s="1" t="s">
        <v>95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25">
      <c r="A3813" s="1" t="s">
        <v>558</v>
      </c>
      <c r="B3813" s="1" t="s">
        <v>572</v>
      </c>
      <c r="C3813" s="1" t="s">
        <v>592</v>
      </c>
      <c r="D3813" s="1" t="s">
        <v>78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25">
      <c r="A3814" s="1" t="s">
        <v>558</v>
      </c>
      <c r="B3814" s="1" t="s">
        <v>573</v>
      </c>
      <c r="C3814" s="1" t="s">
        <v>593</v>
      </c>
      <c r="D3814" s="1" t="s">
        <v>78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25">
      <c r="A3815" s="1" t="s">
        <v>559</v>
      </c>
      <c r="B3815" s="1" t="s">
        <v>174</v>
      </c>
      <c r="C3815" s="1" t="s">
        <v>574</v>
      </c>
      <c r="D3815" s="1" t="s">
        <v>78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25">
      <c r="A3816" s="1" t="s">
        <v>559</v>
      </c>
      <c r="B3816" s="1" t="s">
        <v>563</v>
      </c>
      <c r="C3816" s="1" t="s">
        <v>575</v>
      </c>
      <c r="D3816" s="1" t="s">
        <v>78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25">
      <c r="A3817" s="1" t="s">
        <v>559</v>
      </c>
      <c r="B3817" s="1" t="s">
        <v>564</v>
      </c>
      <c r="C3817" s="1" t="s">
        <v>576</v>
      </c>
      <c r="D3817" s="1" t="s">
        <v>92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25">
      <c r="A3818" s="1" t="s">
        <v>559</v>
      </c>
      <c r="B3818" s="1" t="s">
        <v>565</v>
      </c>
      <c r="C3818" s="1" t="s">
        <v>577</v>
      </c>
      <c r="D3818" s="1" t="s">
        <v>78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25">
      <c r="A3819" s="1" t="s">
        <v>559</v>
      </c>
      <c r="B3819" s="1" t="s">
        <v>566</v>
      </c>
      <c r="C3819" s="1" t="s">
        <v>578</v>
      </c>
      <c r="D3819" s="1" t="s">
        <v>78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5">
      <c r="A3820" s="1" t="s">
        <v>559</v>
      </c>
      <c r="B3820" s="1" t="s">
        <v>33</v>
      </c>
      <c r="C3820" s="1" t="s">
        <v>579</v>
      </c>
      <c r="D3820" s="1" t="s">
        <v>141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25">
      <c r="A3821" s="1" t="s">
        <v>559</v>
      </c>
      <c r="B3821" s="1" t="s">
        <v>34</v>
      </c>
      <c r="C3821" s="1" t="s">
        <v>580</v>
      </c>
      <c r="D3821" s="1" t="s">
        <v>629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25">
      <c r="A3822" s="1" t="s">
        <v>559</v>
      </c>
      <c r="B3822" s="1" t="s">
        <v>35</v>
      </c>
      <c r="C3822" s="1" t="s">
        <v>581</v>
      </c>
      <c r="D3822" s="1" t="s">
        <v>630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25">
      <c r="A3823" s="1" t="s">
        <v>559</v>
      </c>
      <c r="B3823" s="1" t="s">
        <v>36</v>
      </c>
      <c r="C3823" s="1" t="s">
        <v>582</v>
      </c>
      <c r="D3823" s="1" t="s">
        <v>275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5">
      <c r="A3824" s="1" t="s">
        <v>559</v>
      </c>
      <c r="B3824" s="1" t="s">
        <v>37</v>
      </c>
      <c r="C3824" s="1" t="s">
        <v>583</v>
      </c>
      <c r="D3824" s="1" t="s">
        <v>275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25">
      <c r="A3825" s="1" t="s">
        <v>559</v>
      </c>
      <c r="B3825" s="1" t="s">
        <v>38</v>
      </c>
      <c r="C3825" s="1" t="s">
        <v>584</v>
      </c>
      <c r="D3825" s="1" t="s">
        <v>629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25">
      <c r="A3826" s="1" t="s">
        <v>559</v>
      </c>
      <c r="B3826" s="1" t="s">
        <v>39</v>
      </c>
      <c r="C3826" s="1" t="s">
        <v>585</v>
      </c>
      <c r="D3826" s="1" t="s">
        <v>95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25">
      <c r="A3827" s="1" t="s">
        <v>559</v>
      </c>
      <c r="B3827" s="1" t="s">
        <v>567</v>
      </c>
      <c r="C3827" s="1" t="s">
        <v>586</v>
      </c>
      <c r="D3827" s="1" t="s">
        <v>141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5">
      <c r="A3828" s="1" t="s">
        <v>559</v>
      </c>
      <c r="B3828" s="1" t="s">
        <v>568</v>
      </c>
      <c r="C3828" s="1" t="s">
        <v>587</v>
      </c>
      <c r="D3828" s="1" t="s">
        <v>78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25">
      <c r="A3829" s="1" t="s">
        <v>559</v>
      </c>
      <c r="B3829" s="1" t="s">
        <v>40</v>
      </c>
      <c r="C3829" s="1" t="s">
        <v>588</v>
      </c>
      <c r="D3829" s="1" t="s">
        <v>1073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25">
      <c r="A3830" s="1" t="s">
        <v>559</v>
      </c>
      <c r="B3830" s="1" t="s">
        <v>569</v>
      </c>
      <c r="C3830" s="1" t="s">
        <v>589</v>
      </c>
      <c r="D3830" s="1" t="s">
        <v>78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25">
      <c r="A3831" s="1" t="s">
        <v>559</v>
      </c>
      <c r="B3831" s="1" t="s">
        <v>570</v>
      </c>
      <c r="C3831" s="1" t="s">
        <v>590</v>
      </c>
      <c r="D3831" s="1" t="s">
        <v>95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25">
      <c r="A3832" s="1" t="s">
        <v>559</v>
      </c>
      <c r="B3832" s="1" t="s">
        <v>571</v>
      </c>
      <c r="C3832" s="1" t="s">
        <v>591</v>
      </c>
      <c r="D3832" s="1" t="s">
        <v>95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25">
      <c r="A3833" s="1" t="s">
        <v>559</v>
      </c>
      <c r="B3833" s="1" t="s">
        <v>572</v>
      </c>
      <c r="C3833" s="1" t="s">
        <v>592</v>
      </c>
      <c r="D3833" s="1" t="s">
        <v>78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25">
      <c r="A3834" s="1" t="s">
        <v>559</v>
      </c>
      <c r="B3834" s="1" t="s">
        <v>573</v>
      </c>
      <c r="C3834" s="1" t="s">
        <v>593</v>
      </c>
      <c r="D3834" s="1" t="s">
        <v>78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25">
      <c r="A3835" s="1" t="s">
        <v>560</v>
      </c>
      <c r="B3835" s="1" t="s">
        <v>174</v>
      </c>
      <c r="C3835" s="1" t="s">
        <v>574</v>
      </c>
      <c r="D3835" s="1" t="s">
        <v>78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25">
      <c r="A3836" s="1" t="s">
        <v>560</v>
      </c>
      <c r="B3836" s="1" t="s">
        <v>563</v>
      </c>
      <c r="C3836" s="1" t="s">
        <v>575</v>
      </c>
      <c r="D3836" s="1" t="s">
        <v>78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25">
      <c r="A3837" s="1" t="s">
        <v>560</v>
      </c>
      <c r="B3837" s="1" t="s">
        <v>564</v>
      </c>
      <c r="C3837" s="1" t="s">
        <v>576</v>
      </c>
      <c r="D3837" s="1" t="s">
        <v>92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25">
      <c r="A3838" s="1" t="s">
        <v>560</v>
      </c>
      <c r="B3838" s="1" t="s">
        <v>565</v>
      </c>
      <c r="C3838" s="1" t="s">
        <v>577</v>
      </c>
      <c r="D3838" s="1" t="s">
        <v>78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25">
      <c r="A3839" s="1" t="s">
        <v>560</v>
      </c>
      <c r="B3839" s="1" t="s">
        <v>566</v>
      </c>
      <c r="C3839" s="1" t="s">
        <v>578</v>
      </c>
      <c r="D3839" s="1" t="s">
        <v>78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560</v>
      </c>
      <c r="B3840" s="1" t="s">
        <v>33</v>
      </c>
      <c r="C3840" s="1" t="s">
        <v>579</v>
      </c>
      <c r="D3840" s="1" t="s">
        <v>615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560</v>
      </c>
      <c r="B3841" s="1" t="s">
        <v>34</v>
      </c>
      <c r="C3841" s="1" t="s">
        <v>580</v>
      </c>
      <c r="D3841" s="1" t="s">
        <v>616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560</v>
      </c>
      <c r="B3842" s="1" t="s">
        <v>35</v>
      </c>
      <c r="C3842" s="1" t="s">
        <v>581</v>
      </c>
      <c r="D3842" s="1" t="s">
        <v>617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25">
      <c r="A3843" s="1" t="s">
        <v>560</v>
      </c>
      <c r="B3843" s="1" t="s">
        <v>36</v>
      </c>
      <c r="C3843" s="1" t="s">
        <v>582</v>
      </c>
      <c r="D3843" s="1" t="s">
        <v>232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5">
      <c r="A3844" s="1" t="s">
        <v>560</v>
      </c>
      <c r="B3844" s="1" t="s">
        <v>37</v>
      </c>
      <c r="C3844" s="1" t="s">
        <v>583</v>
      </c>
      <c r="D3844" s="1" t="s">
        <v>232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560</v>
      </c>
      <c r="B3845" s="1" t="s">
        <v>38</v>
      </c>
      <c r="C3845" s="1" t="s">
        <v>584</v>
      </c>
      <c r="D3845" s="1" t="s">
        <v>607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560</v>
      </c>
      <c r="B3846" s="1" t="s">
        <v>39</v>
      </c>
      <c r="C3846" s="1" t="s">
        <v>585</v>
      </c>
      <c r="D3846" s="1" t="s">
        <v>95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560</v>
      </c>
      <c r="B3847" s="1" t="s">
        <v>567</v>
      </c>
      <c r="C3847" s="1" t="s">
        <v>586</v>
      </c>
      <c r="D3847" s="1" t="s">
        <v>141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560</v>
      </c>
      <c r="B3848" s="1" t="s">
        <v>568</v>
      </c>
      <c r="C3848" s="1" t="s">
        <v>587</v>
      </c>
      <c r="D3848" s="1" t="s">
        <v>78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560</v>
      </c>
      <c r="B3849" s="1" t="s">
        <v>40</v>
      </c>
      <c r="C3849" s="1" t="s">
        <v>588</v>
      </c>
      <c r="D3849" s="1" t="s">
        <v>1074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560</v>
      </c>
      <c r="B3850" s="1" t="s">
        <v>569</v>
      </c>
      <c r="C3850" s="1" t="s">
        <v>589</v>
      </c>
      <c r="D3850" s="1" t="s">
        <v>78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25">
      <c r="A3851" s="1" t="s">
        <v>560</v>
      </c>
      <c r="B3851" s="1" t="s">
        <v>570</v>
      </c>
      <c r="C3851" s="1" t="s">
        <v>590</v>
      </c>
      <c r="D3851" s="1" t="s">
        <v>95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25">
      <c r="A3852" s="1" t="s">
        <v>560</v>
      </c>
      <c r="B3852" s="1" t="s">
        <v>571</v>
      </c>
      <c r="C3852" s="1" t="s">
        <v>591</v>
      </c>
      <c r="D3852" s="1" t="s">
        <v>95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25">
      <c r="A3853" s="1" t="s">
        <v>560</v>
      </c>
      <c r="B3853" s="1" t="s">
        <v>572</v>
      </c>
      <c r="C3853" s="1" t="s">
        <v>592</v>
      </c>
      <c r="D3853" s="1" t="s">
        <v>78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25">
      <c r="A3854" s="1" t="s">
        <v>560</v>
      </c>
      <c r="B3854" s="1" t="s">
        <v>573</v>
      </c>
      <c r="C3854" s="1" t="s">
        <v>593</v>
      </c>
      <c r="D3854" s="1" t="s">
        <v>78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25">
      <c r="A3855" s="1" t="s">
        <v>561</v>
      </c>
      <c r="B3855" s="1" t="s">
        <v>174</v>
      </c>
      <c r="C3855" s="1" t="s">
        <v>574</v>
      </c>
      <c r="D3855" s="1" t="s">
        <v>78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25">
      <c r="A3856" s="1" t="s">
        <v>561</v>
      </c>
      <c r="B3856" s="1" t="s">
        <v>563</v>
      </c>
      <c r="C3856" s="1" t="s">
        <v>575</v>
      </c>
      <c r="D3856" s="1" t="s">
        <v>78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25">
      <c r="A3857" s="1" t="s">
        <v>561</v>
      </c>
      <c r="B3857" s="1" t="s">
        <v>564</v>
      </c>
      <c r="C3857" s="1" t="s">
        <v>576</v>
      </c>
      <c r="D3857" s="1" t="s">
        <v>92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25">
      <c r="A3858" s="1" t="s">
        <v>561</v>
      </c>
      <c r="B3858" s="1" t="s">
        <v>565</v>
      </c>
      <c r="C3858" s="1" t="s">
        <v>577</v>
      </c>
      <c r="D3858" s="1" t="s">
        <v>78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25">
      <c r="A3859" s="1" t="s">
        <v>561</v>
      </c>
      <c r="B3859" s="1" t="s">
        <v>566</v>
      </c>
      <c r="C3859" s="1" t="s">
        <v>578</v>
      </c>
      <c r="D3859" s="1" t="s">
        <v>78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25">
      <c r="A3860" s="1" t="s">
        <v>561</v>
      </c>
      <c r="B3860" s="1" t="s">
        <v>33</v>
      </c>
      <c r="C3860" s="1" t="s">
        <v>579</v>
      </c>
      <c r="D3860" s="1" t="s">
        <v>615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25">
      <c r="A3861" s="1" t="s">
        <v>561</v>
      </c>
      <c r="B3861" s="1" t="s">
        <v>34</v>
      </c>
      <c r="C3861" s="1" t="s">
        <v>580</v>
      </c>
      <c r="D3861" s="1" t="s">
        <v>1075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25">
      <c r="A3862" s="1" t="s">
        <v>561</v>
      </c>
      <c r="B3862" s="1" t="s">
        <v>35</v>
      </c>
      <c r="C3862" s="1" t="s">
        <v>581</v>
      </c>
      <c r="D3862" s="1" t="s">
        <v>1076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25">
      <c r="A3863" s="1" t="s">
        <v>561</v>
      </c>
      <c r="B3863" s="1" t="s">
        <v>36</v>
      </c>
      <c r="C3863" s="1" t="s">
        <v>582</v>
      </c>
      <c r="D3863" s="1" t="s">
        <v>98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5">
      <c r="A3864" s="1" t="s">
        <v>561</v>
      </c>
      <c r="B3864" s="1" t="s">
        <v>37</v>
      </c>
      <c r="C3864" s="1" t="s">
        <v>583</v>
      </c>
      <c r="D3864" s="1" t="s">
        <v>145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25">
      <c r="A3865" s="1" t="s">
        <v>561</v>
      </c>
      <c r="B3865" s="1" t="s">
        <v>38</v>
      </c>
      <c r="C3865" s="1" t="s">
        <v>584</v>
      </c>
      <c r="D3865" s="1" t="s">
        <v>828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25">
      <c r="A3866" s="1" t="s">
        <v>561</v>
      </c>
      <c r="B3866" s="1" t="s">
        <v>39</v>
      </c>
      <c r="C3866" s="1" t="s">
        <v>585</v>
      </c>
      <c r="D3866" s="1" t="s">
        <v>232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25">
      <c r="A3867" s="1" t="s">
        <v>561</v>
      </c>
      <c r="B3867" s="1" t="s">
        <v>567</v>
      </c>
      <c r="C3867" s="1" t="s">
        <v>586</v>
      </c>
      <c r="D3867" s="1" t="s">
        <v>141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5">
      <c r="A3868" s="1" t="s">
        <v>561</v>
      </c>
      <c r="B3868" s="1" t="s">
        <v>568</v>
      </c>
      <c r="C3868" s="1" t="s">
        <v>587</v>
      </c>
      <c r="D3868" s="1" t="s">
        <v>78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25">
      <c r="A3869" s="1" t="s">
        <v>561</v>
      </c>
      <c r="B3869" s="1" t="s">
        <v>40</v>
      </c>
      <c r="C3869" s="1" t="s">
        <v>588</v>
      </c>
      <c r="D3869" s="1" t="s">
        <v>829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25">
      <c r="A3870" s="1" t="s">
        <v>561</v>
      </c>
      <c r="B3870" s="1" t="s">
        <v>569</v>
      </c>
      <c r="C3870" s="1" t="s">
        <v>589</v>
      </c>
      <c r="D3870" s="1" t="s">
        <v>78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25">
      <c r="A3871" s="1" t="s">
        <v>561</v>
      </c>
      <c r="B3871" s="1" t="s">
        <v>570</v>
      </c>
      <c r="C3871" s="1" t="s">
        <v>590</v>
      </c>
      <c r="D3871" s="1" t="s">
        <v>95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561</v>
      </c>
      <c r="B3872" s="1" t="s">
        <v>571</v>
      </c>
      <c r="C3872" s="1" t="s">
        <v>591</v>
      </c>
      <c r="D3872" s="1" t="s">
        <v>223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561</v>
      </c>
      <c r="B3873" s="1" t="s">
        <v>572</v>
      </c>
      <c r="C3873" s="1" t="s">
        <v>592</v>
      </c>
      <c r="D3873" s="1" t="s">
        <v>78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561</v>
      </c>
      <c r="B3874" s="1" t="s">
        <v>573</v>
      </c>
      <c r="C3874" s="1" t="s">
        <v>593</v>
      </c>
      <c r="D3874" s="1" t="s">
        <v>78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25">
      <c r="A3875" s="1" t="s">
        <v>562</v>
      </c>
      <c r="B3875" s="1" t="s">
        <v>174</v>
      </c>
      <c r="C3875" s="1" t="s">
        <v>574</v>
      </c>
      <c r="D3875" s="1" t="s">
        <v>78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25">
      <c r="A3876" s="1" t="s">
        <v>562</v>
      </c>
      <c r="B3876" s="1" t="s">
        <v>563</v>
      </c>
      <c r="C3876" s="1" t="s">
        <v>575</v>
      </c>
      <c r="D3876" s="1" t="s">
        <v>78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562</v>
      </c>
      <c r="B3877" s="1" t="s">
        <v>564</v>
      </c>
      <c r="C3877" s="1" t="s">
        <v>576</v>
      </c>
      <c r="D3877" s="1" t="s">
        <v>92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562</v>
      </c>
      <c r="B3878" s="1" t="s">
        <v>565</v>
      </c>
      <c r="C3878" s="1" t="s">
        <v>577</v>
      </c>
      <c r="D3878" s="1" t="s">
        <v>78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562</v>
      </c>
      <c r="B3879" s="1" t="s">
        <v>566</v>
      </c>
      <c r="C3879" s="1" t="s">
        <v>578</v>
      </c>
      <c r="D3879" s="1" t="s">
        <v>78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562</v>
      </c>
      <c r="B3880" s="1" t="s">
        <v>33</v>
      </c>
      <c r="C3880" s="1" t="s">
        <v>579</v>
      </c>
      <c r="D3880" s="1" t="s">
        <v>615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562</v>
      </c>
      <c r="B3881" s="1" t="s">
        <v>34</v>
      </c>
      <c r="C3881" s="1" t="s">
        <v>580</v>
      </c>
      <c r="D3881" s="1" t="s">
        <v>1075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562</v>
      </c>
      <c r="B3882" s="1" t="s">
        <v>35</v>
      </c>
      <c r="C3882" s="1" t="s">
        <v>581</v>
      </c>
      <c r="D3882" s="1" t="s">
        <v>1076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25">
      <c r="A3883" s="1" t="s">
        <v>562</v>
      </c>
      <c r="B3883" s="1" t="s">
        <v>36</v>
      </c>
      <c r="C3883" s="1" t="s">
        <v>582</v>
      </c>
      <c r="D3883" s="1" t="s">
        <v>98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5">
      <c r="A3884" s="1" t="s">
        <v>562</v>
      </c>
      <c r="B3884" s="1" t="s">
        <v>37</v>
      </c>
      <c r="C3884" s="1" t="s">
        <v>583</v>
      </c>
      <c r="D3884" s="1" t="s">
        <v>145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25">
      <c r="A3885" s="1" t="s">
        <v>562</v>
      </c>
      <c r="B3885" s="1" t="s">
        <v>38</v>
      </c>
      <c r="C3885" s="1" t="s">
        <v>584</v>
      </c>
      <c r="D3885" s="1" t="s">
        <v>828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25">
      <c r="A3886" s="1" t="s">
        <v>562</v>
      </c>
      <c r="B3886" s="1" t="s">
        <v>39</v>
      </c>
      <c r="C3886" s="1" t="s">
        <v>585</v>
      </c>
      <c r="D3886" s="1" t="s">
        <v>232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25">
      <c r="A3887" s="1" t="s">
        <v>562</v>
      </c>
      <c r="B3887" s="1" t="s">
        <v>567</v>
      </c>
      <c r="C3887" s="1" t="s">
        <v>586</v>
      </c>
      <c r="D3887" s="1" t="s">
        <v>141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5">
      <c r="A3888" s="1" t="s">
        <v>562</v>
      </c>
      <c r="B3888" s="1" t="s">
        <v>568</v>
      </c>
      <c r="C3888" s="1" t="s">
        <v>587</v>
      </c>
      <c r="D3888" s="1" t="s">
        <v>78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25">
      <c r="A3889" s="1" t="s">
        <v>562</v>
      </c>
      <c r="B3889" s="1" t="s">
        <v>40</v>
      </c>
      <c r="C3889" s="1" t="s">
        <v>588</v>
      </c>
      <c r="D3889" s="1" t="s">
        <v>829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25">
      <c r="A3890" s="1" t="s">
        <v>562</v>
      </c>
      <c r="B3890" s="1" t="s">
        <v>569</v>
      </c>
      <c r="C3890" s="1" t="s">
        <v>589</v>
      </c>
      <c r="D3890" s="1" t="s">
        <v>78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25">
      <c r="A3891" s="1" t="s">
        <v>562</v>
      </c>
      <c r="B3891" s="1" t="s">
        <v>570</v>
      </c>
      <c r="C3891" s="1" t="s">
        <v>590</v>
      </c>
      <c r="D3891" s="1" t="s">
        <v>95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25">
      <c r="A3892" s="1" t="s">
        <v>562</v>
      </c>
      <c r="B3892" s="1" t="s">
        <v>571</v>
      </c>
      <c r="C3892" s="1" t="s">
        <v>591</v>
      </c>
      <c r="D3892" s="1" t="s">
        <v>223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25">
      <c r="A3893" s="1" t="s">
        <v>562</v>
      </c>
      <c r="B3893" s="1" t="s">
        <v>572</v>
      </c>
      <c r="C3893" s="1" t="s">
        <v>592</v>
      </c>
      <c r="D3893" s="1" t="s">
        <v>78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25">
      <c r="A3894" s="1" t="s">
        <v>562</v>
      </c>
      <c r="B3894" s="1" t="s">
        <v>573</v>
      </c>
      <c r="C3894" s="1" t="s">
        <v>593</v>
      </c>
      <c r="D3894" s="1" t="s">
        <v>78</v>
      </c>
      <c r="E3894" s="1"/>
      <c r="F3894" s="1"/>
      <c r="G3894" s="1"/>
      <c r="H3894" s="1"/>
      <c r="I3894" s="1"/>
      <c r="J3894" s="1"/>
      <c r="K3894" s="1"/>
      <c r="L3894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2416-AE0E-4220-8804-8E09BFD773BB}">
  <dimension ref="A1:L3675"/>
  <sheetViews>
    <sheetView workbookViewId="0">
      <selection activeCell="F16" sqref="F16"/>
    </sheetView>
  </sheetViews>
  <sheetFormatPr defaultRowHeight="15" x14ac:dyDescent="0.25"/>
  <cols>
    <col min="1" max="1" width="57" bestFit="1" customWidth="1"/>
    <col min="2" max="3" width="10.42578125" customWidth="1"/>
  </cols>
  <sheetData>
    <row r="1" spans="1:7" x14ac:dyDescent="0.25">
      <c r="A1" s="7" t="s">
        <v>0</v>
      </c>
      <c r="B1" s="8" t="s">
        <v>1</v>
      </c>
      <c r="C1" s="8" t="s">
        <v>2</v>
      </c>
      <c r="D1" s="8" t="s">
        <v>1098</v>
      </c>
    </row>
    <row r="2" spans="1:7" x14ac:dyDescent="0.25">
      <c r="A2" s="4" t="s">
        <v>428</v>
      </c>
      <c r="B2" s="5" t="s">
        <v>574</v>
      </c>
      <c r="C2" s="5">
        <v>0</v>
      </c>
      <c r="D2">
        <v>1</v>
      </c>
      <c r="G2" s="1"/>
    </row>
    <row r="3" spans="1:7" x14ac:dyDescent="0.25">
      <c r="A3" s="3" t="s">
        <v>428</v>
      </c>
      <c r="B3" s="6" t="s">
        <v>575</v>
      </c>
      <c r="C3" s="6">
        <v>0</v>
      </c>
      <c r="D3">
        <f>IF(B3="CCM", D2+1, D2)</f>
        <v>1</v>
      </c>
      <c r="G3" s="1"/>
    </row>
    <row r="4" spans="1:7" x14ac:dyDescent="0.25">
      <c r="A4" s="4" t="s">
        <v>428</v>
      </c>
      <c r="B4" s="5" t="s">
        <v>576</v>
      </c>
      <c r="C4" s="5">
        <v>0.6</v>
      </c>
      <c r="D4">
        <f t="shared" ref="D4:D67" si="0">IF(B4="CCM", D3+1, D3)</f>
        <v>1</v>
      </c>
      <c r="G4" s="1"/>
    </row>
    <row r="5" spans="1:7" x14ac:dyDescent="0.25">
      <c r="A5" s="3" t="s">
        <v>428</v>
      </c>
      <c r="B5" s="6" t="s">
        <v>577</v>
      </c>
      <c r="C5" s="6">
        <v>5</v>
      </c>
      <c r="D5">
        <f t="shared" si="0"/>
        <v>1</v>
      </c>
      <c r="G5" s="1"/>
    </row>
    <row r="6" spans="1:7" x14ac:dyDescent="0.25">
      <c r="A6" s="4" t="s">
        <v>428</v>
      </c>
      <c r="B6" s="5" t="s">
        <v>578</v>
      </c>
      <c r="C6" s="5">
        <v>0</v>
      </c>
      <c r="D6">
        <f t="shared" si="0"/>
        <v>1</v>
      </c>
      <c r="G6" s="1"/>
    </row>
    <row r="7" spans="1:7" x14ac:dyDescent="0.25">
      <c r="A7" s="3" t="s">
        <v>428</v>
      </c>
      <c r="B7" s="6" t="s">
        <v>579</v>
      </c>
      <c r="C7" s="6">
        <v>6</v>
      </c>
      <c r="D7">
        <f t="shared" si="0"/>
        <v>1</v>
      </c>
      <c r="G7" s="1"/>
    </row>
    <row r="8" spans="1:7" x14ac:dyDescent="0.25">
      <c r="A8" s="4" t="s">
        <v>428</v>
      </c>
      <c r="B8" s="5" t="s">
        <v>580</v>
      </c>
      <c r="C8" s="5">
        <v>301.13690000000003</v>
      </c>
      <c r="D8">
        <f t="shared" si="0"/>
        <v>1</v>
      </c>
      <c r="G8" s="1"/>
    </row>
    <row r="9" spans="1:7" x14ac:dyDescent="0.25">
      <c r="A9" s="3" t="s">
        <v>428</v>
      </c>
      <c r="B9" s="6" t="s">
        <v>581</v>
      </c>
      <c r="C9" s="6">
        <v>1.4999999999999999E-2</v>
      </c>
      <c r="D9">
        <f t="shared" si="0"/>
        <v>1</v>
      </c>
      <c r="G9" s="1"/>
    </row>
    <row r="10" spans="1:7" x14ac:dyDescent="0.25">
      <c r="A10" s="4" t="s">
        <v>428</v>
      </c>
      <c r="B10" s="5" t="s">
        <v>582</v>
      </c>
      <c r="C10" s="5">
        <v>14</v>
      </c>
      <c r="D10">
        <f t="shared" si="0"/>
        <v>1</v>
      </c>
      <c r="G10" s="1"/>
    </row>
    <row r="11" spans="1:7" x14ac:dyDescent="0.25">
      <c r="A11" s="3" t="s">
        <v>428</v>
      </c>
      <c r="B11" s="6" t="s">
        <v>583</v>
      </c>
      <c r="C11" s="6">
        <v>12</v>
      </c>
      <c r="D11">
        <f t="shared" si="0"/>
        <v>1</v>
      </c>
      <c r="G11" s="1"/>
    </row>
    <row r="12" spans="1:7" x14ac:dyDescent="0.25">
      <c r="A12" s="4" t="s">
        <v>428</v>
      </c>
      <c r="B12" s="5" t="s">
        <v>584</v>
      </c>
      <c r="C12" s="5">
        <v>50.189500000000002</v>
      </c>
      <c r="D12">
        <f t="shared" si="0"/>
        <v>1</v>
      </c>
      <c r="G12" s="1"/>
    </row>
    <row r="13" spans="1:7" x14ac:dyDescent="0.25">
      <c r="A13" s="3" t="s">
        <v>428</v>
      </c>
      <c r="B13" s="6" t="s">
        <v>585</v>
      </c>
      <c r="C13" s="6">
        <v>11</v>
      </c>
      <c r="D13">
        <f t="shared" si="0"/>
        <v>1</v>
      </c>
      <c r="G13" s="1"/>
    </row>
    <row r="14" spans="1:7" x14ac:dyDescent="0.25">
      <c r="A14" s="4" t="s">
        <v>428</v>
      </c>
      <c r="B14" s="5" t="s">
        <v>586</v>
      </c>
      <c r="C14" s="5">
        <v>0</v>
      </c>
      <c r="D14">
        <f t="shared" si="0"/>
        <v>1</v>
      </c>
      <c r="G14" s="1"/>
    </row>
    <row r="15" spans="1:7" x14ac:dyDescent="0.25">
      <c r="A15" s="3" t="s">
        <v>428</v>
      </c>
      <c r="B15" s="6" t="s">
        <v>587</v>
      </c>
      <c r="C15" s="6">
        <v>0</v>
      </c>
      <c r="D15">
        <f t="shared" si="0"/>
        <v>1</v>
      </c>
      <c r="G15" s="1"/>
    </row>
    <row r="16" spans="1:7" x14ac:dyDescent="0.25">
      <c r="A16" s="4" t="s">
        <v>428</v>
      </c>
      <c r="B16" s="5" t="s">
        <v>588</v>
      </c>
      <c r="C16" s="5">
        <v>65.386899999999997</v>
      </c>
      <c r="D16">
        <f t="shared" si="0"/>
        <v>1</v>
      </c>
      <c r="G16" s="1"/>
    </row>
    <row r="17" spans="1:7" x14ac:dyDescent="0.25">
      <c r="A17" s="3" t="s">
        <v>428</v>
      </c>
      <c r="B17" s="6" t="s">
        <v>589</v>
      </c>
      <c r="C17" s="6">
        <v>0</v>
      </c>
      <c r="D17">
        <f t="shared" si="0"/>
        <v>1</v>
      </c>
      <c r="G17" s="1"/>
    </row>
    <row r="18" spans="1:7" x14ac:dyDescent="0.25">
      <c r="A18" s="4" t="s">
        <v>428</v>
      </c>
      <c r="B18" s="5" t="s">
        <v>590</v>
      </c>
      <c r="C18" s="5">
        <v>1</v>
      </c>
      <c r="D18">
        <f t="shared" si="0"/>
        <v>1</v>
      </c>
      <c r="G18" s="1"/>
    </row>
    <row r="19" spans="1:7" x14ac:dyDescent="0.25">
      <c r="A19" s="3" t="s">
        <v>428</v>
      </c>
      <c r="B19" s="6" t="s">
        <v>591</v>
      </c>
      <c r="C19" s="6">
        <v>2</v>
      </c>
      <c r="D19">
        <f t="shared" si="0"/>
        <v>1</v>
      </c>
      <c r="G19" s="1"/>
    </row>
    <row r="20" spans="1:7" x14ac:dyDescent="0.25">
      <c r="A20" s="4" t="s">
        <v>428</v>
      </c>
      <c r="B20" s="5" t="s">
        <v>592</v>
      </c>
      <c r="C20" s="5">
        <v>0</v>
      </c>
      <c r="D20">
        <f t="shared" si="0"/>
        <v>1</v>
      </c>
      <c r="G20" s="1"/>
    </row>
    <row r="21" spans="1:7" x14ac:dyDescent="0.25">
      <c r="A21" s="3" t="s">
        <v>428</v>
      </c>
      <c r="B21" s="6" t="s">
        <v>593</v>
      </c>
      <c r="C21" s="6">
        <v>2</v>
      </c>
      <c r="D21">
        <f t="shared" si="0"/>
        <v>1</v>
      </c>
      <c r="G21" s="1"/>
    </row>
    <row r="22" spans="1:7" x14ac:dyDescent="0.25">
      <c r="A22" s="4" t="s">
        <v>429</v>
      </c>
      <c r="B22" s="5" t="s">
        <v>574</v>
      </c>
      <c r="C22" s="5">
        <v>5</v>
      </c>
      <c r="D22">
        <f t="shared" si="0"/>
        <v>2</v>
      </c>
      <c r="G22" s="1"/>
    </row>
    <row r="23" spans="1:7" x14ac:dyDescent="0.25">
      <c r="A23" s="3" t="s">
        <v>429</v>
      </c>
      <c r="B23" s="6" t="s">
        <v>575</v>
      </c>
      <c r="C23" s="6">
        <v>0</v>
      </c>
      <c r="D23">
        <f t="shared" si="0"/>
        <v>2</v>
      </c>
      <c r="G23" s="1"/>
    </row>
    <row r="24" spans="1:7" x14ac:dyDescent="0.25">
      <c r="A24" s="4" t="s">
        <v>429</v>
      </c>
      <c r="B24" s="5" t="s">
        <v>576</v>
      </c>
      <c r="C24" s="5">
        <v>0.5</v>
      </c>
      <c r="D24">
        <f t="shared" si="0"/>
        <v>2</v>
      </c>
      <c r="G24" s="1"/>
    </row>
    <row r="25" spans="1:7" x14ac:dyDescent="0.25">
      <c r="A25" s="3" t="s">
        <v>429</v>
      </c>
      <c r="B25" s="6" t="s">
        <v>577</v>
      </c>
      <c r="C25" s="6">
        <v>6</v>
      </c>
      <c r="D25">
        <f t="shared" si="0"/>
        <v>2</v>
      </c>
      <c r="G25" s="1"/>
    </row>
    <row r="26" spans="1:7" x14ac:dyDescent="0.25">
      <c r="A26" s="4" t="s">
        <v>429</v>
      </c>
      <c r="B26" s="5" t="s">
        <v>578</v>
      </c>
      <c r="C26" s="5">
        <v>1</v>
      </c>
      <c r="D26">
        <f t="shared" si="0"/>
        <v>2</v>
      </c>
      <c r="G26" s="1"/>
    </row>
    <row r="27" spans="1:7" x14ac:dyDescent="0.25">
      <c r="A27" s="3" t="s">
        <v>429</v>
      </c>
      <c r="B27" s="6" t="s">
        <v>579</v>
      </c>
      <c r="C27" s="6">
        <v>27</v>
      </c>
      <c r="D27">
        <f t="shared" si="0"/>
        <v>2</v>
      </c>
      <c r="G27" s="1"/>
    </row>
    <row r="28" spans="1:7" x14ac:dyDescent="0.25">
      <c r="A28" s="4" t="s">
        <v>429</v>
      </c>
      <c r="B28" s="5" t="s">
        <v>580</v>
      </c>
      <c r="C28" s="5">
        <v>12198.390299999999</v>
      </c>
      <c r="D28">
        <f t="shared" si="0"/>
        <v>2</v>
      </c>
      <c r="G28" s="1"/>
    </row>
    <row r="29" spans="1:7" x14ac:dyDescent="0.25">
      <c r="A29" s="3" t="s">
        <v>429</v>
      </c>
      <c r="B29" s="6" t="s">
        <v>581</v>
      </c>
      <c r="C29" s="6">
        <v>0.17660000000000001</v>
      </c>
      <c r="D29">
        <f t="shared" si="0"/>
        <v>2</v>
      </c>
      <c r="G29" s="1"/>
    </row>
    <row r="30" spans="1:7" x14ac:dyDescent="0.25">
      <c r="A30" s="4" t="s">
        <v>429</v>
      </c>
      <c r="B30" s="5" t="s">
        <v>582</v>
      </c>
      <c r="C30" s="5">
        <v>93</v>
      </c>
      <c r="D30">
        <f t="shared" si="0"/>
        <v>2</v>
      </c>
      <c r="G30" s="1"/>
    </row>
    <row r="31" spans="1:7" x14ac:dyDescent="0.25">
      <c r="A31" s="3" t="s">
        <v>429</v>
      </c>
      <c r="B31" s="6" t="s">
        <v>583</v>
      </c>
      <c r="C31" s="6">
        <v>29</v>
      </c>
      <c r="D31">
        <f t="shared" si="0"/>
        <v>2</v>
      </c>
      <c r="G31" s="1"/>
    </row>
    <row r="32" spans="1:7" x14ac:dyDescent="0.25">
      <c r="A32" s="4" t="s">
        <v>429</v>
      </c>
      <c r="B32" s="5" t="s">
        <v>584</v>
      </c>
      <c r="C32" s="5">
        <v>451.79219999999998</v>
      </c>
      <c r="D32">
        <f t="shared" si="0"/>
        <v>2</v>
      </c>
      <c r="G32" s="1"/>
    </row>
    <row r="33" spans="1:7" x14ac:dyDescent="0.25">
      <c r="A33" s="3" t="s">
        <v>429</v>
      </c>
      <c r="B33" s="6" t="s">
        <v>585</v>
      </c>
      <c r="C33" s="6">
        <v>27</v>
      </c>
      <c r="D33">
        <f t="shared" si="0"/>
        <v>2</v>
      </c>
      <c r="G33" s="1"/>
    </row>
    <row r="34" spans="1:7" x14ac:dyDescent="0.25">
      <c r="A34" s="4" t="s">
        <v>429</v>
      </c>
      <c r="B34" s="5" t="s">
        <v>586</v>
      </c>
      <c r="C34" s="5">
        <v>0</v>
      </c>
      <c r="D34">
        <f t="shared" si="0"/>
        <v>2</v>
      </c>
      <c r="G34" s="1"/>
    </row>
    <row r="35" spans="1:7" x14ac:dyDescent="0.25">
      <c r="A35" s="3" t="s">
        <v>429</v>
      </c>
      <c r="B35" s="6" t="s">
        <v>587</v>
      </c>
      <c r="C35" s="6">
        <v>1</v>
      </c>
      <c r="D35">
        <f t="shared" si="0"/>
        <v>2</v>
      </c>
      <c r="G35" s="1"/>
    </row>
    <row r="36" spans="1:7" x14ac:dyDescent="0.25">
      <c r="A36" s="4" t="s">
        <v>429</v>
      </c>
      <c r="B36" s="5" t="s">
        <v>588</v>
      </c>
      <c r="C36" s="5">
        <v>49.8962</v>
      </c>
      <c r="D36">
        <f t="shared" si="0"/>
        <v>2</v>
      </c>
      <c r="G36" s="1"/>
    </row>
    <row r="37" spans="1:7" x14ac:dyDescent="0.25">
      <c r="A37" s="3" t="s">
        <v>429</v>
      </c>
      <c r="B37" s="6" t="s">
        <v>589</v>
      </c>
      <c r="C37" s="6">
        <v>1</v>
      </c>
      <c r="D37">
        <f t="shared" si="0"/>
        <v>2</v>
      </c>
      <c r="G37" s="1"/>
    </row>
    <row r="38" spans="1:7" x14ac:dyDescent="0.25">
      <c r="A38" s="4" t="s">
        <v>429</v>
      </c>
      <c r="B38" s="5" t="s">
        <v>590</v>
      </c>
      <c r="C38" s="5">
        <v>9</v>
      </c>
      <c r="D38">
        <f t="shared" si="0"/>
        <v>2</v>
      </c>
      <c r="G38" s="1"/>
    </row>
    <row r="39" spans="1:7" x14ac:dyDescent="0.25">
      <c r="A39" s="3" t="s">
        <v>429</v>
      </c>
      <c r="B39" s="6" t="s">
        <v>591</v>
      </c>
      <c r="C39" s="6">
        <v>10</v>
      </c>
      <c r="D39">
        <f t="shared" si="0"/>
        <v>2</v>
      </c>
      <c r="G39" s="1"/>
    </row>
    <row r="40" spans="1:7" x14ac:dyDescent="0.25">
      <c r="A40" s="4" t="s">
        <v>429</v>
      </c>
      <c r="B40" s="5" t="s">
        <v>592</v>
      </c>
      <c r="C40" s="5">
        <v>4</v>
      </c>
      <c r="D40">
        <f t="shared" si="0"/>
        <v>2</v>
      </c>
      <c r="G40" s="1"/>
    </row>
    <row r="41" spans="1:7" x14ac:dyDescent="0.25">
      <c r="A41" s="3" t="s">
        <v>429</v>
      </c>
      <c r="B41" s="6" t="s">
        <v>593</v>
      </c>
      <c r="C41" s="6">
        <v>2</v>
      </c>
      <c r="D41">
        <f t="shared" si="0"/>
        <v>2</v>
      </c>
      <c r="G41" s="1"/>
    </row>
    <row r="42" spans="1:7" x14ac:dyDescent="0.25">
      <c r="A42" s="4" t="s">
        <v>430</v>
      </c>
      <c r="B42" s="5" t="s">
        <v>574</v>
      </c>
      <c r="C42" s="5">
        <v>5</v>
      </c>
      <c r="D42">
        <f t="shared" si="0"/>
        <v>3</v>
      </c>
      <c r="G42" s="1"/>
    </row>
    <row r="43" spans="1:7" x14ac:dyDescent="0.25">
      <c r="A43" s="3" t="s">
        <v>430</v>
      </c>
      <c r="B43" s="6" t="s">
        <v>575</v>
      </c>
      <c r="C43" s="6">
        <v>0</v>
      </c>
      <c r="D43">
        <f t="shared" si="0"/>
        <v>3</v>
      </c>
      <c r="G43" s="1"/>
    </row>
    <row r="44" spans="1:7" x14ac:dyDescent="0.25">
      <c r="A44" s="4" t="s">
        <v>430</v>
      </c>
      <c r="B44" s="5" t="s">
        <v>576</v>
      </c>
      <c r="C44" s="5">
        <v>0.5</v>
      </c>
      <c r="D44">
        <f t="shared" si="0"/>
        <v>3</v>
      </c>
      <c r="G44" s="1"/>
    </row>
    <row r="45" spans="1:7" x14ac:dyDescent="0.25">
      <c r="A45" s="3" t="s">
        <v>430</v>
      </c>
      <c r="B45" s="6" t="s">
        <v>577</v>
      </c>
      <c r="C45" s="6">
        <v>6</v>
      </c>
      <c r="D45">
        <f t="shared" si="0"/>
        <v>3</v>
      </c>
      <c r="G45" s="1"/>
    </row>
    <row r="46" spans="1:7" x14ac:dyDescent="0.25">
      <c r="A46" s="4" t="s">
        <v>430</v>
      </c>
      <c r="B46" s="5" t="s">
        <v>578</v>
      </c>
      <c r="C46" s="5">
        <v>1</v>
      </c>
      <c r="D46">
        <f t="shared" si="0"/>
        <v>3</v>
      </c>
      <c r="G46" s="1"/>
    </row>
    <row r="47" spans="1:7" x14ac:dyDescent="0.25">
      <c r="A47" s="3" t="s">
        <v>430</v>
      </c>
      <c r="B47" s="6" t="s">
        <v>579</v>
      </c>
      <c r="C47" s="6">
        <v>27</v>
      </c>
      <c r="D47">
        <f t="shared" si="0"/>
        <v>3</v>
      </c>
      <c r="G47" s="1"/>
    </row>
    <row r="48" spans="1:7" x14ac:dyDescent="0.25">
      <c r="A48" s="4" t="s">
        <v>430</v>
      </c>
      <c r="B48" s="5" t="s">
        <v>580</v>
      </c>
      <c r="C48" s="5">
        <v>12198.390299999999</v>
      </c>
      <c r="D48">
        <f t="shared" si="0"/>
        <v>3</v>
      </c>
      <c r="G48" s="1"/>
    </row>
    <row r="49" spans="1:7" x14ac:dyDescent="0.25">
      <c r="A49" s="3" t="s">
        <v>430</v>
      </c>
      <c r="B49" s="6" t="s">
        <v>581</v>
      </c>
      <c r="C49" s="6">
        <v>0.17660000000000001</v>
      </c>
      <c r="D49">
        <f t="shared" si="0"/>
        <v>3</v>
      </c>
      <c r="G49" s="1"/>
    </row>
    <row r="50" spans="1:7" x14ac:dyDescent="0.25">
      <c r="A50" s="4" t="s">
        <v>430</v>
      </c>
      <c r="B50" s="5" t="s">
        <v>582</v>
      </c>
      <c r="C50" s="5">
        <v>93</v>
      </c>
      <c r="D50">
        <f t="shared" si="0"/>
        <v>3</v>
      </c>
      <c r="G50" s="1"/>
    </row>
    <row r="51" spans="1:7" x14ac:dyDescent="0.25">
      <c r="A51" s="3" t="s">
        <v>430</v>
      </c>
      <c r="B51" s="6" t="s">
        <v>583</v>
      </c>
      <c r="C51" s="6">
        <v>29</v>
      </c>
      <c r="D51">
        <f t="shared" si="0"/>
        <v>3</v>
      </c>
      <c r="G51" s="1"/>
    </row>
    <row r="52" spans="1:7" x14ac:dyDescent="0.25">
      <c r="A52" s="4" t="s">
        <v>430</v>
      </c>
      <c r="B52" s="5" t="s">
        <v>584</v>
      </c>
      <c r="C52" s="5">
        <v>451.79219999999998</v>
      </c>
      <c r="D52">
        <f t="shared" si="0"/>
        <v>3</v>
      </c>
      <c r="G52" s="1"/>
    </row>
    <row r="53" spans="1:7" x14ac:dyDescent="0.25">
      <c r="A53" s="3" t="s">
        <v>430</v>
      </c>
      <c r="B53" s="6" t="s">
        <v>585</v>
      </c>
      <c r="C53" s="6">
        <v>27</v>
      </c>
      <c r="D53">
        <f t="shared" si="0"/>
        <v>3</v>
      </c>
      <c r="G53" s="1"/>
    </row>
    <row r="54" spans="1:7" x14ac:dyDescent="0.25">
      <c r="A54" s="4" t="s">
        <v>430</v>
      </c>
      <c r="B54" s="5" t="s">
        <v>586</v>
      </c>
      <c r="C54" s="5">
        <v>0</v>
      </c>
      <c r="D54">
        <f t="shared" si="0"/>
        <v>3</v>
      </c>
      <c r="G54" s="1"/>
    </row>
    <row r="55" spans="1:7" x14ac:dyDescent="0.25">
      <c r="A55" s="3" t="s">
        <v>430</v>
      </c>
      <c r="B55" s="6" t="s">
        <v>587</v>
      </c>
      <c r="C55" s="6">
        <v>1</v>
      </c>
      <c r="D55">
        <f t="shared" si="0"/>
        <v>3</v>
      </c>
      <c r="G55" s="1"/>
    </row>
    <row r="56" spans="1:7" x14ac:dyDescent="0.25">
      <c r="A56" s="4" t="s">
        <v>430</v>
      </c>
      <c r="B56" s="5" t="s">
        <v>588</v>
      </c>
      <c r="C56" s="5">
        <v>49.8962</v>
      </c>
      <c r="D56">
        <f t="shared" si="0"/>
        <v>3</v>
      </c>
      <c r="G56" s="1"/>
    </row>
    <row r="57" spans="1:7" x14ac:dyDescent="0.25">
      <c r="A57" s="3" t="s">
        <v>430</v>
      </c>
      <c r="B57" s="6" t="s">
        <v>589</v>
      </c>
      <c r="C57" s="6">
        <v>1</v>
      </c>
      <c r="D57">
        <f t="shared" si="0"/>
        <v>3</v>
      </c>
      <c r="G57" s="1"/>
    </row>
    <row r="58" spans="1:7" x14ac:dyDescent="0.25">
      <c r="A58" s="4" t="s">
        <v>430</v>
      </c>
      <c r="B58" s="5" t="s">
        <v>590</v>
      </c>
      <c r="C58" s="5">
        <v>9</v>
      </c>
      <c r="D58">
        <f t="shared" si="0"/>
        <v>3</v>
      </c>
      <c r="G58" s="1"/>
    </row>
    <row r="59" spans="1:7" x14ac:dyDescent="0.25">
      <c r="A59" s="3" t="s">
        <v>430</v>
      </c>
      <c r="B59" s="6" t="s">
        <v>591</v>
      </c>
      <c r="C59" s="6">
        <v>10</v>
      </c>
      <c r="D59">
        <f t="shared" si="0"/>
        <v>3</v>
      </c>
      <c r="G59" s="1"/>
    </row>
    <row r="60" spans="1:7" x14ac:dyDescent="0.25">
      <c r="A60" s="4" t="s">
        <v>430</v>
      </c>
      <c r="B60" s="5" t="s">
        <v>592</v>
      </c>
      <c r="C60" s="5">
        <v>4</v>
      </c>
      <c r="D60">
        <f t="shared" si="0"/>
        <v>3</v>
      </c>
      <c r="G60" s="1"/>
    </row>
    <row r="61" spans="1:7" x14ac:dyDescent="0.25">
      <c r="A61" s="3" t="s">
        <v>430</v>
      </c>
      <c r="B61" s="6" t="s">
        <v>593</v>
      </c>
      <c r="C61" s="6">
        <v>2</v>
      </c>
      <c r="D61">
        <f t="shared" si="0"/>
        <v>3</v>
      </c>
      <c r="G61" s="1"/>
    </row>
    <row r="62" spans="1:7" x14ac:dyDescent="0.25">
      <c r="A62" s="4" t="s">
        <v>431</v>
      </c>
      <c r="B62" s="5" t="s">
        <v>574</v>
      </c>
      <c r="C62" s="5">
        <v>0</v>
      </c>
      <c r="D62">
        <f t="shared" si="0"/>
        <v>4</v>
      </c>
      <c r="G62" s="1"/>
    </row>
    <row r="63" spans="1:7" x14ac:dyDescent="0.25">
      <c r="A63" s="3" t="s">
        <v>431</v>
      </c>
      <c r="B63" s="6" t="s">
        <v>575</v>
      </c>
      <c r="C63" s="6">
        <v>0</v>
      </c>
      <c r="D63">
        <f t="shared" si="0"/>
        <v>4</v>
      </c>
      <c r="G63" s="1"/>
    </row>
    <row r="64" spans="1:7" x14ac:dyDescent="0.25">
      <c r="A64" s="4" t="s">
        <v>431</v>
      </c>
      <c r="B64" s="5" t="s">
        <v>576</v>
      </c>
      <c r="C64" s="5">
        <v>0</v>
      </c>
      <c r="D64">
        <f t="shared" si="0"/>
        <v>4</v>
      </c>
      <c r="G64" s="1"/>
    </row>
    <row r="65" spans="1:7" x14ac:dyDescent="0.25">
      <c r="A65" s="3" t="s">
        <v>431</v>
      </c>
      <c r="B65" s="6" t="s">
        <v>577</v>
      </c>
      <c r="C65" s="6">
        <v>0</v>
      </c>
      <c r="D65">
        <f t="shared" si="0"/>
        <v>4</v>
      </c>
      <c r="G65" s="1"/>
    </row>
    <row r="66" spans="1:7" x14ac:dyDescent="0.25">
      <c r="A66" s="4" t="s">
        <v>431</v>
      </c>
      <c r="B66" s="5" t="s">
        <v>578</v>
      </c>
      <c r="C66" s="5">
        <v>0</v>
      </c>
      <c r="D66">
        <f t="shared" si="0"/>
        <v>4</v>
      </c>
      <c r="G66" s="1"/>
    </row>
    <row r="67" spans="1:7" x14ac:dyDescent="0.25">
      <c r="A67" s="3" t="s">
        <v>431</v>
      </c>
      <c r="B67" s="6" t="s">
        <v>579</v>
      </c>
      <c r="C67" s="6">
        <v>1</v>
      </c>
      <c r="D67">
        <f t="shared" si="0"/>
        <v>4</v>
      </c>
      <c r="G67" s="1"/>
    </row>
    <row r="68" spans="1:7" x14ac:dyDescent="0.25">
      <c r="A68" s="4" t="s">
        <v>431</v>
      </c>
      <c r="B68" s="5" t="s">
        <v>580</v>
      </c>
      <c r="C68" s="5">
        <v>8</v>
      </c>
      <c r="D68">
        <f t="shared" ref="D68:D131" si="1">IF(B68="CCM", D67+1, D67)</f>
        <v>4</v>
      </c>
      <c r="G68" s="1"/>
    </row>
    <row r="69" spans="1:7" x14ac:dyDescent="0.25">
      <c r="A69" s="3" t="s">
        <v>431</v>
      </c>
      <c r="B69" s="6" t="s">
        <v>581</v>
      </c>
      <c r="C69" s="6">
        <v>1.2999999999999999E-3</v>
      </c>
      <c r="D69">
        <f t="shared" si="1"/>
        <v>4</v>
      </c>
      <c r="G69" s="1"/>
    </row>
    <row r="70" spans="1:7" x14ac:dyDescent="0.25">
      <c r="A70" s="4" t="s">
        <v>431</v>
      </c>
      <c r="B70" s="5" t="s">
        <v>582</v>
      </c>
      <c r="C70" s="5">
        <v>4</v>
      </c>
      <c r="D70">
        <f t="shared" si="1"/>
        <v>4</v>
      </c>
      <c r="G70" s="1"/>
    </row>
    <row r="71" spans="1:7" x14ac:dyDescent="0.25">
      <c r="A71" s="3" t="s">
        <v>431</v>
      </c>
      <c r="B71" s="6" t="s">
        <v>583</v>
      </c>
      <c r="C71" s="6">
        <v>4</v>
      </c>
      <c r="D71">
        <f t="shared" si="1"/>
        <v>4</v>
      </c>
      <c r="G71" s="1"/>
    </row>
    <row r="72" spans="1:7" x14ac:dyDescent="0.25">
      <c r="A72" s="4" t="s">
        <v>431</v>
      </c>
      <c r="B72" s="5" t="s">
        <v>584</v>
      </c>
      <c r="C72" s="5">
        <v>8</v>
      </c>
      <c r="D72">
        <f t="shared" si="1"/>
        <v>4</v>
      </c>
      <c r="G72" s="1"/>
    </row>
    <row r="73" spans="1:7" x14ac:dyDescent="0.25">
      <c r="A73" s="3" t="s">
        <v>431</v>
      </c>
      <c r="B73" s="6" t="s">
        <v>585</v>
      </c>
      <c r="C73" s="6">
        <v>9</v>
      </c>
      <c r="D73">
        <f t="shared" si="1"/>
        <v>4</v>
      </c>
      <c r="G73" s="1"/>
    </row>
    <row r="74" spans="1:7" x14ac:dyDescent="0.25">
      <c r="A74" s="4" t="s">
        <v>431</v>
      </c>
      <c r="B74" s="5" t="s">
        <v>586</v>
      </c>
      <c r="C74" s="5">
        <v>1</v>
      </c>
      <c r="D74">
        <f t="shared" si="1"/>
        <v>4</v>
      </c>
      <c r="G74" s="1"/>
    </row>
    <row r="75" spans="1:7" x14ac:dyDescent="0.25">
      <c r="A75" s="3" t="s">
        <v>431</v>
      </c>
      <c r="B75" s="6" t="s">
        <v>587</v>
      </c>
      <c r="C75" s="6">
        <v>0</v>
      </c>
      <c r="D75">
        <f t="shared" si="1"/>
        <v>4</v>
      </c>
      <c r="G75" s="1"/>
    </row>
    <row r="76" spans="1:7" x14ac:dyDescent="0.25">
      <c r="A76" s="4" t="s">
        <v>431</v>
      </c>
      <c r="B76" s="5" t="s">
        <v>588</v>
      </c>
      <c r="C76" s="5">
        <v>72.860699999999994</v>
      </c>
      <c r="D76">
        <f t="shared" si="1"/>
        <v>4</v>
      </c>
      <c r="G76" s="1"/>
    </row>
    <row r="77" spans="1:7" x14ac:dyDescent="0.25">
      <c r="A77" s="3" t="s">
        <v>431</v>
      </c>
      <c r="B77" s="6" t="s">
        <v>589</v>
      </c>
      <c r="C77" s="6">
        <v>0</v>
      </c>
      <c r="D77">
        <f t="shared" si="1"/>
        <v>4</v>
      </c>
      <c r="G77" s="1"/>
    </row>
    <row r="78" spans="1:7" x14ac:dyDescent="0.25">
      <c r="A78" s="4" t="s">
        <v>431</v>
      </c>
      <c r="B78" s="5" t="s">
        <v>590</v>
      </c>
      <c r="C78" s="5">
        <v>1</v>
      </c>
      <c r="D78">
        <f t="shared" si="1"/>
        <v>4</v>
      </c>
      <c r="G78" s="1"/>
    </row>
    <row r="79" spans="1:7" x14ac:dyDescent="0.25">
      <c r="A79" s="3" t="s">
        <v>431</v>
      </c>
      <c r="B79" s="6" t="s">
        <v>591</v>
      </c>
      <c r="C79" s="6">
        <v>2</v>
      </c>
      <c r="D79">
        <f t="shared" si="1"/>
        <v>4</v>
      </c>
      <c r="G79" s="1"/>
    </row>
    <row r="80" spans="1:7" x14ac:dyDescent="0.25">
      <c r="A80" s="4" t="s">
        <v>431</v>
      </c>
      <c r="B80" s="5" t="s">
        <v>592</v>
      </c>
      <c r="C80" s="5">
        <v>0</v>
      </c>
      <c r="D80">
        <f t="shared" si="1"/>
        <v>4</v>
      </c>
      <c r="G80" s="1"/>
    </row>
    <row r="81" spans="1:7" x14ac:dyDescent="0.25">
      <c r="A81" s="3" t="s">
        <v>431</v>
      </c>
      <c r="B81" s="6" t="s">
        <v>593</v>
      </c>
      <c r="C81" s="6">
        <v>1</v>
      </c>
      <c r="D81">
        <f t="shared" si="1"/>
        <v>4</v>
      </c>
      <c r="G81" s="1"/>
    </row>
    <row r="82" spans="1:7" x14ac:dyDescent="0.25">
      <c r="A82" s="4" t="s">
        <v>432</v>
      </c>
      <c r="B82" s="5" t="s">
        <v>574</v>
      </c>
      <c r="C82" s="5">
        <v>1</v>
      </c>
      <c r="D82">
        <f t="shared" si="1"/>
        <v>5</v>
      </c>
      <c r="G82" s="1"/>
    </row>
    <row r="83" spans="1:7" x14ac:dyDescent="0.25">
      <c r="A83" s="3" t="s">
        <v>432</v>
      </c>
      <c r="B83" s="6" t="s">
        <v>575</v>
      </c>
      <c r="C83" s="6">
        <v>0</v>
      </c>
      <c r="D83">
        <f t="shared" si="1"/>
        <v>5</v>
      </c>
      <c r="G83" s="1"/>
    </row>
    <row r="84" spans="1:7" x14ac:dyDescent="0.25">
      <c r="A84" s="4" t="s">
        <v>432</v>
      </c>
      <c r="B84" s="5" t="s">
        <v>576</v>
      </c>
      <c r="C84" s="5">
        <v>0</v>
      </c>
      <c r="D84">
        <f t="shared" si="1"/>
        <v>5</v>
      </c>
      <c r="G84" s="1"/>
    </row>
    <row r="85" spans="1:7" x14ac:dyDescent="0.25">
      <c r="A85" s="3" t="s">
        <v>432</v>
      </c>
      <c r="B85" s="6" t="s">
        <v>577</v>
      </c>
      <c r="C85" s="6">
        <v>0</v>
      </c>
      <c r="D85">
        <f t="shared" si="1"/>
        <v>5</v>
      </c>
      <c r="G85" s="1"/>
    </row>
    <row r="86" spans="1:7" x14ac:dyDescent="0.25">
      <c r="A86" s="4" t="s">
        <v>432</v>
      </c>
      <c r="B86" s="5" t="s">
        <v>578</v>
      </c>
      <c r="C86" s="5">
        <v>0</v>
      </c>
      <c r="D86">
        <f t="shared" si="1"/>
        <v>5</v>
      </c>
      <c r="G86" s="1"/>
    </row>
    <row r="87" spans="1:7" x14ac:dyDescent="0.25">
      <c r="A87" s="3" t="s">
        <v>432</v>
      </c>
      <c r="B87" s="6" t="s">
        <v>579</v>
      </c>
      <c r="C87" s="6">
        <v>5.0909000000000004</v>
      </c>
      <c r="D87">
        <f t="shared" si="1"/>
        <v>5</v>
      </c>
      <c r="G87" s="1"/>
    </row>
    <row r="88" spans="1:7" x14ac:dyDescent="0.25">
      <c r="A88" s="4" t="s">
        <v>432</v>
      </c>
      <c r="B88" s="5" t="s">
        <v>580</v>
      </c>
      <c r="C88" s="5">
        <v>615.63260000000002</v>
      </c>
      <c r="D88">
        <f t="shared" si="1"/>
        <v>5</v>
      </c>
      <c r="G88" s="1"/>
    </row>
    <row r="89" spans="1:7" x14ac:dyDescent="0.25">
      <c r="A89" s="3" t="s">
        <v>432</v>
      </c>
      <c r="B89" s="6" t="s">
        <v>581</v>
      </c>
      <c r="C89" s="6">
        <v>2.41E-2</v>
      </c>
      <c r="D89">
        <f t="shared" si="1"/>
        <v>5</v>
      </c>
      <c r="G89" s="1"/>
    </row>
    <row r="90" spans="1:7" x14ac:dyDescent="0.25">
      <c r="A90" s="4" t="s">
        <v>432</v>
      </c>
      <c r="B90" s="5" t="s">
        <v>582</v>
      </c>
      <c r="C90" s="5">
        <v>29</v>
      </c>
      <c r="D90">
        <f t="shared" si="1"/>
        <v>5</v>
      </c>
      <c r="G90" s="1"/>
    </row>
    <row r="91" spans="1:7" x14ac:dyDescent="0.25">
      <c r="A91" s="3" t="s">
        <v>432</v>
      </c>
      <c r="B91" s="6" t="s">
        <v>583</v>
      </c>
      <c r="C91" s="6">
        <v>18</v>
      </c>
      <c r="D91">
        <f t="shared" si="1"/>
        <v>5</v>
      </c>
      <c r="G91" s="1"/>
    </row>
    <row r="92" spans="1:7" x14ac:dyDescent="0.25">
      <c r="A92" s="4" t="s">
        <v>432</v>
      </c>
      <c r="B92" s="5" t="s">
        <v>584</v>
      </c>
      <c r="C92" s="5">
        <v>120.9278</v>
      </c>
      <c r="D92">
        <f t="shared" si="1"/>
        <v>5</v>
      </c>
      <c r="G92" s="1"/>
    </row>
    <row r="93" spans="1:7" x14ac:dyDescent="0.25">
      <c r="A93" s="3" t="s">
        <v>432</v>
      </c>
      <c r="B93" s="6" t="s">
        <v>585</v>
      </c>
      <c r="C93" s="6">
        <v>28</v>
      </c>
      <c r="D93">
        <f t="shared" si="1"/>
        <v>5</v>
      </c>
      <c r="G93" s="1"/>
    </row>
    <row r="94" spans="1:7" x14ac:dyDescent="0.25">
      <c r="A94" s="4" t="s">
        <v>432</v>
      </c>
      <c r="B94" s="5" t="s">
        <v>586</v>
      </c>
      <c r="C94" s="5">
        <v>1</v>
      </c>
      <c r="D94">
        <f t="shared" si="1"/>
        <v>5</v>
      </c>
      <c r="G94" s="1"/>
    </row>
    <row r="95" spans="1:7" x14ac:dyDescent="0.25">
      <c r="A95" s="3" t="s">
        <v>432</v>
      </c>
      <c r="B95" s="6" t="s">
        <v>587</v>
      </c>
      <c r="C95" s="6">
        <v>0</v>
      </c>
      <c r="D95">
        <f t="shared" si="1"/>
        <v>5</v>
      </c>
      <c r="G95" s="1"/>
    </row>
    <row r="96" spans="1:7" x14ac:dyDescent="0.25">
      <c r="A96" s="4" t="s">
        <v>432</v>
      </c>
      <c r="B96" s="5" t="s">
        <v>588</v>
      </c>
      <c r="C96" s="5">
        <v>53.632300000000001</v>
      </c>
      <c r="D96">
        <f t="shared" si="1"/>
        <v>5</v>
      </c>
      <c r="G96" s="1"/>
    </row>
    <row r="97" spans="1:7" x14ac:dyDescent="0.25">
      <c r="A97" s="3" t="s">
        <v>432</v>
      </c>
      <c r="B97" s="6" t="s">
        <v>589</v>
      </c>
      <c r="C97" s="6">
        <v>1</v>
      </c>
      <c r="D97">
        <f t="shared" si="1"/>
        <v>5</v>
      </c>
      <c r="G97" s="1"/>
    </row>
    <row r="98" spans="1:7" x14ac:dyDescent="0.25">
      <c r="A98" s="4" t="s">
        <v>432</v>
      </c>
      <c r="B98" s="5" t="s">
        <v>590</v>
      </c>
      <c r="C98" s="5">
        <v>6</v>
      </c>
      <c r="D98">
        <f t="shared" si="1"/>
        <v>5</v>
      </c>
      <c r="G98" s="1"/>
    </row>
    <row r="99" spans="1:7" x14ac:dyDescent="0.25">
      <c r="A99" s="3" t="s">
        <v>432</v>
      </c>
      <c r="B99" s="6" t="s">
        <v>591</v>
      </c>
      <c r="C99" s="6">
        <v>6</v>
      </c>
      <c r="D99">
        <f t="shared" si="1"/>
        <v>5</v>
      </c>
      <c r="G99" s="1"/>
    </row>
    <row r="100" spans="1:7" x14ac:dyDescent="0.25">
      <c r="A100" s="4" t="s">
        <v>432</v>
      </c>
      <c r="B100" s="5" t="s">
        <v>592</v>
      </c>
      <c r="C100" s="5">
        <v>0</v>
      </c>
      <c r="D100">
        <f t="shared" si="1"/>
        <v>5</v>
      </c>
      <c r="G100" s="1"/>
    </row>
    <row r="101" spans="1:7" x14ac:dyDescent="0.25">
      <c r="A101" s="3" t="s">
        <v>432</v>
      </c>
      <c r="B101" s="6" t="s">
        <v>593</v>
      </c>
      <c r="C101" s="6">
        <v>1</v>
      </c>
      <c r="D101">
        <f t="shared" si="1"/>
        <v>5</v>
      </c>
      <c r="G101" s="1"/>
    </row>
    <row r="102" spans="1:7" x14ac:dyDescent="0.25">
      <c r="A102" s="4" t="s">
        <v>433</v>
      </c>
      <c r="B102" s="5" t="s">
        <v>574</v>
      </c>
      <c r="C102" s="5">
        <v>0</v>
      </c>
      <c r="D102">
        <f t="shared" si="1"/>
        <v>6</v>
      </c>
      <c r="G102" s="1"/>
    </row>
    <row r="103" spans="1:7" x14ac:dyDescent="0.25">
      <c r="A103" s="3" t="s">
        <v>433</v>
      </c>
      <c r="B103" s="6" t="s">
        <v>575</v>
      </c>
      <c r="C103" s="6">
        <v>0</v>
      </c>
      <c r="D103">
        <f t="shared" si="1"/>
        <v>6</v>
      </c>
      <c r="G103" s="1"/>
    </row>
    <row r="104" spans="1:7" x14ac:dyDescent="0.25">
      <c r="A104" s="4" t="s">
        <v>433</v>
      </c>
      <c r="B104" s="5" t="s">
        <v>576</v>
      </c>
      <c r="C104" s="5">
        <v>0</v>
      </c>
      <c r="D104">
        <f t="shared" si="1"/>
        <v>6</v>
      </c>
      <c r="G104" s="1"/>
    </row>
    <row r="105" spans="1:7" x14ac:dyDescent="0.25">
      <c r="A105" s="3" t="s">
        <v>433</v>
      </c>
      <c r="B105" s="6" t="s">
        <v>577</v>
      </c>
      <c r="C105" s="6">
        <v>0</v>
      </c>
      <c r="D105">
        <f t="shared" si="1"/>
        <v>6</v>
      </c>
      <c r="G105" s="1"/>
    </row>
    <row r="106" spans="1:7" x14ac:dyDescent="0.25">
      <c r="A106" s="4" t="s">
        <v>433</v>
      </c>
      <c r="B106" s="5" t="s">
        <v>578</v>
      </c>
      <c r="C106" s="5">
        <v>0</v>
      </c>
      <c r="D106">
        <f t="shared" si="1"/>
        <v>6</v>
      </c>
      <c r="G106" s="1"/>
    </row>
    <row r="107" spans="1:7" x14ac:dyDescent="0.25">
      <c r="A107" s="3" t="s">
        <v>433</v>
      </c>
      <c r="B107" s="6" t="s">
        <v>579</v>
      </c>
      <c r="C107" s="6">
        <v>1.5</v>
      </c>
      <c r="D107">
        <f t="shared" si="1"/>
        <v>6</v>
      </c>
      <c r="G107" s="1"/>
    </row>
    <row r="108" spans="1:7" x14ac:dyDescent="0.25">
      <c r="A108" s="4" t="s">
        <v>433</v>
      </c>
      <c r="B108" s="5" t="s">
        <v>580</v>
      </c>
      <c r="C108" s="5">
        <v>12</v>
      </c>
      <c r="D108">
        <f t="shared" si="1"/>
        <v>6</v>
      </c>
      <c r="G108" s="1"/>
    </row>
    <row r="109" spans="1:7" x14ac:dyDescent="0.25">
      <c r="A109" s="3" t="s">
        <v>433</v>
      </c>
      <c r="B109" s="6" t="s">
        <v>581</v>
      </c>
      <c r="C109" s="6">
        <v>1.6999999999999999E-3</v>
      </c>
      <c r="D109">
        <f t="shared" si="1"/>
        <v>6</v>
      </c>
      <c r="G109" s="1"/>
    </row>
    <row r="110" spans="1:7" x14ac:dyDescent="0.25">
      <c r="A110" s="4" t="s">
        <v>433</v>
      </c>
      <c r="B110" s="5" t="s">
        <v>582</v>
      </c>
      <c r="C110" s="5">
        <v>4</v>
      </c>
      <c r="D110">
        <f t="shared" si="1"/>
        <v>6</v>
      </c>
      <c r="G110" s="1"/>
    </row>
    <row r="111" spans="1:7" x14ac:dyDescent="0.25">
      <c r="A111" s="3" t="s">
        <v>433</v>
      </c>
      <c r="B111" s="6" t="s">
        <v>583</v>
      </c>
      <c r="C111" s="6">
        <v>4</v>
      </c>
      <c r="D111">
        <f t="shared" si="1"/>
        <v>6</v>
      </c>
      <c r="G111" s="1"/>
    </row>
    <row r="112" spans="1:7" x14ac:dyDescent="0.25">
      <c r="A112" s="4" t="s">
        <v>433</v>
      </c>
      <c r="B112" s="5" t="s">
        <v>584</v>
      </c>
      <c r="C112" s="5">
        <v>8</v>
      </c>
      <c r="D112">
        <f t="shared" si="1"/>
        <v>6</v>
      </c>
      <c r="G112" s="1"/>
    </row>
    <row r="113" spans="1:7" x14ac:dyDescent="0.25">
      <c r="A113" s="3" t="s">
        <v>433</v>
      </c>
      <c r="B113" s="6" t="s">
        <v>585</v>
      </c>
      <c r="C113" s="6">
        <v>9</v>
      </c>
      <c r="D113">
        <f t="shared" si="1"/>
        <v>6</v>
      </c>
      <c r="G113" s="1"/>
    </row>
    <row r="114" spans="1:7" x14ac:dyDescent="0.25">
      <c r="A114" s="4" t="s">
        <v>433</v>
      </c>
      <c r="B114" s="5" t="s">
        <v>586</v>
      </c>
      <c r="C114" s="5">
        <v>1</v>
      </c>
      <c r="D114">
        <f t="shared" si="1"/>
        <v>6</v>
      </c>
      <c r="G114" s="1"/>
    </row>
    <row r="115" spans="1:7" x14ac:dyDescent="0.25">
      <c r="A115" s="3" t="s">
        <v>433</v>
      </c>
      <c r="B115" s="6" t="s">
        <v>587</v>
      </c>
      <c r="C115" s="6">
        <v>0</v>
      </c>
      <c r="D115">
        <f t="shared" si="1"/>
        <v>6</v>
      </c>
      <c r="G115" s="1"/>
    </row>
    <row r="116" spans="1:7" x14ac:dyDescent="0.25">
      <c r="A116" s="4" t="s">
        <v>433</v>
      </c>
      <c r="B116" s="5" t="s">
        <v>588</v>
      </c>
      <c r="C116" s="5">
        <v>72.860699999999994</v>
      </c>
      <c r="D116">
        <f t="shared" si="1"/>
        <v>6</v>
      </c>
      <c r="G116" s="1"/>
    </row>
    <row r="117" spans="1:7" x14ac:dyDescent="0.25">
      <c r="A117" s="3" t="s">
        <v>433</v>
      </c>
      <c r="B117" s="6" t="s">
        <v>589</v>
      </c>
      <c r="C117" s="6">
        <v>0</v>
      </c>
      <c r="D117">
        <f t="shared" si="1"/>
        <v>6</v>
      </c>
      <c r="G117" s="1"/>
    </row>
    <row r="118" spans="1:7" x14ac:dyDescent="0.25">
      <c r="A118" s="4" t="s">
        <v>433</v>
      </c>
      <c r="B118" s="5" t="s">
        <v>590</v>
      </c>
      <c r="C118" s="5">
        <v>1</v>
      </c>
      <c r="D118">
        <f t="shared" si="1"/>
        <v>6</v>
      </c>
      <c r="G118" s="1"/>
    </row>
    <row r="119" spans="1:7" x14ac:dyDescent="0.25">
      <c r="A119" s="3" t="s">
        <v>433</v>
      </c>
      <c r="B119" s="6" t="s">
        <v>591</v>
      </c>
      <c r="C119" s="6">
        <v>1</v>
      </c>
      <c r="D119">
        <f t="shared" si="1"/>
        <v>6</v>
      </c>
      <c r="G119" s="1"/>
    </row>
    <row r="120" spans="1:7" x14ac:dyDescent="0.25">
      <c r="A120" s="4" t="s">
        <v>433</v>
      </c>
      <c r="B120" s="5" t="s">
        <v>592</v>
      </c>
      <c r="C120" s="5">
        <v>0</v>
      </c>
      <c r="D120">
        <f t="shared" si="1"/>
        <v>6</v>
      </c>
      <c r="G120" s="1"/>
    </row>
    <row r="121" spans="1:7" x14ac:dyDescent="0.25">
      <c r="A121" s="3" t="s">
        <v>433</v>
      </c>
      <c r="B121" s="6" t="s">
        <v>593</v>
      </c>
      <c r="C121" s="6">
        <v>0</v>
      </c>
      <c r="D121">
        <f t="shared" si="1"/>
        <v>6</v>
      </c>
      <c r="G121" s="1"/>
    </row>
    <row r="122" spans="1:7" x14ac:dyDescent="0.25">
      <c r="A122" s="4" t="s">
        <v>434</v>
      </c>
      <c r="B122" s="5" t="s">
        <v>574</v>
      </c>
      <c r="C122" s="5">
        <v>0</v>
      </c>
      <c r="D122">
        <f t="shared" si="1"/>
        <v>7</v>
      </c>
      <c r="G122" s="1"/>
    </row>
    <row r="123" spans="1:7" x14ac:dyDescent="0.25">
      <c r="A123" s="3" t="s">
        <v>434</v>
      </c>
      <c r="B123" s="6" t="s">
        <v>575</v>
      </c>
      <c r="C123" s="6">
        <v>0</v>
      </c>
      <c r="D123">
        <f t="shared" si="1"/>
        <v>7</v>
      </c>
      <c r="G123" s="1"/>
    </row>
    <row r="124" spans="1:7" x14ac:dyDescent="0.25">
      <c r="A124" s="4" t="s">
        <v>434</v>
      </c>
      <c r="B124" s="5" t="s">
        <v>576</v>
      </c>
      <c r="C124" s="5">
        <v>0.5</v>
      </c>
      <c r="D124">
        <f t="shared" si="1"/>
        <v>7</v>
      </c>
      <c r="G124" s="1"/>
    </row>
    <row r="125" spans="1:7" x14ac:dyDescent="0.25">
      <c r="A125" s="3" t="s">
        <v>434</v>
      </c>
      <c r="B125" s="6" t="s">
        <v>577</v>
      </c>
      <c r="C125" s="6">
        <v>1</v>
      </c>
      <c r="D125">
        <f t="shared" si="1"/>
        <v>7</v>
      </c>
      <c r="G125" s="1"/>
    </row>
    <row r="126" spans="1:7" x14ac:dyDescent="0.25">
      <c r="A126" s="4" t="s">
        <v>434</v>
      </c>
      <c r="B126" s="5" t="s">
        <v>578</v>
      </c>
      <c r="C126" s="5">
        <v>1</v>
      </c>
      <c r="D126">
        <f t="shared" si="1"/>
        <v>7</v>
      </c>
      <c r="G126" s="1"/>
    </row>
    <row r="127" spans="1:7" x14ac:dyDescent="0.25">
      <c r="A127" s="3" t="s">
        <v>434</v>
      </c>
      <c r="B127" s="6" t="s">
        <v>579</v>
      </c>
      <c r="C127" s="6">
        <v>4.6666999999999996</v>
      </c>
      <c r="D127">
        <f t="shared" si="1"/>
        <v>7</v>
      </c>
      <c r="G127" s="1"/>
    </row>
    <row r="128" spans="1:7" x14ac:dyDescent="0.25">
      <c r="A128" s="4" t="s">
        <v>434</v>
      </c>
      <c r="B128" s="5" t="s">
        <v>580</v>
      </c>
      <c r="C128" s="5">
        <v>186.02799999999999</v>
      </c>
      <c r="D128">
        <f t="shared" si="1"/>
        <v>7</v>
      </c>
      <c r="G128" s="1"/>
    </row>
    <row r="129" spans="1:7" x14ac:dyDescent="0.25">
      <c r="A129" s="3" t="s">
        <v>434</v>
      </c>
      <c r="B129" s="6" t="s">
        <v>581</v>
      </c>
      <c r="C129" s="6">
        <v>1.09E-2</v>
      </c>
      <c r="D129">
        <f t="shared" si="1"/>
        <v>7</v>
      </c>
      <c r="G129" s="1"/>
    </row>
    <row r="130" spans="1:7" x14ac:dyDescent="0.25">
      <c r="A130" s="4" t="s">
        <v>434</v>
      </c>
      <c r="B130" s="5" t="s">
        <v>582</v>
      </c>
      <c r="C130" s="5">
        <v>12</v>
      </c>
      <c r="D130">
        <f t="shared" si="1"/>
        <v>7</v>
      </c>
      <c r="G130" s="1"/>
    </row>
    <row r="131" spans="1:7" x14ac:dyDescent="0.25">
      <c r="A131" s="3" t="s">
        <v>434</v>
      </c>
      <c r="B131" s="6" t="s">
        <v>583</v>
      </c>
      <c r="C131" s="6">
        <v>10</v>
      </c>
      <c r="D131">
        <f t="shared" si="1"/>
        <v>7</v>
      </c>
      <c r="G131" s="1"/>
    </row>
    <row r="132" spans="1:7" x14ac:dyDescent="0.25">
      <c r="A132" s="4" t="s">
        <v>434</v>
      </c>
      <c r="B132" s="5" t="s">
        <v>584</v>
      </c>
      <c r="C132" s="5">
        <v>39.863100000000003</v>
      </c>
      <c r="D132">
        <f t="shared" ref="D132:D195" si="2">IF(B132="CCM", D131+1, D131)</f>
        <v>7</v>
      </c>
      <c r="G132" s="1"/>
    </row>
    <row r="133" spans="1:7" x14ac:dyDescent="0.25">
      <c r="A133" s="3" t="s">
        <v>434</v>
      </c>
      <c r="B133" s="6" t="s">
        <v>585</v>
      </c>
      <c r="C133" s="6">
        <v>10</v>
      </c>
      <c r="D133">
        <f t="shared" si="2"/>
        <v>7</v>
      </c>
      <c r="G133" s="1"/>
    </row>
    <row r="134" spans="1:7" x14ac:dyDescent="0.25">
      <c r="A134" s="4" t="s">
        <v>434</v>
      </c>
      <c r="B134" s="5" t="s">
        <v>586</v>
      </c>
      <c r="C134" s="5">
        <v>0</v>
      </c>
      <c r="D134">
        <f t="shared" si="2"/>
        <v>7</v>
      </c>
      <c r="G134" s="1"/>
    </row>
    <row r="135" spans="1:7" x14ac:dyDescent="0.25">
      <c r="A135" s="3" t="s">
        <v>434</v>
      </c>
      <c r="B135" s="6" t="s">
        <v>587</v>
      </c>
      <c r="C135" s="6">
        <v>0</v>
      </c>
      <c r="D135">
        <f t="shared" si="2"/>
        <v>7</v>
      </c>
      <c r="G135" s="1"/>
    </row>
    <row r="136" spans="1:7" x14ac:dyDescent="0.25">
      <c r="A136" s="4" t="s">
        <v>434</v>
      </c>
      <c r="B136" s="5" t="s">
        <v>588</v>
      </c>
      <c r="C136" s="5">
        <v>67.045400000000001</v>
      </c>
      <c r="D136">
        <f t="shared" si="2"/>
        <v>7</v>
      </c>
      <c r="G136" s="1"/>
    </row>
    <row r="137" spans="1:7" x14ac:dyDescent="0.25">
      <c r="A137" s="3" t="s">
        <v>434</v>
      </c>
      <c r="B137" s="6" t="s">
        <v>589</v>
      </c>
      <c r="C137" s="6">
        <v>0</v>
      </c>
      <c r="D137">
        <f t="shared" si="2"/>
        <v>7</v>
      </c>
      <c r="G137" s="1"/>
    </row>
    <row r="138" spans="1:7" x14ac:dyDescent="0.25">
      <c r="A138" s="4" t="s">
        <v>434</v>
      </c>
      <c r="B138" s="5" t="s">
        <v>590</v>
      </c>
      <c r="C138" s="5">
        <v>1</v>
      </c>
      <c r="D138">
        <f t="shared" si="2"/>
        <v>7</v>
      </c>
      <c r="G138" s="1"/>
    </row>
    <row r="139" spans="1:7" x14ac:dyDescent="0.25">
      <c r="A139" s="3" t="s">
        <v>434</v>
      </c>
      <c r="B139" s="6" t="s">
        <v>591</v>
      </c>
      <c r="C139" s="6">
        <v>3</v>
      </c>
      <c r="D139">
        <f t="shared" si="2"/>
        <v>7</v>
      </c>
      <c r="G139" s="1"/>
    </row>
    <row r="140" spans="1:7" x14ac:dyDescent="0.25">
      <c r="A140" s="4" t="s">
        <v>434</v>
      </c>
      <c r="B140" s="5" t="s">
        <v>592</v>
      </c>
      <c r="C140" s="5">
        <v>0</v>
      </c>
      <c r="D140">
        <f t="shared" si="2"/>
        <v>7</v>
      </c>
      <c r="G140" s="1"/>
    </row>
    <row r="141" spans="1:7" x14ac:dyDescent="0.25">
      <c r="A141" s="3" t="s">
        <v>434</v>
      </c>
      <c r="B141" s="6" t="s">
        <v>593</v>
      </c>
      <c r="C141" s="6">
        <v>0</v>
      </c>
      <c r="D141">
        <f t="shared" si="2"/>
        <v>7</v>
      </c>
      <c r="G141" s="1"/>
    </row>
    <row r="142" spans="1:7" x14ac:dyDescent="0.25">
      <c r="A142" s="4" t="s">
        <v>435</v>
      </c>
      <c r="B142" s="5" t="s">
        <v>574</v>
      </c>
      <c r="C142" s="5">
        <v>0</v>
      </c>
      <c r="D142">
        <f t="shared" si="2"/>
        <v>8</v>
      </c>
      <c r="G142" s="1"/>
    </row>
    <row r="143" spans="1:7" x14ac:dyDescent="0.25">
      <c r="A143" s="3" t="s">
        <v>435</v>
      </c>
      <c r="B143" s="6" t="s">
        <v>575</v>
      </c>
      <c r="C143" s="6">
        <v>0</v>
      </c>
      <c r="D143">
        <f t="shared" si="2"/>
        <v>8</v>
      </c>
      <c r="G143" s="1"/>
    </row>
    <row r="144" spans="1:7" x14ac:dyDescent="0.25">
      <c r="A144" s="4" t="s">
        <v>435</v>
      </c>
      <c r="B144" s="5" t="s">
        <v>576</v>
      </c>
      <c r="C144" s="5">
        <v>0</v>
      </c>
      <c r="D144">
        <f t="shared" si="2"/>
        <v>8</v>
      </c>
      <c r="G144" s="1"/>
    </row>
    <row r="145" spans="1:7" x14ac:dyDescent="0.25">
      <c r="A145" s="3" t="s">
        <v>435</v>
      </c>
      <c r="B145" s="6" t="s">
        <v>577</v>
      </c>
      <c r="C145" s="6">
        <v>0</v>
      </c>
      <c r="D145">
        <f t="shared" si="2"/>
        <v>8</v>
      </c>
      <c r="G145" s="1"/>
    </row>
    <row r="146" spans="1:7" x14ac:dyDescent="0.25">
      <c r="A146" s="4" t="s">
        <v>435</v>
      </c>
      <c r="B146" s="5" t="s">
        <v>578</v>
      </c>
      <c r="C146" s="5">
        <v>0</v>
      </c>
      <c r="D146">
        <f t="shared" si="2"/>
        <v>8</v>
      </c>
      <c r="G146" s="1"/>
    </row>
    <row r="147" spans="1:7" x14ac:dyDescent="0.25">
      <c r="A147" s="3" t="s">
        <v>435</v>
      </c>
      <c r="B147" s="6" t="s">
        <v>579</v>
      </c>
      <c r="C147" s="6">
        <v>1.5</v>
      </c>
      <c r="D147">
        <f t="shared" si="2"/>
        <v>8</v>
      </c>
      <c r="G147" s="1"/>
    </row>
    <row r="148" spans="1:7" x14ac:dyDescent="0.25">
      <c r="A148" s="4" t="s">
        <v>435</v>
      </c>
      <c r="B148" s="5" t="s">
        <v>580</v>
      </c>
      <c r="C148" s="5">
        <v>17.4145</v>
      </c>
      <c r="D148">
        <f t="shared" si="2"/>
        <v>8</v>
      </c>
      <c r="G148" s="1"/>
    </row>
    <row r="149" spans="1:7" x14ac:dyDescent="0.25">
      <c r="A149" s="3" t="s">
        <v>435</v>
      </c>
      <c r="B149" s="6" t="s">
        <v>581</v>
      </c>
      <c r="C149" s="6">
        <v>2.2000000000000001E-3</v>
      </c>
      <c r="D149">
        <f t="shared" si="2"/>
        <v>8</v>
      </c>
      <c r="G149" s="1"/>
    </row>
    <row r="150" spans="1:7" x14ac:dyDescent="0.25">
      <c r="A150" s="4" t="s">
        <v>435</v>
      </c>
      <c r="B150" s="5" t="s">
        <v>582</v>
      </c>
      <c r="C150" s="5">
        <v>5</v>
      </c>
      <c r="D150">
        <f t="shared" si="2"/>
        <v>8</v>
      </c>
      <c r="G150" s="1"/>
    </row>
    <row r="151" spans="1:7" x14ac:dyDescent="0.25">
      <c r="A151" s="3" t="s">
        <v>435</v>
      </c>
      <c r="B151" s="6" t="s">
        <v>583</v>
      </c>
      <c r="C151" s="6">
        <v>5</v>
      </c>
      <c r="D151">
        <f t="shared" si="2"/>
        <v>8</v>
      </c>
      <c r="G151" s="1"/>
    </row>
    <row r="152" spans="1:7" x14ac:dyDescent="0.25">
      <c r="A152" s="4" t="s">
        <v>435</v>
      </c>
      <c r="B152" s="5" t="s">
        <v>584</v>
      </c>
      <c r="C152" s="5">
        <v>11.6096</v>
      </c>
      <c r="D152">
        <f t="shared" si="2"/>
        <v>8</v>
      </c>
      <c r="G152" s="1"/>
    </row>
    <row r="153" spans="1:7" x14ac:dyDescent="0.25">
      <c r="A153" s="3" t="s">
        <v>435</v>
      </c>
      <c r="B153" s="6" t="s">
        <v>585</v>
      </c>
      <c r="C153" s="6">
        <v>10</v>
      </c>
      <c r="D153">
        <f t="shared" si="2"/>
        <v>8</v>
      </c>
      <c r="G153" s="1"/>
    </row>
    <row r="154" spans="1:7" x14ac:dyDescent="0.25">
      <c r="A154" s="4" t="s">
        <v>435</v>
      </c>
      <c r="B154" s="5" t="s">
        <v>586</v>
      </c>
      <c r="C154" s="5">
        <v>1</v>
      </c>
      <c r="D154">
        <f t="shared" si="2"/>
        <v>8</v>
      </c>
      <c r="G154" s="1"/>
    </row>
    <row r="155" spans="1:7" x14ac:dyDescent="0.25">
      <c r="A155" s="3" t="s">
        <v>435</v>
      </c>
      <c r="B155" s="6" t="s">
        <v>587</v>
      </c>
      <c r="C155" s="6">
        <v>0</v>
      </c>
      <c r="D155">
        <f t="shared" si="2"/>
        <v>8</v>
      </c>
      <c r="G155" s="1"/>
    </row>
    <row r="156" spans="1:7" x14ac:dyDescent="0.25">
      <c r="A156" s="4" t="s">
        <v>435</v>
      </c>
      <c r="B156" s="5" t="s">
        <v>588</v>
      </c>
      <c r="C156" s="5">
        <v>70.894199999999998</v>
      </c>
      <c r="D156">
        <f t="shared" si="2"/>
        <v>8</v>
      </c>
      <c r="G156" s="1"/>
    </row>
    <row r="157" spans="1:7" x14ac:dyDescent="0.25">
      <c r="A157" s="3" t="s">
        <v>435</v>
      </c>
      <c r="B157" s="6" t="s">
        <v>589</v>
      </c>
      <c r="C157" s="6">
        <v>0</v>
      </c>
      <c r="D157">
        <f t="shared" si="2"/>
        <v>8</v>
      </c>
      <c r="G157" s="1"/>
    </row>
    <row r="158" spans="1:7" x14ac:dyDescent="0.25">
      <c r="A158" s="4" t="s">
        <v>435</v>
      </c>
      <c r="B158" s="5" t="s">
        <v>590</v>
      </c>
      <c r="C158" s="5">
        <v>1</v>
      </c>
      <c r="D158">
        <f t="shared" si="2"/>
        <v>8</v>
      </c>
      <c r="G158" s="1"/>
    </row>
    <row r="159" spans="1:7" x14ac:dyDescent="0.25">
      <c r="A159" s="3" t="s">
        <v>435</v>
      </c>
      <c r="B159" s="6" t="s">
        <v>591</v>
      </c>
      <c r="C159" s="6">
        <v>1</v>
      </c>
      <c r="D159">
        <f t="shared" si="2"/>
        <v>8</v>
      </c>
      <c r="G159" s="1"/>
    </row>
    <row r="160" spans="1:7" x14ac:dyDescent="0.25">
      <c r="A160" s="4" t="s">
        <v>435</v>
      </c>
      <c r="B160" s="5" t="s">
        <v>592</v>
      </c>
      <c r="C160" s="5">
        <v>0</v>
      </c>
      <c r="D160">
        <f t="shared" si="2"/>
        <v>8</v>
      </c>
      <c r="G160" s="1"/>
    </row>
    <row r="161" spans="1:7" x14ac:dyDescent="0.25">
      <c r="A161" s="3" t="s">
        <v>435</v>
      </c>
      <c r="B161" s="6" t="s">
        <v>593</v>
      </c>
      <c r="C161" s="6">
        <v>0</v>
      </c>
      <c r="D161">
        <f t="shared" si="2"/>
        <v>8</v>
      </c>
      <c r="G161" s="1"/>
    </row>
    <row r="162" spans="1:7" x14ac:dyDescent="0.25">
      <c r="A162" s="4" t="s">
        <v>436</v>
      </c>
      <c r="B162" s="5" t="s">
        <v>574</v>
      </c>
      <c r="C162" s="5">
        <v>0</v>
      </c>
      <c r="D162">
        <f t="shared" si="2"/>
        <v>9</v>
      </c>
      <c r="G162" s="1"/>
    </row>
    <row r="163" spans="1:7" x14ac:dyDescent="0.25">
      <c r="A163" s="3" t="s">
        <v>436</v>
      </c>
      <c r="B163" s="6" t="s">
        <v>575</v>
      </c>
      <c r="C163" s="6">
        <v>0</v>
      </c>
      <c r="D163">
        <f t="shared" si="2"/>
        <v>9</v>
      </c>
      <c r="G163" s="1"/>
    </row>
    <row r="164" spans="1:7" x14ac:dyDescent="0.25">
      <c r="A164" s="4" t="s">
        <v>436</v>
      </c>
      <c r="B164" s="5" t="s">
        <v>576</v>
      </c>
      <c r="C164" s="5">
        <v>0</v>
      </c>
      <c r="D164">
        <f t="shared" si="2"/>
        <v>9</v>
      </c>
      <c r="G164" s="1"/>
    </row>
    <row r="165" spans="1:7" x14ac:dyDescent="0.25">
      <c r="A165" s="3" t="s">
        <v>436</v>
      </c>
      <c r="B165" s="6" t="s">
        <v>577</v>
      </c>
      <c r="C165" s="6">
        <v>0</v>
      </c>
      <c r="D165">
        <f t="shared" si="2"/>
        <v>9</v>
      </c>
      <c r="G165" s="1"/>
    </row>
    <row r="166" spans="1:7" x14ac:dyDescent="0.25">
      <c r="A166" s="4" t="s">
        <v>436</v>
      </c>
      <c r="B166" s="5" t="s">
        <v>578</v>
      </c>
      <c r="C166" s="5">
        <v>0</v>
      </c>
      <c r="D166">
        <f t="shared" si="2"/>
        <v>9</v>
      </c>
      <c r="G166" s="1"/>
    </row>
    <row r="167" spans="1:7" x14ac:dyDescent="0.25">
      <c r="A167" s="3" t="s">
        <v>436</v>
      </c>
      <c r="B167" s="6" t="s">
        <v>579</v>
      </c>
      <c r="C167" s="6">
        <v>0</v>
      </c>
      <c r="D167">
        <f t="shared" si="2"/>
        <v>9</v>
      </c>
      <c r="G167" s="1"/>
    </row>
    <row r="168" spans="1:7" x14ac:dyDescent="0.25">
      <c r="A168" s="4" t="s">
        <v>436</v>
      </c>
      <c r="B168" s="5" t="s">
        <v>580</v>
      </c>
      <c r="C168" s="5" t="s">
        <v>627</v>
      </c>
      <c r="D168">
        <f t="shared" si="2"/>
        <v>9</v>
      </c>
      <c r="G168" s="1"/>
    </row>
    <row r="169" spans="1:7" x14ac:dyDescent="0.25">
      <c r="A169" s="3" t="s">
        <v>436</v>
      </c>
      <c r="B169" s="6" t="s">
        <v>581</v>
      </c>
      <c r="C169" s="6" t="s">
        <v>627</v>
      </c>
      <c r="D169">
        <f t="shared" si="2"/>
        <v>9</v>
      </c>
      <c r="G169" s="1"/>
    </row>
    <row r="170" spans="1:7" x14ac:dyDescent="0.25">
      <c r="A170" s="4" t="s">
        <v>436</v>
      </c>
      <c r="B170" s="5" t="s">
        <v>582</v>
      </c>
      <c r="C170" s="5">
        <v>0</v>
      </c>
      <c r="D170">
        <f t="shared" si="2"/>
        <v>9</v>
      </c>
      <c r="G170" s="1"/>
    </row>
    <row r="171" spans="1:7" x14ac:dyDescent="0.25">
      <c r="A171" s="3" t="s">
        <v>436</v>
      </c>
      <c r="B171" s="6" t="s">
        <v>583</v>
      </c>
      <c r="C171" s="6">
        <v>0</v>
      </c>
      <c r="D171">
        <f t="shared" si="2"/>
        <v>9</v>
      </c>
      <c r="G171" s="1"/>
    </row>
    <row r="172" spans="1:7" x14ac:dyDescent="0.25">
      <c r="A172" s="4" t="s">
        <v>436</v>
      </c>
      <c r="B172" s="5" t="s">
        <v>584</v>
      </c>
      <c r="C172" s="5" t="s">
        <v>627</v>
      </c>
      <c r="D172">
        <f t="shared" si="2"/>
        <v>9</v>
      </c>
      <c r="G172" s="1"/>
    </row>
    <row r="173" spans="1:7" x14ac:dyDescent="0.25">
      <c r="A173" s="3" t="s">
        <v>436</v>
      </c>
      <c r="B173" s="6" t="s">
        <v>585</v>
      </c>
      <c r="C173" s="6">
        <v>0</v>
      </c>
      <c r="D173">
        <f t="shared" si="2"/>
        <v>9</v>
      </c>
      <c r="G173" s="1"/>
    </row>
    <row r="174" spans="1:7" x14ac:dyDescent="0.25">
      <c r="A174" s="4" t="s">
        <v>436</v>
      </c>
      <c r="B174" s="5" t="s">
        <v>586</v>
      </c>
      <c r="C174" s="5">
        <v>0</v>
      </c>
      <c r="D174">
        <f t="shared" si="2"/>
        <v>9</v>
      </c>
      <c r="G174" s="1"/>
    </row>
    <row r="175" spans="1:7" x14ac:dyDescent="0.25">
      <c r="A175" s="3" t="s">
        <v>436</v>
      </c>
      <c r="B175" s="6" t="s">
        <v>587</v>
      </c>
      <c r="C175" s="6">
        <v>0</v>
      </c>
      <c r="D175">
        <f t="shared" si="2"/>
        <v>9</v>
      </c>
      <c r="G175" s="1"/>
    </row>
    <row r="176" spans="1:7" x14ac:dyDescent="0.25">
      <c r="A176" s="4" t="s">
        <v>436</v>
      </c>
      <c r="B176" s="5" t="s">
        <v>588</v>
      </c>
      <c r="C176" s="5">
        <v>0</v>
      </c>
      <c r="D176">
        <f t="shared" si="2"/>
        <v>9</v>
      </c>
      <c r="G176" s="1"/>
    </row>
    <row r="177" spans="1:7" x14ac:dyDescent="0.25">
      <c r="A177" s="3" t="s">
        <v>436</v>
      </c>
      <c r="B177" s="6" t="s">
        <v>589</v>
      </c>
      <c r="C177" s="6">
        <v>-1</v>
      </c>
      <c r="D177">
        <f t="shared" si="2"/>
        <v>9</v>
      </c>
      <c r="G177" s="1"/>
    </row>
    <row r="178" spans="1:7" x14ac:dyDescent="0.25">
      <c r="A178" s="4" t="s">
        <v>436</v>
      </c>
      <c r="B178" s="5" t="s">
        <v>590</v>
      </c>
      <c r="C178" s="5">
        <v>1</v>
      </c>
      <c r="D178">
        <f t="shared" si="2"/>
        <v>9</v>
      </c>
      <c r="G178" s="1"/>
    </row>
    <row r="179" spans="1:7" x14ac:dyDescent="0.25">
      <c r="A179" s="3" t="s">
        <v>436</v>
      </c>
      <c r="B179" s="6" t="s">
        <v>591</v>
      </c>
      <c r="C179" s="6">
        <v>0</v>
      </c>
      <c r="D179">
        <f t="shared" si="2"/>
        <v>9</v>
      </c>
      <c r="G179" s="1"/>
    </row>
    <row r="180" spans="1:7" x14ac:dyDescent="0.25">
      <c r="A180" s="4" t="s">
        <v>436</v>
      </c>
      <c r="B180" s="5" t="s">
        <v>592</v>
      </c>
      <c r="C180" s="5">
        <v>0</v>
      </c>
      <c r="D180">
        <f t="shared" si="2"/>
        <v>9</v>
      </c>
      <c r="G180" s="1"/>
    </row>
    <row r="181" spans="1:7" x14ac:dyDescent="0.25">
      <c r="A181" s="3" t="s">
        <v>436</v>
      </c>
      <c r="B181" s="6" t="s">
        <v>593</v>
      </c>
      <c r="C181" s="6">
        <v>1</v>
      </c>
      <c r="D181">
        <f t="shared" si="2"/>
        <v>9</v>
      </c>
      <c r="G181" s="1"/>
    </row>
    <row r="182" spans="1:7" x14ac:dyDescent="0.25">
      <c r="A182" s="4" t="s">
        <v>437</v>
      </c>
      <c r="B182" s="5" t="s">
        <v>574</v>
      </c>
      <c r="C182" s="5">
        <v>0</v>
      </c>
      <c r="D182">
        <f t="shared" si="2"/>
        <v>10</v>
      </c>
      <c r="G182" s="1"/>
    </row>
    <row r="183" spans="1:7" x14ac:dyDescent="0.25">
      <c r="A183" s="3" t="s">
        <v>437</v>
      </c>
      <c r="B183" s="6" t="s">
        <v>575</v>
      </c>
      <c r="C183" s="6">
        <v>0</v>
      </c>
      <c r="D183">
        <f t="shared" si="2"/>
        <v>10</v>
      </c>
      <c r="G183" s="1"/>
    </row>
    <row r="184" spans="1:7" x14ac:dyDescent="0.25">
      <c r="A184" s="4" t="s">
        <v>437</v>
      </c>
      <c r="B184" s="5" t="s">
        <v>576</v>
      </c>
      <c r="C184" s="5">
        <v>0</v>
      </c>
      <c r="D184">
        <f t="shared" si="2"/>
        <v>10</v>
      </c>
      <c r="G184" s="1"/>
    </row>
    <row r="185" spans="1:7" x14ac:dyDescent="0.25">
      <c r="A185" s="3" t="s">
        <v>437</v>
      </c>
      <c r="B185" s="6" t="s">
        <v>577</v>
      </c>
      <c r="C185" s="6">
        <v>0</v>
      </c>
      <c r="D185">
        <f t="shared" si="2"/>
        <v>10</v>
      </c>
      <c r="G185" s="1"/>
    </row>
    <row r="186" spans="1:7" x14ac:dyDescent="0.25">
      <c r="A186" s="4" t="s">
        <v>437</v>
      </c>
      <c r="B186" s="5" t="s">
        <v>578</v>
      </c>
      <c r="C186" s="5">
        <v>0</v>
      </c>
      <c r="D186">
        <f t="shared" si="2"/>
        <v>10</v>
      </c>
      <c r="G186" s="1"/>
    </row>
    <row r="187" spans="1:7" x14ac:dyDescent="0.25">
      <c r="A187" s="3" t="s">
        <v>437</v>
      </c>
      <c r="B187" s="6" t="s">
        <v>579</v>
      </c>
      <c r="C187" s="6">
        <v>0</v>
      </c>
      <c r="D187">
        <f t="shared" si="2"/>
        <v>10</v>
      </c>
      <c r="G187" s="1"/>
    </row>
    <row r="188" spans="1:7" x14ac:dyDescent="0.25">
      <c r="A188" s="4" t="s">
        <v>437</v>
      </c>
      <c r="B188" s="5" t="s">
        <v>580</v>
      </c>
      <c r="C188" s="5" t="s">
        <v>627</v>
      </c>
      <c r="D188">
        <f t="shared" si="2"/>
        <v>10</v>
      </c>
      <c r="G188" s="1"/>
    </row>
    <row r="189" spans="1:7" x14ac:dyDescent="0.25">
      <c r="A189" s="3" t="s">
        <v>437</v>
      </c>
      <c r="B189" s="6" t="s">
        <v>581</v>
      </c>
      <c r="C189" s="6" t="s">
        <v>627</v>
      </c>
      <c r="D189">
        <f t="shared" si="2"/>
        <v>10</v>
      </c>
      <c r="G189" s="1"/>
    </row>
    <row r="190" spans="1:7" x14ac:dyDescent="0.25">
      <c r="A190" s="4" t="s">
        <v>437</v>
      </c>
      <c r="B190" s="5" t="s">
        <v>582</v>
      </c>
      <c r="C190" s="5">
        <v>0</v>
      </c>
      <c r="D190">
        <f t="shared" si="2"/>
        <v>10</v>
      </c>
      <c r="G190" s="1"/>
    </row>
    <row r="191" spans="1:7" x14ac:dyDescent="0.25">
      <c r="A191" s="3" t="s">
        <v>437</v>
      </c>
      <c r="B191" s="6" t="s">
        <v>583</v>
      </c>
      <c r="C191" s="6">
        <v>0</v>
      </c>
      <c r="D191">
        <f t="shared" si="2"/>
        <v>10</v>
      </c>
      <c r="G191" s="1"/>
    </row>
    <row r="192" spans="1:7" x14ac:dyDescent="0.25">
      <c r="A192" s="4" t="s">
        <v>437</v>
      </c>
      <c r="B192" s="5" t="s">
        <v>584</v>
      </c>
      <c r="C192" s="5" t="s">
        <v>627</v>
      </c>
      <c r="D192">
        <f t="shared" si="2"/>
        <v>10</v>
      </c>
      <c r="G192" s="1"/>
    </row>
    <row r="193" spans="1:7" x14ac:dyDescent="0.25">
      <c r="A193" s="3" t="s">
        <v>437</v>
      </c>
      <c r="B193" s="6" t="s">
        <v>585</v>
      </c>
      <c r="C193" s="6">
        <v>0</v>
      </c>
      <c r="D193">
        <f t="shared" si="2"/>
        <v>10</v>
      </c>
      <c r="G193" s="1"/>
    </row>
    <row r="194" spans="1:7" x14ac:dyDescent="0.25">
      <c r="A194" s="4" t="s">
        <v>437</v>
      </c>
      <c r="B194" s="5" t="s">
        <v>586</v>
      </c>
      <c r="C194" s="5">
        <v>0</v>
      </c>
      <c r="D194">
        <f t="shared" si="2"/>
        <v>10</v>
      </c>
      <c r="G194" s="1"/>
    </row>
    <row r="195" spans="1:7" x14ac:dyDescent="0.25">
      <c r="A195" s="3" t="s">
        <v>437</v>
      </c>
      <c r="B195" s="6" t="s">
        <v>587</v>
      </c>
      <c r="C195" s="6">
        <v>0</v>
      </c>
      <c r="D195">
        <f t="shared" si="2"/>
        <v>10</v>
      </c>
      <c r="G195" s="1"/>
    </row>
    <row r="196" spans="1:7" x14ac:dyDescent="0.25">
      <c r="A196" s="4" t="s">
        <v>437</v>
      </c>
      <c r="B196" s="5" t="s">
        <v>588</v>
      </c>
      <c r="C196" s="5">
        <v>0</v>
      </c>
      <c r="D196">
        <f t="shared" ref="D196:D259" si="3">IF(B196="CCM", D195+1, D195)</f>
        <v>10</v>
      </c>
      <c r="G196" s="1"/>
    </row>
    <row r="197" spans="1:7" x14ac:dyDescent="0.25">
      <c r="A197" s="3" t="s">
        <v>437</v>
      </c>
      <c r="B197" s="6" t="s">
        <v>589</v>
      </c>
      <c r="C197" s="6">
        <v>-1</v>
      </c>
      <c r="D197">
        <f t="shared" si="3"/>
        <v>10</v>
      </c>
      <c r="G197" s="1"/>
    </row>
    <row r="198" spans="1:7" x14ac:dyDescent="0.25">
      <c r="A198" s="4" t="s">
        <v>437</v>
      </c>
      <c r="B198" s="5" t="s">
        <v>590</v>
      </c>
      <c r="C198" s="5">
        <v>1</v>
      </c>
      <c r="D198">
        <f t="shared" si="3"/>
        <v>10</v>
      </c>
      <c r="G198" s="1"/>
    </row>
    <row r="199" spans="1:7" x14ac:dyDescent="0.25">
      <c r="A199" s="3" t="s">
        <v>437</v>
      </c>
      <c r="B199" s="6" t="s">
        <v>591</v>
      </c>
      <c r="C199" s="6">
        <v>0</v>
      </c>
      <c r="D199">
        <f t="shared" si="3"/>
        <v>10</v>
      </c>
      <c r="G199" s="1"/>
    </row>
    <row r="200" spans="1:7" x14ac:dyDescent="0.25">
      <c r="A200" s="4" t="s">
        <v>437</v>
      </c>
      <c r="B200" s="5" t="s">
        <v>592</v>
      </c>
      <c r="C200" s="5">
        <v>0</v>
      </c>
      <c r="D200">
        <f t="shared" si="3"/>
        <v>10</v>
      </c>
      <c r="G200" s="1"/>
    </row>
    <row r="201" spans="1:7" x14ac:dyDescent="0.25">
      <c r="A201" s="3" t="s">
        <v>437</v>
      </c>
      <c r="B201" s="6" t="s">
        <v>593</v>
      </c>
      <c r="C201" s="6">
        <v>0</v>
      </c>
      <c r="D201">
        <f t="shared" si="3"/>
        <v>10</v>
      </c>
      <c r="G201" s="1"/>
    </row>
    <row r="202" spans="1:7" x14ac:dyDescent="0.25">
      <c r="A202" s="4" t="s">
        <v>438</v>
      </c>
      <c r="B202" s="5" t="s">
        <v>574</v>
      </c>
      <c r="C202" s="5">
        <v>0</v>
      </c>
      <c r="D202">
        <f t="shared" si="3"/>
        <v>11</v>
      </c>
      <c r="G202" s="1"/>
    </row>
    <row r="203" spans="1:7" x14ac:dyDescent="0.25">
      <c r="A203" s="3" t="s">
        <v>438</v>
      </c>
      <c r="B203" s="6" t="s">
        <v>575</v>
      </c>
      <c r="C203" s="6">
        <v>0</v>
      </c>
      <c r="D203">
        <f t="shared" si="3"/>
        <v>11</v>
      </c>
      <c r="G203" s="1"/>
    </row>
    <row r="204" spans="1:7" x14ac:dyDescent="0.25">
      <c r="A204" s="4" t="s">
        <v>438</v>
      </c>
      <c r="B204" s="5" t="s">
        <v>576</v>
      </c>
      <c r="C204" s="5">
        <v>0</v>
      </c>
      <c r="D204">
        <f t="shared" si="3"/>
        <v>11</v>
      </c>
      <c r="G204" s="1"/>
    </row>
    <row r="205" spans="1:7" x14ac:dyDescent="0.25">
      <c r="A205" s="3" t="s">
        <v>438</v>
      </c>
      <c r="B205" s="6" t="s">
        <v>577</v>
      </c>
      <c r="C205" s="6">
        <v>0</v>
      </c>
      <c r="D205">
        <f t="shared" si="3"/>
        <v>11</v>
      </c>
      <c r="G205" s="1"/>
    </row>
    <row r="206" spans="1:7" x14ac:dyDescent="0.25">
      <c r="A206" s="4" t="s">
        <v>438</v>
      </c>
      <c r="B206" s="5" t="s">
        <v>578</v>
      </c>
      <c r="C206" s="5">
        <v>0</v>
      </c>
      <c r="D206">
        <f t="shared" si="3"/>
        <v>11</v>
      </c>
      <c r="G206" s="1"/>
    </row>
    <row r="207" spans="1:7" x14ac:dyDescent="0.25">
      <c r="A207" s="3" t="s">
        <v>438</v>
      </c>
      <c r="B207" s="6" t="s">
        <v>579</v>
      </c>
      <c r="C207" s="6">
        <v>1</v>
      </c>
      <c r="D207">
        <f t="shared" si="3"/>
        <v>11</v>
      </c>
      <c r="G207" s="1"/>
    </row>
    <row r="208" spans="1:7" x14ac:dyDescent="0.25">
      <c r="A208" s="4" t="s">
        <v>438</v>
      </c>
      <c r="B208" s="5" t="s">
        <v>580</v>
      </c>
      <c r="C208" s="5">
        <v>4.7549000000000001</v>
      </c>
      <c r="D208">
        <f t="shared" si="3"/>
        <v>11</v>
      </c>
      <c r="G208" s="1"/>
    </row>
    <row r="209" spans="1:7" x14ac:dyDescent="0.25">
      <c r="A209" s="3" t="s">
        <v>438</v>
      </c>
      <c r="B209" s="6" t="s">
        <v>581</v>
      </c>
      <c r="C209" s="6">
        <v>8.9999999999999998E-4</v>
      </c>
      <c r="D209">
        <f t="shared" si="3"/>
        <v>11</v>
      </c>
      <c r="G209" s="1"/>
    </row>
    <row r="210" spans="1:7" x14ac:dyDescent="0.25">
      <c r="A210" s="4" t="s">
        <v>438</v>
      </c>
      <c r="B210" s="5" t="s">
        <v>582</v>
      </c>
      <c r="C210" s="5">
        <v>3</v>
      </c>
      <c r="D210">
        <f t="shared" si="3"/>
        <v>11</v>
      </c>
      <c r="G210" s="1"/>
    </row>
    <row r="211" spans="1:7" x14ac:dyDescent="0.25">
      <c r="A211" s="3" t="s">
        <v>438</v>
      </c>
      <c r="B211" s="6" t="s">
        <v>583</v>
      </c>
      <c r="C211" s="6">
        <v>3</v>
      </c>
      <c r="D211">
        <f t="shared" si="3"/>
        <v>11</v>
      </c>
      <c r="G211" s="1"/>
    </row>
    <row r="212" spans="1:7" x14ac:dyDescent="0.25">
      <c r="A212" s="4" t="s">
        <v>438</v>
      </c>
      <c r="B212" s="5" t="s">
        <v>584</v>
      </c>
      <c r="C212" s="5">
        <v>4.7549000000000001</v>
      </c>
      <c r="D212">
        <f t="shared" si="3"/>
        <v>11</v>
      </c>
      <c r="G212" s="1"/>
    </row>
    <row r="213" spans="1:7" x14ac:dyDescent="0.25">
      <c r="A213" s="3" t="s">
        <v>438</v>
      </c>
      <c r="B213" s="6" t="s">
        <v>585</v>
      </c>
      <c r="C213" s="6">
        <v>7</v>
      </c>
      <c r="D213">
        <f t="shared" si="3"/>
        <v>11</v>
      </c>
      <c r="G213" s="1"/>
    </row>
    <row r="214" spans="1:7" x14ac:dyDescent="0.25">
      <c r="A214" s="4" t="s">
        <v>438</v>
      </c>
      <c r="B214" s="5" t="s">
        <v>586</v>
      </c>
      <c r="C214" s="5">
        <v>1</v>
      </c>
      <c r="D214">
        <f t="shared" si="3"/>
        <v>11</v>
      </c>
      <c r="G214" s="1"/>
    </row>
    <row r="215" spans="1:7" x14ac:dyDescent="0.25">
      <c r="A215" s="3" t="s">
        <v>438</v>
      </c>
      <c r="B215" s="6" t="s">
        <v>587</v>
      </c>
      <c r="C215" s="6">
        <v>0</v>
      </c>
      <c r="D215">
        <f t="shared" si="3"/>
        <v>11</v>
      </c>
      <c r="G215" s="1"/>
    </row>
    <row r="216" spans="1:7" x14ac:dyDescent="0.25">
      <c r="A216" s="4" t="s">
        <v>438</v>
      </c>
      <c r="B216" s="5" t="s">
        <v>588</v>
      </c>
      <c r="C216" s="5">
        <v>77.349400000000003</v>
      </c>
      <c r="D216">
        <f t="shared" si="3"/>
        <v>11</v>
      </c>
      <c r="G216" s="1"/>
    </row>
    <row r="217" spans="1:7" x14ac:dyDescent="0.25">
      <c r="A217" s="3" t="s">
        <v>438</v>
      </c>
      <c r="B217" s="6" t="s">
        <v>589</v>
      </c>
      <c r="C217" s="6">
        <v>0</v>
      </c>
      <c r="D217">
        <f t="shared" si="3"/>
        <v>11</v>
      </c>
      <c r="G217" s="1"/>
    </row>
    <row r="218" spans="1:7" x14ac:dyDescent="0.25">
      <c r="A218" s="4" t="s">
        <v>438</v>
      </c>
      <c r="B218" s="5" t="s">
        <v>590</v>
      </c>
      <c r="C218" s="5">
        <v>1</v>
      </c>
      <c r="D218">
        <f t="shared" si="3"/>
        <v>11</v>
      </c>
      <c r="G218" s="1"/>
    </row>
    <row r="219" spans="1:7" x14ac:dyDescent="0.25">
      <c r="A219" s="3" t="s">
        <v>438</v>
      </c>
      <c r="B219" s="6" t="s">
        <v>591</v>
      </c>
      <c r="C219" s="6">
        <v>1</v>
      </c>
      <c r="D219">
        <f t="shared" si="3"/>
        <v>11</v>
      </c>
      <c r="G219" s="1"/>
    </row>
    <row r="220" spans="1:7" x14ac:dyDescent="0.25">
      <c r="A220" s="4" t="s">
        <v>438</v>
      </c>
      <c r="B220" s="5" t="s">
        <v>592</v>
      </c>
      <c r="C220" s="5">
        <v>0</v>
      </c>
      <c r="D220">
        <f t="shared" si="3"/>
        <v>11</v>
      </c>
      <c r="G220" s="1"/>
    </row>
    <row r="221" spans="1:7" x14ac:dyDescent="0.25">
      <c r="A221" s="3" t="s">
        <v>438</v>
      </c>
      <c r="B221" s="6" t="s">
        <v>593</v>
      </c>
      <c r="C221" s="6">
        <v>0</v>
      </c>
      <c r="D221">
        <f t="shared" si="3"/>
        <v>11</v>
      </c>
      <c r="G221" s="1"/>
    </row>
    <row r="222" spans="1:7" x14ac:dyDescent="0.25">
      <c r="A222" s="4" t="s">
        <v>439</v>
      </c>
      <c r="B222" s="5" t="s">
        <v>574</v>
      </c>
      <c r="C222" s="5">
        <v>3</v>
      </c>
      <c r="D222">
        <f t="shared" si="3"/>
        <v>12</v>
      </c>
      <c r="G222" s="1"/>
    </row>
    <row r="223" spans="1:7" x14ac:dyDescent="0.25">
      <c r="A223" s="3" t="s">
        <v>439</v>
      </c>
      <c r="B223" s="6" t="s">
        <v>575</v>
      </c>
      <c r="C223" s="6">
        <v>1</v>
      </c>
      <c r="D223">
        <f t="shared" si="3"/>
        <v>12</v>
      </c>
      <c r="G223" s="1"/>
    </row>
    <row r="224" spans="1:7" x14ac:dyDescent="0.25">
      <c r="A224" s="4" t="s">
        <v>439</v>
      </c>
      <c r="B224" s="5" t="s">
        <v>576</v>
      </c>
      <c r="C224" s="5">
        <v>0.5</v>
      </c>
      <c r="D224">
        <f t="shared" si="3"/>
        <v>12</v>
      </c>
      <c r="G224" s="1"/>
    </row>
    <row r="225" spans="1:7" x14ac:dyDescent="0.25">
      <c r="A225" s="3" t="s">
        <v>439</v>
      </c>
      <c r="B225" s="6" t="s">
        <v>577</v>
      </c>
      <c r="C225" s="6">
        <v>3</v>
      </c>
      <c r="D225">
        <f t="shared" si="3"/>
        <v>12</v>
      </c>
      <c r="G225" s="1"/>
    </row>
    <row r="226" spans="1:7" x14ac:dyDescent="0.25">
      <c r="A226" s="4" t="s">
        <v>439</v>
      </c>
      <c r="B226" s="5" t="s">
        <v>578</v>
      </c>
      <c r="C226" s="5">
        <v>0</v>
      </c>
      <c r="D226">
        <f t="shared" si="3"/>
        <v>12</v>
      </c>
      <c r="G226" s="1"/>
    </row>
    <row r="227" spans="1:7" x14ac:dyDescent="0.25">
      <c r="A227" s="3" t="s">
        <v>439</v>
      </c>
      <c r="B227" s="6" t="s">
        <v>579</v>
      </c>
      <c r="C227" s="6">
        <v>10.2857</v>
      </c>
      <c r="D227">
        <f t="shared" si="3"/>
        <v>12</v>
      </c>
      <c r="G227" s="1"/>
    </row>
    <row r="228" spans="1:7" x14ac:dyDescent="0.25">
      <c r="A228" s="4" t="s">
        <v>439</v>
      </c>
      <c r="B228" s="5" t="s">
        <v>580</v>
      </c>
      <c r="C228" s="5">
        <v>1092.3242</v>
      </c>
      <c r="D228">
        <f t="shared" si="3"/>
        <v>12</v>
      </c>
      <c r="G228" s="1"/>
    </row>
    <row r="229" spans="1:7" x14ac:dyDescent="0.25">
      <c r="A229" s="3" t="s">
        <v>439</v>
      </c>
      <c r="B229" s="6" t="s">
        <v>581</v>
      </c>
      <c r="C229" s="6">
        <v>3.5400000000000001E-2</v>
      </c>
      <c r="D229">
        <f t="shared" si="3"/>
        <v>12</v>
      </c>
      <c r="G229" s="1"/>
    </row>
    <row r="230" spans="1:7" x14ac:dyDescent="0.25">
      <c r="A230" s="4" t="s">
        <v>439</v>
      </c>
      <c r="B230" s="5" t="s">
        <v>582</v>
      </c>
      <c r="C230" s="5">
        <v>25</v>
      </c>
      <c r="D230">
        <f t="shared" si="3"/>
        <v>12</v>
      </c>
      <c r="G230" s="1"/>
    </row>
    <row r="231" spans="1:7" x14ac:dyDescent="0.25">
      <c r="A231" s="3" t="s">
        <v>439</v>
      </c>
      <c r="B231" s="6" t="s">
        <v>583</v>
      </c>
      <c r="C231" s="6">
        <v>19</v>
      </c>
      <c r="D231">
        <f t="shared" si="3"/>
        <v>12</v>
      </c>
      <c r="G231" s="1"/>
    </row>
    <row r="232" spans="1:7" x14ac:dyDescent="0.25">
      <c r="A232" s="4" t="s">
        <v>439</v>
      </c>
      <c r="B232" s="5" t="s">
        <v>584</v>
      </c>
      <c r="C232" s="5">
        <v>106.1982</v>
      </c>
      <c r="D232">
        <f t="shared" si="3"/>
        <v>12</v>
      </c>
      <c r="G232" s="1"/>
    </row>
    <row r="233" spans="1:7" x14ac:dyDescent="0.25">
      <c r="A233" s="3" t="s">
        <v>439</v>
      </c>
      <c r="B233" s="6" t="s">
        <v>585</v>
      </c>
      <c r="C233" s="6">
        <v>23</v>
      </c>
      <c r="D233">
        <f t="shared" si="3"/>
        <v>12</v>
      </c>
      <c r="G233" s="1"/>
    </row>
    <row r="234" spans="1:7" x14ac:dyDescent="0.25">
      <c r="A234" s="4" t="s">
        <v>439</v>
      </c>
      <c r="B234" s="5" t="s">
        <v>586</v>
      </c>
      <c r="C234" s="5">
        <v>0.5</v>
      </c>
      <c r="D234">
        <f t="shared" si="3"/>
        <v>12</v>
      </c>
      <c r="G234" s="1"/>
    </row>
    <row r="235" spans="1:7" x14ac:dyDescent="0.25">
      <c r="A235" s="3" t="s">
        <v>439</v>
      </c>
      <c r="B235" s="6" t="s">
        <v>587</v>
      </c>
      <c r="C235" s="6">
        <v>0</v>
      </c>
      <c r="D235">
        <f t="shared" si="3"/>
        <v>12</v>
      </c>
      <c r="G235" s="1"/>
    </row>
    <row r="236" spans="1:7" x14ac:dyDescent="0.25">
      <c r="A236" s="4" t="s">
        <v>439</v>
      </c>
      <c r="B236" s="5" t="s">
        <v>588</v>
      </c>
      <c r="C236" s="5">
        <v>55.927599999999998</v>
      </c>
      <c r="D236">
        <f t="shared" si="3"/>
        <v>12</v>
      </c>
      <c r="G236" s="1"/>
    </row>
    <row r="237" spans="1:7" x14ac:dyDescent="0.25">
      <c r="A237" s="3" t="s">
        <v>439</v>
      </c>
      <c r="B237" s="6" t="s">
        <v>589</v>
      </c>
      <c r="C237" s="6">
        <v>1</v>
      </c>
      <c r="D237">
        <f t="shared" si="3"/>
        <v>12</v>
      </c>
      <c r="G237" s="1"/>
    </row>
    <row r="238" spans="1:7" x14ac:dyDescent="0.25">
      <c r="A238" s="4" t="s">
        <v>439</v>
      </c>
      <c r="B238" s="5" t="s">
        <v>590</v>
      </c>
      <c r="C238" s="5">
        <v>4</v>
      </c>
      <c r="D238">
        <f t="shared" si="3"/>
        <v>12</v>
      </c>
      <c r="G238" s="1"/>
    </row>
    <row r="239" spans="1:7" x14ac:dyDescent="0.25">
      <c r="A239" s="3" t="s">
        <v>439</v>
      </c>
      <c r="B239" s="6" t="s">
        <v>591</v>
      </c>
      <c r="C239" s="6">
        <v>4</v>
      </c>
      <c r="D239">
        <f t="shared" si="3"/>
        <v>12</v>
      </c>
      <c r="G239" s="1"/>
    </row>
    <row r="240" spans="1:7" x14ac:dyDescent="0.25">
      <c r="A240" s="4" t="s">
        <v>439</v>
      </c>
      <c r="B240" s="5" t="s">
        <v>592</v>
      </c>
      <c r="C240" s="5">
        <v>0</v>
      </c>
      <c r="D240">
        <f t="shared" si="3"/>
        <v>12</v>
      </c>
      <c r="G240" s="1"/>
    </row>
    <row r="241" spans="1:7" x14ac:dyDescent="0.25">
      <c r="A241" s="3" t="s">
        <v>439</v>
      </c>
      <c r="B241" s="6" t="s">
        <v>593</v>
      </c>
      <c r="C241" s="6">
        <v>1</v>
      </c>
      <c r="D241">
        <f t="shared" si="3"/>
        <v>12</v>
      </c>
      <c r="G241" s="1"/>
    </row>
    <row r="242" spans="1:7" x14ac:dyDescent="0.25">
      <c r="A242" s="4" t="s">
        <v>440</v>
      </c>
      <c r="B242" s="5" t="s">
        <v>574</v>
      </c>
      <c r="C242" s="5">
        <v>2</v>
      </c>
      <c r="D242">
        <f t="shared" si="3"/>
        <v>13</v>
      </c>
      <c r="G242" s="1"/>
    </row>
    <row r="243" spans="1:7" x14ac:dyDescent="0.25">
      <c r="A243" s="3" t="s">
        <v>440</v>
      </c>
      <c r="B243" s="6" t="s">
        <v>575</v>
      </c>
      <c r="C243" s="6">
        <v>1</v>
      </c>
      <c r="D243">
        <f t="shared" si="3"/>
        <v>13</v>
      </c>
      <c r="G243" s="1"/>
    </row>
    <row r="244" spans="1:7" x14ac:dyDescent="0.25">
      <c r="A244" s="4" t="s">
        <v>440</v>
      </c>
      <c r="B244" s="5" t="s">
        <v>576</v>
      </c>
      <c r="C244" s="5">
        <v>0.66669999999999996</v>
      </c>
      <c r="D244">
        <f t="shared" si="3"/>
        <v>13</v>
      </c>
      <c r="G244" s="1"/>
    </row>
    <row r="245" spans="1:7" x14ac:dyDescent="0.25">
      <c r="A245" s="3" t="s">
        <v>440</v>
      </c>
      <c r="B245" s="6" t="s">
        <v>577</v>
      </c>
      <c r="C245" s="6">
        <v>3</v>
      </c>
      <c r="D245">
        <f t="shared" si="3"/>
        <v>13</v>
      </c>
      <c r="G245" s="1"/>
    </row>
    <row r="246" spans="1:7" x14ac:dyDescent="0.25">
      <c r="A246" s="4" t="s">
        <v>440</v>
      </c>
      <c r="B246" s="5" t="s">
        <v>578</v>
      </c>
      <c r="C246" s="5">
        <v>0</v>
      </c>
      <c r="D246">
        <f t="shared" si="3"/>
        <v>13</v>
      </c>
      <c r="G246" s="1"/>
    </row>
    <row r="247" spans="1:7" x14ac:dyDescent="0.25">
      <c r="A247" s="3" t="s">
        <v>440</v>
      </c>
      <c r="B247" s="6" t="s">
        <v>579</v>
      </c>
      <c r="C247" s="6">
        <v>10.2143</v>
      </c>
      <c r="D247">
        <f t="shared" si="3"/>
        <v>13</v>
      </c>
      <c r="G247" s="1"/>
    </row>
    <row r="248" spans="1:7" x14ac:dyDescent="0.25">
      <c r="A248" s="4" t="s">
        <v>440</v>
      </c>
      <c r="B248" s="5" t="s">
        <v>580</v>
      </c>
      <c r="C248" s="5">
        <v>1103.6351999999999</v>
      </c>
      <c r="D248">
        <f t="shared" si="3"/>
        <v>13</v>
      </c>
      <c r="G248" s="1"/>
    </row>
    <row r="249" spans="1:7" x14ac:dyDescent="0.25">
      <c r="A249" s="3" t="s">
        <v>440</v>
      </c>
      <c r="B249" s="6" t="s">
        <v>581</v>
      </c>
      <c r="C249" s="6">
        <v>3.56E-2</v>
      </c>
      <c r="D249">
        <f t="shared" si="3"/>
        <v>13</v>
      </c>
      <c r="G249" s="1"/>
    </row>
    <row r="250" spans="1:7" x14ac:dyDescent="0.25">
      <c r="A250" s="4" t="s">
        <v>440</v>
      </c>
      <c r="B250" s="5" t="s">
        <v>582</v>
      </c>
      <c r="C250" s="5">
        <v>25</v>
      </c>
      <c r="D250">
        <f t="shared" si="3"/>
        <v>13</v>
      </c>
      <c r="G250" s="1"/>
    </row>
    <row r="251" spans="1:7" x14ac:dyDescent="0.25">
      <c r="A251" s="3" t="s">
        <v>440</v>
      </c>
      <c r="B251" s="6" t="s">
        <v>583</v>
      </c>
      <c r="C251" s="6">
        <v>20</v>
      </c>
      <c r="D251">
        <f t="shared" si="3"/>
        <v>13</v>
      </c>
      <c r="G251" s="1"/>
    </row>
    <row r="252" spans="1:7" x14ac:dyDescent="0.25">
      <c r="A252" s="4" t="s">
        <v>440</v>
      </c>
      <c r="B252" s="5" t="s">
        <v>584</v>
      </c>
      <c r="C252" s="5">
        <v>108.04819999999999</v>
      </c>
      <c r="D252">
        <f t="shared" si="3"/>
        <v>13</v>
      </c>
      <c r="G252" s="1"/>
    </row>
    <row r="253" spans="1:7" x14ac:dyDescent="0.25">
      <c r="A253" s="3" t="s">
        <v>440</v>
      </c>
      <c r="B253" s="6" t="s">
        <v>585</v>
      </c>
      <c r="C253" s="6">
        <v>16</v>
      </c>
      <c r="D253">
        <f t="shared" si="3"/>
        <v>13</v>
      </c>
      <c r="G253" s="1"/>
    </row>
    <row r="254" spans="1:7" x14ac:dyDescent="0.25">
      <c r="A254" s="4" t="s">
        <v>440</v>
      </c>
      <c r="B254" s="5" t="s">
        <v>586</v>
      </c>
      <c r="C254" s="5">
        <v>1</v>
      </c>
      <c r="D254">
        <f t="shared" si="3"/>
        <v>13</v>
      </c>
      <c r="G254" s="1"/>
    </row>
    <row r="255" spans="1:7" x14ac:dyDescent="0.25">
      <c r="A255" s="3" t="s">
        <v>440</v>
      </c>
      <c r="B255" s="6" t="s">
        <v>587</v>
      </c>
      <c r="C255" s="6">
        <v>1</v>
      </c>
      <c r="D255">
        <f t="shared" si="3"/>
        <v>13</v>
      </c>
      <c r="G255" s="1"/>
    </row>
    <row r="256" spans="1:7" x14ac:dyDescent="0.25">
      <c r="A256" s="4" t="s">
        <v>440</v>
      </c>
      <c r="B256" s="5" t="s">
        <v>588</v>
      </c>
      <c r="C256" s="5">
        <v>59.347499999999997</v>
      </c>
      <c r="D256">
        <f t="shared" si="3"/>
        <v>13</v>
      </c>
      <c r="G256" s="1"/>
    </row>
    <row r="257" spans="1:7" x14ac:dyDescent="0.25">
      <c r="A257" s="3" t="s">
        <v>440</v>
      </c>
      <c r="B257" s="6" t="s">
        <v>589</v>
      </c>
      <c r="C257" s="6">
        <v>1</v>
      </c>
      <c r="D257">
        <f t="shared" si="3"/>
        <v>13</v>
      </c>
      <c r="G257" s="1"/>
    </row>
    <row r="258" spans="1:7" x14ac:dyDescent="0.25">
      <c r="A258" s="4" t="s">
        <v>440</v>
      </c>
      <c r="B258" s="5" t="s">
        <v>590</v>
      </c>
      <c r="C258" s="5">
        <v>3</v>
      </c>
      <c r="D258">
        <f t="shared" si="3"/>
        <v>13</v>
      </c>
      <c r="G258" s="1"/>
    </row>
    <row r="259" spans="1:7" x14ac:dyDescent="0.25">
      <c r="A259" s="3" t="s">
        <v>440</v>
      </c>
      <c r="B259" s="6" t="s">
        <v>591</v>
      </c>
      <c r="C259" s="6">
        <v>3</v>
      </c>
      <c r="D259">
        <f t="shared" si="3"/>
        <v>13</v>
      </c>
      <c r="G259" s="1"/>
    </row>
    <row r="260" spans="1:7" x14ac:dyDescent="0.25">
      <c r="A260" s="4" t="s">
        <v>440</v>
      </c>
      <c r="B260" s="5" t="s">
        <v>592</v>
      </c>
      <c r="C260" s="5">
        <v>1</v>
      </c>
      <c r="D260">
        <f t="shared" ref="D260:D323" si="4">IF(B260="CCM", D259+1, D259)</f>
        <v>13</v>
      </c>
      <c r="G260" s="1"/>
    </row>
    <row r="261" spans="1:7" x14ac:dyDescent="0.25">
      <c r="A261" s="3" t="s">
        <v>440</v>
      </c>
      <c r="B261" s="6" t="s">
        <v>593</v>
      </c>
      <c r="C261" s="6">
        <v>1</v>
      </c>
      <c r="D261">
        <f t="shared" si="4"/>
        <v>13</v>
      </c>
      <c r="G261" s="1"/>
    </row>
    <row r="262" spans="1:7" x14ac:dyDescent="0.25">
      <c r="A262" s="4" t="s">
        <v>441</v>
      </c>
      <c r="B262" s="5" t="s">
        <v>574</v>
      </c>
      <c r="C262" s="5">
        <v>3</v>
      </c>
      <c r="D262">
        <f t="shared" si="4"/>
        <v>14</v>
      </c>
      <c r="G262" s="1"/>
    </row>
    <row r="263" spans="1:7" x14ac:dyDescent="0.25">
      <c r="A263" s="3" t="s">
        <v>441</v>
      </c>
      <c r="B263" s="6" t="s">
        <v>575</v>
      </c>
      <c r="C263" s="6">
        <v>1</v>
      </c>
      <c r="D263">
        <f t="shared" si="4"/>
        <v>14</v>
      </c>
      <c r="G263" s="1"/>
    </row>
    <row r="264" spans="1:7" x14ac:dyDescent="0.25">
      <c r="A264" s="4" t="s">
        <v>441</v>
      </c>
      <c r="B264" s="5" t="s">
        <v>576</v>
      </c>
      <c r="C264" s="5">
        <v>1</v>
      </c>
      <c r="D264">
        <f t="shared" si="4"/>
        <v>14</v>
      </c>
      <c r="G264" s="1"/>
    </row>
    <row r="265" spans="1:7" x14ac:dyDescent="0.25">
      <c r="A265" s="3" t="s">
        <v>441</v>
      </c>
      <c r="B265" s="6" t="s">
        <v>577</v>
      </c>
      <c r="C265" s="6">
        <v>4</v>
      </c>
      <c r="D265">
        <f t="shared" si="4"/>
        <v>14</v>
      </c>
      <c r="G265" s="1"/>
    </row>
    <row r="266" spans="1:7" x14ac:dyDescent="0.25">
      <c r="A266" s="4" t="s">
        <v>441</v>
      </c>
      <c r="B266" s="5" t="s">
        <v>578</v>
      </c>
      <c r="C266" s="5">
        <v>1</v>
      </c>
      <c r="D266">
        <f t="shared" si="4"/>
        <v>14</v>
      </c>
      <c r="G266" s="1"/>
    </row>
    <row r="267" spans="1:7" x14ac:dyDescent="0.25">
      <c r="A267" s="3" t="s">
        <v>441</v>
      </c>
      <c r="B267" s="6" t="s">
        <v>579</v>
      </c>
      <c r="C267" s="6">
        <v>14.375</v>
      </c>
      <c r="D267">
        <f t="shared" si="4"/>
        <v>14</v>
      </c>
      <c r="G267" s="1"/>
    </row>
    <row r="268" spans="1:7" x14ac:dyDescent="0.25">
      <c r="A268" s="4" t="s">
        <v>441</v>
      </c>
      <c r="B268" s="5" t="s">
        <v>580</v>
      </c>
      <c r="C268" s="5">
        <v>2597.3573000000001</v>
      </c>
      <c r="D268">
        <f t="shared" si="4"/>
        <v>14</v>
      </c>
      <c r="G268" s="1"/>
    </row>
    <row r="269" spans="1:7" x14ac:dyDescent="0.25">
      <c r="A269" s="3" t="s">
        <v>441</v>
      </c>
      <c r="B269" s="6" t="s">
        <v>581</v>
      </c>
      <c r="C269" s="6">
        <v>6.3E-2</v>
      </c>
      <c r="D269">
        <f t="shared" si="4"/>
        <v>14</v>
      </c>
      <c r="G269" s="1"/>
    </row>
    <row r="270" spans="1:7" x14ac:dyDescent="0.25">
      <c r="A270" s="4" t="s">
        <v>441</v>
      </c>
      <c r="B270" s="5" t="s">
        <v>582</v>
      </c>
      <c r="C270" s="5">
        <v>38</v>
      </c>
      <c r="D270">
        <f t="shared" si="4"/>
        <v>14</v>
      </c>
      <c r="G270" s="1"/>
    </row>
    <row r="271" spans="1:7" x14ac:dyDescent="0.25">
      <c r="A271" s="3" t="s">
        <v>441</v>
      </c>
      <c r="B271" s="6" t="s">
        <v>583</v>
      </c>
      <c r="C271" s="6">
        <v>27</v>
      </c>
      <c r="D271">
        <f t="shared" si="4"/>
        <v>14</v>
      </c>
      <c r="G271" s="1"/>
    </row>
    <row r="272" spans="1:7" x14ac:dyDescent="0.25">
      <c r="A272" s="4" t="s">
        <v>441</v>
      </c>
      <c r="B272" s="5" t="s">
        <v>584</v>
      </c>
      <c r="C272" s="5">
        <v>180.6857</v>
      </c>
      <c r="D272">
        <f t="shared" si="4"/>
        <v>14</v>
      </c>
      <c r="G272" s="1"/>
    </row>
    <row r="273" spans="1:7" x14ac:dyDescent="0.25">
      <c r="A273" s="3" t="s">
        <v>441</v>
      </c>
      <c r="B273" s="6" t="s">
        <v>585</v>
      </c>
      <c r="C273" s="6">
        <v>27</v>
      </c>
      <c r="D273">
        <f t="shared" si="4"/>
        <v>14</v>
      </c>
      <c r="G273" s="1"/>
    </row>
    <row r="274" spans="1:7" x14ac:dyDescent="0.25">
      <c r="A274" s="4" t="s">
        <v>441</v>
      </c>
      <c r="B274" s="5" t="s">
        <v>586</v>
      </c>
      <c r="C274" s="5">
        <v>0</v>
      </c>
      <c r="D274">
        <f t="shared" si="4"/>
        <v>14</v>
      </c>
      <c r="G274" s="1"/>
    </row>
    <row r="275" spans="1:7" x14ac:dyDescent="0.25">
      <c r="A275" s="3" t="s">
        <v>441</v>
      </c>
      <c r="B275" s="6" t="s">
        <v>587</v>
      </c>
      <c r="C275" s="6">
        <v>1</v>
      </c>
      <c r="D275">
        <f t="shared" si="4"/>
        <v>14</v>
      </c>
      <c r="G275" s="1"/>
    </row>
    <row r="276" spans="1:7" x14ac:dyDescent="0.25">
      <c r="A276" s="4" t="s">
        <v>441</v>
      </c>
      <c r="B276" s="5" t="s">
        <v>588</v>
      </c>
      <c r="C276" s="5">
        <v>52.798400000000001</v>
      </c>
      <c r="D276">
        <f t="shared" si="4"/>
        <v>14</v>
      </c>
      <c r="G276" s="1"/>
    </row>
    <row r="277" spans="1:7" x14ac:dyDescent="0.25">
      <c r="A277" s="3" t="s">
        <v>441</v>
      </c>
      <c r="B277" s="6" t="s">
        <v>589</v>
      </c>
      <c r="C277" s="6">
        <v>2</v>
      </c>
      <c r="D277">
        <f t="shared" si="4"/>
        <v>14</v>
      </c>
      <c r="G277" s="1"/>
    </row>
    <row r="278" spans="1:7" x14ac:dyDescent="0.25">
      <c r="A278" s="4" t="s">
        <v>441</v>
      </c>
      <c r="B278" s="5" t="s">
        <v>590</v>
      </c>
      <c r="C278" s="5">
        <v>4</v>
      </c>
      <c r="D278">
        <f t="shared" si="4"/>
        <v>14</v>
      </c>
      <c r="G278" s="1"/>
    </row>
    <row r="279" spans="1:7" x14ac:dyDescent="0.25">
      <c r="A279" s="3" t="s">
        <v>441</v>
      </c>
      <c r="B279" s="6" t="s">
        <v>591</v>
      </c>
      <c r="C279" s="6">
        <v>5</v>
      </c>
      <c r="D279">
        <f t="shared" si="4"/>
        <v>14</v>
      </c>
      <c r="G279" s="1"/>
    </row>
    <row r="280" spans="1:7" x14ac:dyDescent="0.25">
      <c r="A280" s="4" t="s">
        <v>441</v>
      </c>
      <c r="B280" s="5" t="s">
        <v>592</v>
      </c>
      <c r="C280" s="5">
        <v>1</v>
      </c>
      <c r="D280">
        <f t="shared" si="4"/>
        <v>14</v>
      </c>
      <c r="G280" s="1"/>
    </row>
    <row r="281" spans="1:7" x14ac:dyDescent="0.25">
      <c r="A281" s="3" t="s">
        <v>441</v>
      </c>
      <c r="B281" s="6" t="s">
        <v>593</v>
      </c>
      <c r="C281" s="6">
        <v>0</v>
      </c>
      <c r="D281">
        <f t="shared" si="4"/>
        <v>14</v>
      </c>
      <c r="G281" s="1"/>
    </row>
    <row r="282" spans="1:7" x14ac:dyDescent="0.25">
      <c r="A282" s="4" t="s">
        <v>442</v>
      </c>
      <c r="B282" s="5" t="s">
        <v>574</v>
      </c>
      <c r="C282" s="5">
        <v>2</v>
      </c>
      <c r="D282">
        <f t="shared" si="4"/>
        <v>15</v>
      </c>
      <c r="G282" s="1"/>
    </row>
    <row r="283" spans="1:7" x14ac:dyDescent="0.25">
      <c r="A283" s="3" t="s">
        <v>442</v>
      </c>
      <c r="B283" s="6" t="s">
        <v>575</v>
      </c>
      <c r="C283" s="6">
        <v>1</v>
      </c>
      <c r="D283">
        <f t="shared" si="4"/>
        <v>15</v>
      </c>
      <c r="G283" s="1"/>
    </row>
    <row r="284" spans="1:7" x14ac:dyDescent="0.25">
      <c r="A284" s="4" t="s">
        <v>442</v>
      </c>
      <c r="B284" s="5" t="s">
        <v>576</v>
      </c>
      <c r="C284" s="5">
        <v>1</v>
      </c>
      <c r="D284">
        <f t="shared" si="4"/>
        <v>15</v>
      </c>
      <c r="G284" s="1"/>
    </row>
    <row r="285" spans="1:7" x14ac:dyDescent="0.25">
      <c r="A285" s="3" t="s">
        <v>442</v>
      </c>
      <c r="B285" s="6" t="s">
        <v>577</v>
      </c>
      <c r="C285" s="6">
        <v>2</v>
      </c>
      <c r="D285">
        <f t="shared" si="4"/>
        <v>15</v>
      </c>
      <c r="G285" s="1"/>
    </row>
    <row r="286" spans="1:7" x14ac:dyDescent="0.25">
      <c r="A286" s="4" t="s">
        <v>442</v>
      </c>
      <c r="B286" s="5" t="s">
        <v>578</v>
      </c>
      <c r="C286" s="5">
        <v>0</v>
      </c>
      <c r="D286">
        <f t="shared" si="4"/>
        <v>15</v>
      </c>
      <c r="G286" s="1"/>
    </row>
    <row r="287" spans="1:7" x14ac:dyDescent="0.25">
      <c r="A287" s="3" t="s">
        <v>442</v>
      </c>
      <c r="B287" s="6" t="s">
        <v>579</v>
      </c>
      <c r="C287" s="6">
        <v>5.8333000000000004</v>
      </c>
      <c r="D287">
        <f t="shared" si="4"/>
        <v>15</v>
      </c>
      <c r="G287" s="1"/>
    </row>
    <row r="288" spans="1:7" x14ac:dyDescent="0.25">
      <c r="A288" s="4" t="s">
        <v>442</v>
      </c>
      <c r="B288" s="5" t="s">
        <v>580</v>
      </c>
      <c r="C288" s="5">
        <v>232.535</v>
      </c>
      <c r="D288">
        <f t="shared" si="4"/>
        <v>15</v>
      </c>
      <c r="G288" s="1"/>
    </row>
    <row r="289" spans="1:7" x14ac:dyDescent="0.25">
      <c r="A289" s="3" t="s">
        <v>442</v>
      </c>
      <c r="B289" s="6" t="s">
        <v>581</v>
      </c>
      <c r="C289" s="6">
        <v>1.26E-2</v>
      </c>
      <c r="D289">
        <f t="shared" si="4"/>
        <v>15</v>
      </c>
      <c r="G289" s="1"/>
    </row>
    <row r="290" spans="1:7" x14ac:dyDescent="0.25">
      <c r="A290" s="4" t="s">
        <v>442</v>
      </c>
      <c r="B290" s="5" t="s">
        <v>582</v>
      </c>
      <c r="C290" s="5">
        <v>12</v>
      </c>
      <c r="D290">
        <f t="shared" si="4"/>
        <v>15</v>
      </c>
      <c r="G290" s="1"/>
    </row>
    <row r="291" spans="1:7" x14ac:dyDescent="0.25">
      <c r="A291" s="3" t="s">
        <v>442</v>
      </c>
      <c r="B291" s="6" t="s">
        <v>583</v>
      </c>
      <c r="C291" s="6">
        <v>10</v>
      </c>
      <c r="D291">
        <f t="shared" si="4"/>
        <v>15</v>
      </c>
      <c r="G291" s="1"/>
    </row>
    <row r="292" spans="1:7" x14ac:dyDescent="0.25">
      <c r="A292" s="4" t="s">
        <v>442</v>
      </c>
      <c r="B292" s="5" t="s">
        <v>584</v>
      </c>
      <c r="C292" s="5">
        <v>39.863100000000003</v>
      </c>
      <c r="D292">
        <f t="shared" si="4"/>
        <v>15</v>
      </c>
      <c r="G292" s="1"/>
    </row>
    <row r="293" spans="1:7" x14ac:dyDescent="0.25">
      <c r="A293" s="3" t="s">
        <v>442</v>
      </c>
      <c r="B293" s="6" t="s">
        <v>585</v>
      </c>
      <c r="C293" s="6">
        <v>19</v>
      </c>
      <c r="D293">
        <f t="shared" si="4"/>
        <v>15</v>
      </c>
      <c r="G293" s="1"/>
    </row>
    <row r="294" spans="1:7" x14ac:dyDescent="0.25">
      <c r="A294" s="4" t="s">
        <v>442</v>
      </c>
      <c r="B294" s="5" t="s">
        <v>586</v>
      </c>
      <c r="C294" s="5">
        <v>1</v>
      </c>
      <c r="D294">
        <f t="shared" si="4"/>
        <v>15</v>
      </c>
      <c r="G294" s="1"/>
    </row>
    <row r="295" spans="1:7" x14ac:dyDescent="0.25">
      <c r="A295" s="3" t="s">
        <v>442</v>
      </c>
      <c r="B295" s="6" t="s">
        <v>587</v>
      </c>
      <c r="C295" s="6">
        <v>1</v>
      </c>
      <c r="D295">
        <f t="shared" si="4"/>
        <v>15</v>
      </c>
      <c r="G295" s="1"/>
    </row>
    <row r="296" spans="1:7" x14ac:dyDescent="0.25">
      <c r="A296" s="4" t="s">
        <v>442</v>
      </c>
      <c r="B296" s="5" t="s">
        <v>588</v>
      </c>
      <c r="C296" s="5">
        <v>60.816899999999997</v>
      </c>
      <c r="D296">
        <f t="shared" si="4"/>
        <v>15</v>
      </c>
      <c r="G296" s="1"/>
    </row>
    <row r="297" spans="1:7" x14ac:dyDescent="0.25">
      <c r="A297" s="3" t="s">
        <v>442</v>
      </c>
      <c r="B297" s="6" t="s">
        <v>589</v>
      </c>
      <c r="C297" s="6">
        <v>0</v>
      </c>
      <c r="D297">
        <f t="shared" si="4"/>
        <v>15</v>
      </c>
      <c r="G297" s="1"/>
    </row>
    <row r="298" spans="1:7" x14ac:dyDescent="0.25">
      <c r="A298" s="4" t="s">
        <v>442</v>
      </c>
      <c r="B298" s="5" t="s">
        <v>590</v>
      </c>
      <c r="C298" s="5">
        <v>3</v>
      </c>
      <c r="D298">
        <f t="shared" si="4"/>
        <v>15</v>
      </c>
      <c r="G298" s="1"/>
    </row>
    <row r="299" spans="1:7" x14ac:dyDescent="0.25">
      <c r="A299" s="3" t="s">
        <v>442</v>
      </c>
      <c r="B299" s="6" t="s">
        <v>591</v>
      </c>
      <c r="C299" s="6">
        <v>3</v>
      </c>
      <c r="D299">
        <f t="shared" si="4"/>
        <v>15</v>
      </c>
      <c r="G299" s="1"/>
    </row>
    <row r="300" spans="1:7" x14ac:dyDescent="0.25">
      <c r="A300" s="4" t="s">
        <v>442</v>
      </c>
      <c r="B300" s="5" t="s">
        <v>592</v>
      </c>
      <c r="C300" s="5">
        <v>1</v>
      </c>
      <c r="D300">
        <f t="shared" si="4"/>
        <v>15</v>
      </c>
      <c r="G300" s="1"/>
    </row>
    <row r="301" spans="1:7" x14ac:dyDescent="0.25">
      <c r="A301" s="3" t="s">
        <v>442</v>
      </c>
      <c r="B301" s="6" t="s">
        <v>593</v>
      </c>
      <c r="C301" s="6">
        <v>0</v>
      </c>
      <c r="D301">
        <f t="shared" si="4"/>
        <v>15</v>
      </c>
      <c r="G301" s="1"/>
    </row>
    <row r="302" spans="1:7" x14ac:dyDescent="0.25">
      <c r="A302" s="4" t="s">
        <v>443</v>
      </c>
      <c r="B302" s="5" t="s">
        <v>574</v>
      </c>
      <c r="C302" s="5">
        <v>0</v>
      </c>
      <c r="D302">
        <f t="shared" si="4"/>
        <v>16</v>
      </c>
      <c r="G302" s="1"/>
    </row>
    <row r="303" spans="1:7" x14ac:dyDescent="0.25">
      <c r="A303" s="3" t="s">
        <v>443</v>
      </c>
      <c r="B303" s="6" t="s">
        <v>575</v>
      </c>
      <c r="C303" s="6">
        <v>0</v>
      </c>
      <c r="D303">
        <f t="shared" si="4"/>
        <v>16</v>
      </c>
      <c r="G303" s="1"/>
    </row>
    <row r="304" spans="1:7" x14ac:dyDescent="0.25">
      <c r="A304" s="4" t="s">
        <v>443</v>
      </c>
      <c r="B304" s="5" t="s">
        <v>576</v>
      </c>
      <c r="C304" s="5">
        <v>0</v>
      </c>
      <c r="D304">
        <f t="shared" si="4"/>
        <v>16</v>
      </c>
      <c r="G304" s="1"/>
    </row>
    <row r="305" spans="1:7" x14ac:dyDescent="0.25">
      <c r="A305" s="3" t="s">
        <v>443</v>
      </c>
      <c r="B305" s="6" t="s">
        <v>577</v>
      </c>
      <c r="C305" s="6">
        <v>0</v>
      </c>
      <c r="D305">
        <f t="shared" si="4"/>
        <v>16</v>
      </c>
      <c r="G305" s="1"/>
    </row>
    <row r="306" spans="1:7" x14ac:dyDescent="0.25">
      <c r="A306" s="4" t="s">
        <v>443</v>
      </c>
      <c r="B306" s="5" t="s">
        <v>578</v>
      </c>
      <c r="C306" s="5">
        <v>0</v>
      </c>
      <c r="D306">
        <f t="shared" si="4"/>
        <v>16</v>
      </c>
      <c r="G306" s="1"/>
    </row>
    <row r="307" spans="1:7" x14ac:dyDescent="0.25">
      <c r="A307" s="3" t="s">
        <v>443</v>
      </c>
      <c r="B307" s="6" t="s">
        <v>579</v>
      </c>
      <c r="C307" s="6">
        <v>1</v>
      </c>
      <c r="D307">
        <f t="shared" si="4"/>
        <v>16</v>
      </c>
      <c r="G307" s="1"/>
    </row>
    <row r="308" spans="1:7" x14ac:dyDescent="0.25">
      <c r="A308" s="4" t="s">
        <v>443</v>
      </c>
      <c r="B308" s="5" t="s">
        <v>580</v>
      </c>
      <c r="C308" s="5">
        <v>4.7549000000000001</v>
      </c>
      <c r="D308">
        <f t="shared" si="4"/>
        <v>16</v>
      </c>
      <c r="G308" s="1"/>
    </row>
    <row r="309" spans="1:7" x14ac:dyDescent="0.25">
      <c r="A309" s="3" t="s">
        <v>443</v>
      </c>
      <c r="B309" s="6" t="s">
        <v>581</v>
      </c>
      <c r="C309" s="6">
        <v>8.9999999999999998E-4</v>
      </c>
      <c r="D309">
        <f t="shared" si="4"/>
        <v>16</v>
      </c>
      <c r="G309" s="1"/>
    </row>
    <row r="310" spans="1:7" x14ac:dyDescent="0.25">
      <c r="A310" s="4" t="s">
        <v>443</v>
      </c>
      <c r="B310" s="5" t="s">
        <v>582</v>
      </c>
      <c r="C310" s="5">
        <v>3</v>
      </c>
      <c r="D310">
        <f t="shared" si="4"/>
        <v>16</v>
      </c>
      <c r="G310" s="1"/>
    </row>
    <row r="311" spans="1:7" x14ac:dyDescent="0.25">
      <c r="A311" s="3" t="s">
        <v>443</v>
      </c>
      <c r="B311" s="6" t="s">
        <v>583</v>
      </c>
      <c r="C311" s="6">
        <v>3</v>
      </c>
      <c r="D311">
        <f t="shared" si="4"/>
        <v>16</v>
      </c>
      <c r="G311" s="1"/>
    </row>
    <row r="312" spans="1:7" x14ac:dyDescent="0.25">
      <c r="A312" s="4" t="s">
        <v>443</v>
      </c>
      <c r="B312" s="5" t="s">
        <v>584</v>
      </c>
      <c r="C312" s="5">
        <v>4.7549000000000001</v>
      </c>
      <c r="D312">
        <f t="shared" si="4"/>
        <v>16</v>
      </c>
      <c r="G312" s="1"/>
    </row>
    <row r="313" spans="1:7" x14ac:dyDescent="0.25">
      <c r="A313" s="3" t="s">
        <v>443</v>
      </c>
      <c r="B313" s="6" t="s">
        <v>585</v>
      </c>
      <c r="C313" s="6">
        <v>10</v>
      </c>
      <c r="D313">
        <f t="shared" si="4"/>
        <v>16</v>
      </c>
      <c r="G313" s="1"/>
    </row>
    <row r="314" spans="1:7" x14ac:dyDescent="0.25">
      <c r="A314" s="4" t="s">
        <v>443</v>
      </c>
      <c r="B314" s="5" t="s">
        <v>586</v>
      </c>
      <c r="C314" s="5">
        <v>1</v>
      </c>
      <c r="D314">
        <f t="shared" si="4"/>
        <v>16</v>
      </c>
      <c r="G314" s="1"/>
    </row>
    <row r="315" spans="1:7" x14ac:dyDescent="0.25">
      <c r="A315" s="3" t="s">
        <v>443</v>
      </c>
      <c r="B315" s="6" t="s">
        <v>587</v>
      </c>
      <c r="C315" s="6">
        <v>0</v>
      </c>
      <c r="D315">
        <f t="shared" si="4"/>
        <v>16</v>
      </c>
      <c r="G315" s="1"/>
    </row>
    <row r="316" spans="1:7" x14ac:dyDescent="0.25">
      <c r="A316" s="4" t="s">
        <v>443</v>
      </c>
      <c r="B316" s="5" t="s">
        <v>588</v>
      </c>
      <c r="C316" s="5">
        <v>73.970399999999998</v>
      </c>
      <c r="D316">
        <f t="shared" si="4"/>
        <v>16</v>
      </c>
      <c r="G316" s="1"/>
    </row>
    <row r="317" spans="1:7" x14ac:dyDescent="0.25">
      <c r="A317" s="3" t="s">
        <v>443</v>
      </c>
      <c r="B317" s="6" t="s">
        <v>589</v>
      </c>
      <c r="C317" s="6">
        <v>0</v>
      </c>
      <c r="D317">
        <f t="shared" si="4"/>
        <v>16</v>
      </c>
      <c r="G317" s="1"/>
    </row>
    <row r="318" spans="1:7" x14ac:dyDescent="0.25">
      <c r="A318" s="4" t="s">
        <v>443</v>
      </c>
      <c r="B318" s="5" t="s">
        <v>590</v>
      </c>
      <c r="C318" s="5">
        <v>1</v>
      </c>
      <c r="D318">
        <f t="shared" si="4"/>
        <v>16</v>
      </c>
      <c r="G318" s="1"/>
    </row>
    <row r="319" spans="1:7" x14ac:dyDescent="0.25">
      <c r="A319" s="3" t="s">
        <v>443</v>
      </c>
      <c r="B319" s="6" t="s">
        <v>591</v>
      </c>
      <c r="C319" s="6">
        <v>1</v>
      </c>
      <c r="D319">
        <f t="shared" si="4"/>
        <v>16</v>
      </c>
      <c r="G319" s="1"/>
    </row>
    <row r="320" spans="1:7" x14ac:dyDescent="0.25">
      <c r="A320" s="4" t="s">
        <v>443</v>
      </c>
      <c r="B320" s="5" t="s">
        <v>592</v>
      </c>
      <c r="C320" s="5">
        <v>0</v>
      </c>
      <c r="D320">
        <f t="shared" si="4"/>
        <v>16</v>
      </c>
      <c r="G320" s="1"/>
    </row>
    <row r="321" spans="1:7" x14ac:dyDescent="0.25">
      <c r="A321" s="3" t="s">
        <v>443</v>
      </c>
      <c r="B321" s="6" t="s">
        <v>593</v>
      </c>
      <c r="C321" s="6">
        <v>0</v>
      </c>
      <c r="D321">
        <f t="shared" si="4"/>
        <v>16</v>
      </c>
      <c r="G321" s="1"/>
    </row>
    <row r="322" spans="1:7" x14ac:dyDescent="0.25">
      <c r="A322" s="4" t="s">
        <v>444</v>
      </c>
      <c r="B322" s="5" t="s">
        <v>574</v>
      </c>
      <c r="C322" s="5">
        <v>2</v>
      </c>
      <c r="D322">
        <f t="shared" si="4"/>
        <v>17</v>
      </c>
      <c r="G322" s="1"/>
    </row>
    <row r="323" spans="1:7" x14ac:dyDescent="0.25">
      <c r="A323" s="3" t="s">
        <v>444</v>
      </c>
      <c r="B323" s="6" t="s">
        <v>575</v>
      </c>
      <c r="C323" s="6">
        <v>1</v>
      </c>
      <c r="D323">
        <f t="shared" si="4"/>
        <v>17</v>
      </c>
      <c r="G323" s="1"/>
    </row>
    <row r="324" spans="1:7" x14ac:dyDescent="0.25">
      <c r="A324" s="4" t="s">
        <v>444</v>
      </c>
      <c r="B324" s="5" t="s">
        <v>576</v>
      </c>
      <c r="C324" s="5">
        <v>1</v>
      </c>
      <c r="D324">
        <f t="shared" ref="D324:D387" si="5">IF(B324="CCM", D323+1, D323)</f>
        <v>17</v>
      </c>
      <c r="G324" s="1"/>
    </row>
    <row r="325" spans="1:7" x14ac:dyDescent="0.25">
      <c r="A325" s="3" t="s">
        <v>444</v>
      </c>
      <c r="B325" s="6" t="s">
        <v>577</v>
      </c>
      <c r="C325" s="6">
        <v>3</v>
      </c>
      <c r="D325">
        <f t="shared" si="5"/>
        <v>17</v>
      </c>
      <c r="G325" s="1"/>
    </row>
    <row r="326" spans="1:7" x14ac:dyDescent="0.25">
      <c r="A326" s="4" t="s">
        <v>444</v>
      </c>
      <c r="B326" s="5" t="s">
        <v>578</v>
      </c>
      <c r="C326" s="5">
        <v>0</v>
      </c>
      <c r="D326">
        <f t="shared" si="5"/>
        <v>17</v>
      </c>
      <c r="G326" s="1"/>
    </row>
    <row r="327" spans="1:7" x14ac:dyDescent="0.25">
      <c r="A327" s="3" t="s">
        <v>444</v>
      </c>
      <c r="B327" s="6" t="s">
        <v>579</v>
      </c>
      <c r="C327" s="6">
        <v>8</v>
      </c>
      <c r="D327">
        <f t="shared" si="5"/>
        <v>17</v>
      </c>
      <c r="G327" s="1"/>
    </row>
    <row r="328" spans="1:7" x14ac:dyDescent="0.25">
      <c r="A328" s="4" t="s">
        <v>444</v>
      </c>
      <c r="B328" s="5" t="s">
        <v>580</v>
      </c>
      <c r="C328" s="5">
        <v>562.59220000000005</v>
      </c>
      <c r="D328">
        <f t="shared" si="5"/>
        <v>17</v>
      </c>
      <c r="G328" s="1"/>
    </row>
    <row r="329" spans="1:7" x14ac:dyDescent="0.25">
      <c r="A329" s="3" t="s">
        <v>444</v>
      </c>
      <c r="B329" s="6" t="s">
        <v>581</v>
      </c>
      <c r="C329" s="6">
        <v>2.2700000000000001E-2</v>
      </c>
      <c r="D329">
        <f t="shared" si="5"/>
        <v>17</v>
      </c>
      <c r="G329" s="1"/>
    </row>
    <row r="330" spans="1:7" x14ac:dyDescent="0.25">
      <c r="A330" s="4" t="s">
        <v>444</v>
      </c>
      <c r="B330" s="5" t="s">
        <v>582</v>
      </c>
      <c r="C330" s="5">
        <v>18</v>
      </c>
      <c r="D330">
        <f t="shared" si="5"/>
        <v>17</v>
      </c>
      <c r="G330" s="1"/>
    </row>
    <row r="331" spans="1:7" x14ac:dyDescent="0.25">
      <c r="A331" s="3" t="s">
        <v>444</v>
      </c>
      <c r="B331" s="6" t="s">
        <v>583</v>
      </c>
      <c r="C331" s="6">
        <v>15</v>
      </c>
      <c r="D331">
        <f t="shared" si="5"/>
        <v>17</v>
      </c>
      <c r="G331" s="1"/>
    </row>
    <row r="332" spans="1:7" x14ac:dyDescent="0.25">
      <c r="A332" s="4" t="s">
        <v>444</v>
      </c>
      <c r="B332" s="5" t="s">
        <v>584</v>
      </c>
      <c r="C332" s="5">
        <v>70.323999999999998</v>
      </c>
      <c r="D332">
        <f t="shared" si="5"/>
        <v>17</v>
      </c>
      <c r="G332" s="1"/>
    </row>
    <row r="333" spans="1:7" x14ac:dyDescent="0.25">
      <c r="A333" s="3" t="s">
        <v>444</v>
      </c>
      <c r="B333" s="6" t="s">
        <v>585</v>
      </c>
      <c r="C333" s="6">
        <v>21</v>
      </c>
      <c r="D333">
        <f t="shared" si="5"/>
        <v>17</v>
      </c>
      <c r="G333" s="1"/>
    </row>
    <row r="334" spans="1:7" x14ac:dyDescent="0.25">
      <c r="A334" s="4" t="s">
        <v>444</v>
      </c>
      <c r="B334" s="5" t="s">
        <v>586</v>
      </c>
      <c r="C334" s="5">
        <v>1</v>
      </c>
      <c r="D334">
        <f t="shared" si="5"/>
        <v>17</v>
      </c>
      <c r="G334" s="1"/>
    </row>
    <row r="335" spans="1:7" x14ac:dyDescent="0.25">
      <c r="A335" s="3" t="s">
        <v>444</v>
      </c>
      <c r="B335" s="6" t="s">
        <v>587</v>
      </c>
      <c r="C335" s="6">
        <v>1</v>
      </c>
      <c r="D335">
        <f t="shared" si="5"/>
        <v>17</v>
      </c>
      <c r="G335" s="1"/>
    </row>
    <row r="336" spans="1:7" x14ac:dyDescent="0.25">
      <c r="A336" s="4" t="s">
        <v>444</v>
      </c>
      <c r="B336" s="5" t="s">
        <v>588</v>
      </c>
      <c r="C336" s="5">
        <v>58.09</v>
      </c>
      <c r="D336">
        <f t="shared" si="5"/>
        <v>17</v>
      </c>
      <c r="G336" s="1"/>
    </row>
    <row r="337" spans="1:7" x14ac:dyDescent="0.25">
      <c r="A337" s="3" t="s">
        <v>444</v>
      </c>
      <c r="B337" s="6" t="s">
        <v>589</v>
      </c>
      <c r="C337" s="6">
        <v>0</v>
      </c>
      <c r="D337">
        <f t="shared" si="5"/>
        <v>17</v>
      </c>
      <c r="G337" s="1"/>
    </row>
    <row r="338" spans="1:7" x14ac:dyDescent="0.25">
      <c r="A338" s="4" t="s">
        <v>444</v>
      </c>
      <c r="B338" s="5" t="s">
        <v>590</v>
      </c>
      <c r="C338" s="5">
        <v>3</v>
      </c>
      <c r="D338">
        <f t="shared" si="5"/>
        <v>17</v>
      </c>
      <c r="G338" s="1"/>
    </row>
    <row r="339" spans="1:7" x14ac:dyDescent="0.25">
      <c r="A339" s="3" t="s">
        <v>444</v>
      </c>
      <c r="B339" s="6" t="s">
        <v>591</v>
      </c>
      <c r="C339" s="6">
        <v>4</v>
      </c>
      <c r="D339">
        <f t="shared" si="5"/>
        <v>17</v>
      </c>
      <c r="G339" s="1"/>
    </row>
    <row r="340" spans="1:7" x14ac:dyDescent="0.25">
      <c r="A340" s="4" t="s">
        <v>444</v>
      </c>
      <c r="B340" s="5" t="s">
        <v>592</v>
      </c>
      <c r="C340" s="5">
        <v>1</v>
      </c>
      <c r="D340">
        <f t="shared" si="5"/>
        <v>17</v>
      </c>
      <c r="G340" s="1"/>
    </row>
    <row r="341" spans="1:7" x14ac:dyDescent="0.25">
      <c r="A341" s="3" t="s">
        <v>444</v>
      </c>
      <c r="B341" s="6" t="s">
        <v>593</v>
      </c>
      <c r="C341" s="6">
        <v>1</v>
      </c>
      <c r="D341">
        <f t="shared" si="5"/>
        <v>17</v>
      </c>
      <c r="G341" s="1"/>
    </row>
    <row r="342" spans="1:7" x14ac:dyDescent="0.25">
      <c r="A342" s="4" t="s">
        <v>445</v>
      </c>
      <c r="B342" s="5" t="s">
        <v>574</v>
      </c>
      <c r="C342" s="5">
        <v>2</v>
      </c>
      <c r="D342">
        <f t="shared" si="5"/>
        <v>18</v>
      </c>
      <c r="G342" s="1"/>
    </row>
    <row r="343" spans="1:7" x14ac:dyDescent="0.25">
      <c r="A343" s="3" t="s">
        <v>445</v>
      </c>
      <c r="B343" s="6" t="s">
        <v>575</v>
      </c>
      <c r="C343" s="6">
        <v>1</v>
      </c>
      <c r="D343">
        <f t="shared" si="5"/>
        <v>18</v>
      </c>
      <c r="G343" s="1"/>
    </row>
    <row r="344" spans="1:7" x14ac:dyDescent="0.25">
      <c r="A344" s="4" t="s">
        <v>445</v>
      </c>
      <c r="B344" s="5" t="s">
        <v>576</v>
      </c>
      <c r="C344" s="5">
        <v>1</v>
      </c>
      <c r="D344">
        <f t="shared" si="5"/>
        <v>18</v>
      </c>
      <c r="G344" s="1"/>
    </row>
    <row r="345" spans="1:7" x14ac:dyDescent="0.25">
      <c r="A345" s="3" t="s">
        <v>445</v>
      </c>
      <c r="B345" s="6" t="s">
        <v>577</v>
      </c>
      <c r="C345" s="6">
        <v>2</v>
      </c>
      <c r="D345">
        <f t="shared" si="5"/>
        <v>18</v>
      </c>
      <c r="G345" s="1"/>
    </row>
    <row r="346" spans="1:7" x14ac:dyDescent="0.25">
      <c r="A346" s="4" t="s">
        <v>445</v>
      </c>
      <c r="B346" s="5" t="s">
        <v>578</v>
      </c>
      <c r="C346" s="5">
        <v>0</v>
      </c>
      <c r="D346">
        <f t="shared" si="5"/>
        <v>18</v>
      </c>
      <c r="G346" s="1"/>
    </row>
    <row r="347" spans="1:7" x14ac:dyDescent="0.25">
      <c r="A347" s="3" t="s">
        <v>445</v>
      </c>
      <c r="B347" s="6" t="s">
        <v>579</v>
      </c>
      <c r="C347" s="6">
        <v>6.6666999999999996</v>
      </c>
      <c r="D347">
        <f t="shared" si="5"/>
        <v>18</v>
      </c>
      <c r="G347" s="1"/>
    </row>
    <row r="348" spans="1:7" x14ac:dyDescent="0.25">
      <c r="A348" s="4" t="s">
        <v>445</v>
      </c>
      <c r="B348" s="5" t="s">
        <v>580</v>
      </c>
      <c r="C348" s="5">
        <v>299.81740000000002</v>
      </c>
      <c r="D348">
        <f t="shared" si="5"/>
        <v>18</v>
      </c>
      <c r="G348" s="1"/>
    </row>
    <row r="349" spans="1:7" x14ac:dyDescent="0.25">
      <c r="A349" s="3" t="s">
        <v>445</v>
      </c>
      <c r="B349" s="6" t="s">
        <v>581</v>
      </c>
      <c r="C349" s="6">
        <v>1.49E-2</v>
      </c>
      <c r="D349">
        <f t="shared" si="5"/>
        <v>18</v>
      </c>
      <c r="G349" s="1"/>
    </row>
    <row r="350" spans="1:7" x14ac:dyDescent="0.25">
      <c r="A350" s="4" t="s">
        <v>445</v>
      </c>
      <c r="B350" s="5" t="s">
        <v>582</v>
      </c>
      <c r="C350" s="5">
        <v>13</v>
      </c>
      <c r="D350">
        <f t="shared" si="5"/>
        <v>18</v>
      </c>
      <c r="G350" s="1"/>
    </row>
    <row r="351" spans="1:7" x14ac:dyDescent="0.25">
      <c r="A351" s="3" t="s">
        <v>445</v>
      </c>
      <c r="B351" s="6" t="s">
        <v>583</v>
      </c>
      <c r="C351" s="6">
        <v>11</v>
      </c>
      <c r="D351">
        <f t="shared" si="5"/>
        <v>18</v>
      </c>
      <c r="G351" s="1"/>
    </row>
    <row r="352" spans="1:7" x14ac:dyDescent="0.25">
      <c r="A352" s="4" t="s">
        <v>445</v>
      </c>
      <c r="B352" s="5" t="s">
        <v>584</v>
      </c>
      <c r="C352" s="5">
        <v>44.9726</v>
      </c>
      <c r="D352">
        <f t="shared" si="5"/>
        <v>18</v>
      </c>
      <c r="G352" s="1"/>
    </row>
    <row r="353" spans="1:7" x14ac:dyDescent="0.25">
      <c r="A353" s="3" t="s">
        <v>445</v>
      </c>
      <c r="B353" s="6" t="s">
        <v>585</v>
      </c>
      <c r="C353" s="6">
        <v>19</v>
      </c>
      <c r="D353">
        <f t="shared" si="5"/>
        <v>18</v>
      </c>
      <c r="G353" s="1"/>
    </row>
    <row r="354" spans="1:7" x14ac:dyDescent="0.25">
      <c r="A354" s="4" t="s">
        <v>445</v>
      </c>
      <c r="B354" s="5" t="s">
        <v>586</v>
      </c>
      <c r="C354" s="5">
        <v>1</v>
      </c>
      <c r="D354">
        <f t="shared" si="5"/>
        <v>18</v>
      </c>
      <c r="G354" s="1"/>
    </row>
    <row r="355" spans="1:7" x14ac:dyDescent="0.25">
      <c r="A355" s="3" t="s">
        <v>445</v>
      </c>
      <c r="B355" s="6" t="s">
        <v>587</v>
      </c>
      <c r="C355" s="6">
        <v>1</v>
      </c>
      <c r="D355">
        <f t="shared" si="5"/>
        <v>18</v>
      </c>
      <c r="G355" s="1"/>
    </row>
    <row r="356" spans="1:7" x14ac:dyDescent="0.25">
      <c r="A356" s="4" t="s">
        <v>445</v>
      </c>
      <c r="B356" s="5" t="s">
        <v>588</v>
      </c>
      <c r="C356" s="5">
        <v>60.450099999999999</v>
      </c>
      <c r="D356">
        <f t="shared" si="5"/>
        <v>18</v>
      </c>
      <c r="G356" s="1"/>
    </row>
    <row r="357" spans="1:7" x14ac:dyDescent="0.25">
      <c r="A357" s="3" t="s">
        <v>445</v>
      </c>
      <c r="B357" s="6" t="s">
        <v>589</v>
      </c>
      <c r="C357" s="6">
        <v>0</v>
      </c>
      <c r="D357">
        <f t="shared" si="5"/>
        <v>18</v>
      </c>
      <c r="G357" s="1"/>
    </row>
    <row r="358" spans="1:7" x14ac:dyDescent="0.25">
      <c r="A358" s="4" t="s">
        <v>445</v>
      </c>
      <c r="B358" s="5" t="s">
        <v>590</v>
      </c>
      <c r="C358" s="5">
        <v>3</v>
      </c>
      <c r="D358">
        <f t="shared" si="5"/>
        <v>18</v>
      </c>
      <c r="G358" s="1"/>
    </row>
    <row r="359" spans="1:7" x14ac:dyDescent="0.25">
      <c r="A359" s="3" t="s">
        <v>445</v>
      </c>
      <c r="B359" s="6" t="s">
        <v>591</v>
      </c>
      <c r="C359" s="6">
        <v>3</v>
      </c>
      <c r="D359">
        <f t="shared" si="5"/>
        <v>18</v>
      </c>
      <c r="G359" s="1"/>
    </row>
    <row r="360" spans="1:7" x14ac:dyDescent="0.25">
      <c r="A360" s="4" t="s">
        <v>445</v>
      </c>
      <c r="B360" s="5" t="s">
        <v>592</v>
      </c>
      <c r="C360" s="5">
        <v>1</v>
      </c>
      <c r="D360">
        <f t="shared" si="5"/>
        <v>18</v>
      </c>
      <c r="G360" s="1"/>
    </row>
    <row r="361" spans="1:7" x14ac:dyDescent="0.25">
      <c r="A361" s="3" t="s">
        <v>445</v>
      </c>
      <c r="B361" s="6" t="s">
        <v>593</v>
      </c>
      <c r="C361" s="6">
        <v>0</v>
      </c>
      <c r="D361">
        <f t="shared" si="5"/>
        <v>18</v>
      </c>
      <c r="G361" s="1"/>
    </row>
    <row r="362" spans="1:7" x14ac:dyDescent="0.25">
      <c r="A362" s="4" t="s">
        <v>446</v>
      </c>
      <c r="B362" s="5" t="s">
        <v>574</v>
      </c>
      <c r="C362" s="5">
        <v>0</v>
      </c>
      <c r="D362">
        <f t="shared" si="5"/>
        <v>19</v>
      </c>
      <c r="G362" s="1"/>
    </row>
    <row r="363" spans="1:7" x14ac:dyDescent="0.25">
      <c r="A363" s="3" t="s">
        <v>446</v>
      </c>
      <c r="B363" s="6" t="s">
        <v>575</v>
      </c>
      <c r="C363" s="6">
        <v>0</v>
      </c>
      <c r="D363">
        <f t="shared" si="5"/>
        <v>19</v>
      </c>
      <c r="G363" s="1"/>
    </row>
    <row r="364" spans="1:7" x14ac:dyDescent="0.25">
      <c r="A364" s="4" t="s">
        <v>446</v>
      </c>
      <c r="B364" s="5" t="s">
        <v>576</v>
      </c>
      <c r="C364" s="5">
        <v>0</v>
      </c>
      <c r="D364">
        <f t="shared" si="5"/>
        <v>19</v>
      </c>
      <c r="G364" s="1"/>
    </row>
    <row r="365" spans="1:7" x14ac:dyDescent="0.25">
      <c r="A365" s="3" t="s">
        <v>446</v>
      </c>
      <c r="B365" s="6" t="s">
        <v>577</v>
      </c>
      <c r="C365" s="6">
        <v>0</v>
      </c>
      <c r="D365">
        <f t="shared" si="5"/>
        <v>19</v>
      </c>
      <c r="G365" s="1"/>
    </row>
    <row r="366" spans="1:7" x14ac:dyDescent="0.25">
      <c r="A366" s="4" t="s">
        <v>446</v>
      </c>
      <c r="B366" s="5" t="s">
        <v>578</v>
      </c>
      <c r="C366" s="5">
        <v>0</v>
      </c>
      <c r="D366">
        <f t="shared" si="5"/>
        <v>19</v>
      </c>
      <c r="G366" s="1"/>
    </row>
    <row r="367" spans="1:7" x14ac:dyDescent="0.25">
      <c r="A367" s="3" t="s">
        <v>446</v>
      </c>
      <c r="B367" s="6" t="s">
        <v>579</v>
      </c>
      <c r="C367" s="6">
        <v>1</v>
      </c>
      <c r="D367">
        <f t="shared" si="5"/>
        <v>19</v>
      </c>
      <c r="G367" s="1"/>
    </row>
    <row r="368" spans="1:7" x14ac:dyDescent="0.25">
      <c r="A368" s="4" t="s">
        <v>446</v>
      </c>
      <c r="B368" s="5" t="s">
        <v>580</v>
      </c>
      <c r="C368" s="5">
        <v>4.7549000000000001</v>
      </c>
      <c r="D368">
        <f t="shared" si="5"/>
        <v>19</v>
      </c>
      <c r="G368" s="1"/>
    </row>
    <row r="369" spans="1:7" x14ac:dyDescent="0.25">
      <c r="A369" s="3" t="s">
        <v>446</v>
      </c>
      <c r="B369" s="6" t="s">
        <v>581</v>
      </c>
      <c r="C369" s="6">
        <v>8.9999999999999998E-4</v>
      </c>
      <c r="D369">
        <f t="shared" si="5"/>
        <v>19</v>
      </c>
      <c r="G369" s="1"/>
    </row>
    <row r="370" spans="1:7" x14ac:dyDescent="0.25">
      <c r="A370" s="4" t="s">
        <v>446</v>
      </c>
      <c r="B370" s="5" t="s">
        <v>582</v>
      </c>
      <c r="C370" s="5">
        <v>3</v>
      </c>
      <c r="D370">
        <f t="shared" si="5"/>
        <v>19</v>
      </c>
      <c r="G370" s="1"/>
    </row>
    <row r="371" spans="1:7" x14ac:dyDescent="0.25">
      <c r="A371" s="3" t="s">
        <v>446</v>
      </c>
      <c r="B371" s="6" t="s">
        <v>583</v>
      </c>
      <c r="C371" s="6">
        <v>3</v>
      </c>
      <c r="D371">
        <f t="shared" si="5"/>
        <v>19</v>
      </c>
      <c r="G371" s="1"/>
    </row>
    <row r="372" spans="1:7" x14ac:dyDescent="0.25">
      <c r="A372" s="4" t="s">
        <v>446</v>
      </c>
      <c r="B372" s="5" t="s">
        <v>584</v>
      </c>
      <c r="C372" s="5">
        <v>4.7549000000000001</v>
      </c>
      <c r="D372">
        <f t="shared" si="5"/>
        <v>19</v>
      </c>
      <c r="G372" s="1"/>
    </row>
    <row r="373" spans="1:7" x14ac:dyDescent="0.25">
      <c r="A373" s="3" t="s">
        <v>446</v>
      </c>
      <c r="B373" s="6" t="s">
        <v>585</v>
      </c>
      <c r="C373" s="6">
        <v>7</v>
      </c>
      <c r="D373">
        <f t="shared" si="5"/>
        <v>19</v>
      </c>
      <c r="G373" s="1"/>
    </row>
    <row r="374" spans="1:7" x14ac:dyDescent="0.25">
      <c r="A374" s="4" t="s">
        <v>446</v>
      </c>
      <c r="B374" s="5" t="s">
        <v>586</v>
      </c>
      <c r="C374" s="5">
        <v>1</v>
      </c>
      <c r="D374">
        <f t="shared" si="5"/>
        <v>19</v>
      </c>
      <c r="G374" s="1"/>
    </row>
    <row r="375" spans="1:7" x14ac:dyDescent="0.25">
      <c r="A375" s="3" t="s">
        <v>446</v>
      </c>
      <c r="B375" s="6" t="s">
        <v>587</v>
      </c>
      <c r="C375" s="6">
        <v>0</v>
      </c>
      <c r="D375">
        <f t="shared" si="5"/>
        <v>19</v>
      </c>
      <c r="G375" s="1"/>
    </row>
    <row r="376" spans="1:7" x14ac:dyDescent="0.25">
      <c r="A376" s="4" t="s">
        <v>446</v>
      </c>
      <c r="B376" s="5" t="s">
        <v>588</v>
      </c>
      <c r="C376" s="5">
        <v>77.349400000000003</v>
      </c>
      <c r="D376">
        <f t="shared" si="5"/>
        <v>19</v>
      </c>
      <c r="G376" s="1"/>
    </row>
    <row r="377" spans="1:7" x14ac:dyDescent="0.25">
      <c r="A377" s="3" t="s">
        <v>446</v>
      </c>
      <c r="B377" s="6" t="s">
        <v>589</v>
      </c>
      <c r="C377" s="6">
        <v>0</v>
      </c>
      <c r="D377">
        <f t="shared" si="5"/>
        <v>19</v>
      </c>
      <c r="G377" s="1"/>
    </row>
    <row r="378" spans="1:7" x14ac:dyDescent="0.25">
      <c r="A378" s="4" t="s">
        <v>446</v>
      </c>
      <c r="B378" s="5" t="s">
        <v>590</v>
      </c>
      <c r="C378" s="5">
        <v>1</v>
      </c>
      <c r="D378">
        <f t="shared" si="5"/>
        <v>19</v>
      </c>
      <c r="G378" s="1"/>
    </row>
    <row r="379" spans="1:7" x14ac:dyDescent="0.25">
      <c r="A379" s="3" t="s">
        <v>446</v>
      </c>
      <c r="B379" s="6" t="s">
        <v>591</v>
      </c>
      <c r="C379" s="6">
        <v>1</v>
      </c>
      <c r="D379">
        <f t="shared" si="5"/>
        <v>19</v>
      </c>
      <c r="G379" s="1"/>
    </row>
    <row r="380" spans="1:7" x14ac:dyDescent="0.25">
      <c r="A380" s="4" t="s">
        <v>446</v>
      </c>
      <c r="B380" s="5" t="s">
        <v>592</v>
      </c>
      <c r="C380" s="5">
        <v>0</v>
      </c>
      <c r="D380">
        <f t="shared" si="5"/>
        <v>19</v>
      </c>
      <c r="G380" s="1"/>
    </row>
    <row r="381" spans="1:7" x14ac:dyDescent="0.25">
      <c r="A381" s="3" t="s">
        <v>446</v>
      </c>
      <c r="B381" s="6" t="s">
        <v>593</v>
      </c>
      <c r="C381" s="6">
        <v>0</v>
      </c>
      <c r="D381">
        <f t="shared" si="5"/>
        <v>19</v>
      </c>
      <c r="G381" s="1"/>
    </row>
    <row r="382" spans="1:7" x14ac:dyDescent="0.25">
      <c r="A382" s="4" t="s">
        <v>447</v>
      </c>
      <c r="B382" s="5" t="s">
        <v>574</v>
      </c>
      <c r="C382" s="5">
        <v>0</v>
      </c>
      <c r="D382">
        <f t="shared" si="5"/>
        <v>20</v>
      </c>
      <c r="G382" s="1"/>
    </row>
    <row r="383" spans="1:7" x14ac:dyDescent="0.25">
      <c r="A383" s="3" t="s">
        <v>447</v>
      </c>
      <c r="B383" s="6" t="s">
        <v>575</v>
      </c>
      <c r="C383" s="6">
        <v>0</v>
      </c>
      <c r="D383">
        <f t="shared" si="5"/>
        <v>20</v>
      </c>
      <c r="G383" s="1"/>
    </row>
    <row r="384" spans="1:7" x14ac:dyDescent="0.25">
      <c r="A384" s="4" t="s">
        <v>447</v>
      </c>
      <c r="B384" s="5" t="s">
        <v>576</v>
      </c>
      <c r="C384" s="5">
        <v>0</v>
      </c>
      <c r="D384">
        <f t="shared" si="5"/>
        <v>20</v>
      </c>
      <c r="G384" s="1"/>
    </row>
    <row r="385" spans="1:7" x14ac:dyDescent="0.25">
      <c r="A385" s="3" t="s">
        <v>447</v>
      </c>
      <c r="B385" s="6" t="s">
        <v>577</v>
      </c>
      <c r="C385" s="6">
        <v>0</v>
      </c>
      <c r="D385">
        <f t="shared" si="5"/>
        <v>20</v>
      </c>
      <c r="G385" s="1"/>
    </row>
    <row r="386" spans="1:7" x14ac:dyDescent="0.25">
      <c r="A386" s="4" t="s">
        <v>447</v>
      </c>
      <c r="B386" s="5" t="s">
        <v>578</v>
      </c>
      <c r="C386" s="5">
        <v>0</v>
      </c>
      <c r="D386">
        <f t="shared" si="5"/>
        <v>20</v>
      </c>
      <c r="G386" s="1"/>
    </row>
    <row r="387" spans="1:7" x14ac:dyDescent="0.25">
      <c r="A387" s="3" t="s">
        <v>447</v>
      </c>
      <c r="B387" s="6" t="s">
        <v>579</v>
      </c>
      <c r="C387" s="6">
        <v>0</v>
      </c>
      <c r="D387">
        <f t="shared" si="5"/>
        <v>20</v>
      </c>
      <c r="G387" s="1"/>
    </row>
    <row r="388" spans="1:7" x14ac:dyDescent="0.25">
      <c r="A388" s="4" t="s">
        <v>447</v>
      </c>
      <c r="B388" s="5" t="s">
        <v>580</v>
      </c>
      <c r="C388" s="5">
        <v>0</v>
      </c>
      <c r="D388">
        <f t="shared" ref="D388:D451" si="6">IF(B388="CCM", D387+1, D387)</f>
        <v>20</v>
      </c>
      <c r="G388" s="1"/>
    </row>
    <row r="389" spans="1:7" x14ac:dyDescent="0.25">
      <c r="A389" s="3" t="s">
        <v>447</v>
      </c>
      <c r="B389" s="6" t="s">
        <v>581</v>
      </c>
      <c r="C389" s="6">
        <v>0</v>
      </c>
      <c r="D389">
        <f t="shared" si="6"/>
        <v>20</v>
      </c>
      <c r="G389" s="1"/>
    </row>
    <row r="390" spans="1:7" x14ac:dyDescent="0.25">
      <c r="A390" s="4" t="s">
        <v>447</v>
      </c>
      <c r="B390" s="5" t="s">
        <v>582</v>
      </c>
      <c r="C390" s="5">
        <v>4</v>
      </c>
      <c r="D390">
        <f t="shared" si="6"/>
        <v>20</v>
      </c>
      <c r="G390" s="1"/>
    </row>
    <row r="391" spans="1:7" x14ac:dyDescent="0.25">
      <c r="A391" s="3" t="s">
        <v>447</v>
      </c>
      <c r="B391" s="6" t="s">
        <v>583</v>
      </c>
      <c r="C391" s="6">
        <v>4</v>
      </c>
      <c r="D391">
        <f t="shared" si="6"/>
        <v>20</v>
      </c>
      <c r="G391" s="1"/>
    </row>
    <row r="392" spans="1:7" x14ac:dyDescent="0.25">
      <c r="A392" s="4" t="s">
        <v>447</v>
      </c>
      <c r="B392" s="5" t="s">
        <v>584</v>
      </c>
      <c r="C392" s="5">
        <v>8</v>
      </c>
      <c r="D392">
        <f t="shared" si="6"/>
        <v>20</v>
      </c>
      <c r="G392" s="1"/>
    </row>
    <row r="393" spans="1:7" x14ac:dyDescent="0.25">
      <c r="A393" s="3" t="s">
        <v>447</v>
      </c>
      <c r="B393" s="6" t="s">
        <v>585</v>
      </c>
      <c r="C393" s="6">
        <v>7</v>
      </c>
      <c r="D393">
        <f t="shared" si="6"/>
        <v>20</v>
      </c>
      <c r="G393" s="1"/>
    </row>
    <row r="394" spans="1:7" x14ac:dyDescent="0.25">
      <c r="A394" s="4" t="s">
        <v>447</v>
      </c>
      <c r="B394" s="5" t="s">
        <v>586</v>
      </c>
      <c r="C394" s="5">
        <v>0</v>
      </c>
      <c r="D394">
        <f t="shared" si="6"/>
        <v>20</v>
      </c>
      <c r="G394" s="1"/>
    </row>
    <row r="395" spans="1:7" x14ac:dyDescent="0.25">
      <c r="A395" s="3" t="s">
        <v>447</v>
      </c>
      <c r="B395" s="6" t="s">
        <v>587</v>
      </c>
      <c r="C395" s="6">
        <v>0</v>
      </c>
      <c r="D395">
        <f t="shared" si="6"/>
        <v>20</v>
      </c>
      <c r="G395" s="1"/>
    </row>
    <row r="396" spans="1:7" x14ac:dyDescent="0.25">
      <c r="A396" s="4" t="s">
        <v>447</v>
      </c>
      <c r="B396" s="5" t="s">
        <v>588</v>
      </c>
      <c r="C396" s="5">
        <v>75.241600000000005</v>
      </c>
      <c r="D396">
        <f t="shared" si="6"/>
        <v>20</v>
      </c>
      <c r="G396" s="1"/>
    </row>
    <row r="397" spans="1:7" x14ac:dyDescent="0.25">
      <c r="A397" s="3" t="s">
        <v>447</v>
      </c>
      <c r="B397" s="6" t="s">
        <v>589</v>
      </c>
      <c r="C397" s="6">
        <v>0</v>
      </c>
      <c r="D397">
        <f t="shared" si="6"/>
        <v>20</v>
      </c>
      <c r="G397" s="1"/>
    </row>
    <row r="398" spans="1:7" x14ac:dyDescent="0.25">
      <c r="A398" s="4" t="s">
        <v>447</v>
      </c>
      <c r="B398" s="5" t="s">
        <v>590</v>
      </c>
      <c r="C398" s="5">
        <v>1</v>
      </c>
      <c r="D398">
        <f t="shared" si="6"/>
        <v>20</v>
      </c>
      <c r="G398" s="1"/>
    </row>
    <row r="399" spans="1:7" x14ac:dyDescent="0.25">
      <c r="A399" s="3" t="s">
        <v>447</v>
      </c>
      <c r="B399" s="6" t="s">
        <v>591</v>
      </c>
      <c r="C399" s="6">
        <v>0</v>
      </c>
      <c r="D399">
        <f t="shared" si="6"/>
        <v>20</v>
      </c>
      <c r="G399" s="1"/>
    </row>
    <row r="400" spans="1:7" x14ac:dyDescent="0.25">
      <c r="A400" s="4" t="s">
        <v>447</v>
      </c>
      <c r="B400" s="5" t="s">
        <v>592</v>
      </c>
      <c r="C400" s="5">
        <v>0</v>
      </c>
      <c r="D400">
        <f t="shared" si="6"/>
        <v>20</v>
      </c>
      <c r="G400" s="1"/>
    </row>
    <row r="401" spans="1:7" x14ac:dyDescent="0.25">
      <c r="A401" s="3" t="s">
        <v>447</v>
      </c>
      <c r="B401" s="6" t="s">
        <v>593</v>
      </c>
      <c r="C401" s="6">
        <v>0</v>
      </c>
      <c r="D401">
        <f t="shared" si="6"/>
        <v>20</v>
      </c>
      <c r="G401" s="1"/>
    </row>
    <row r="402" spans="1:7" x14ac:dyDescent="0.25">
      <c r="A402" s="4" t="s">
        <v>448</v>
      </c>
      <c r="B402" s="5" t="s">
        <v>574</v>
      </c>
      <c r="C402" s="5">
        <v>1</v>
      </c>
      <c r="D402">
        <f t="shared" si="6"/>
        <v>21</v>
      </c>
      <c r="G402" s="1"/>
    </row>
    <row r="403" spans="1:7" x14ac:dyDescent="0.25">
      <c r="A403" s="3" t="s">
        <v>448</v>
      </c>
      <c r="B403" s="6" t="s">
        <v>575</v>
      </c>
      <c r="C403" s="6">
        <v>0</v>
      </c>
      <c r="D403">
        <f t="shared" si="6"/>
        <v>21</v>
      </c>
      <c r="G403" s="1"/>
    </row>
    <row r="404" spans="1:7" x14ac:dyDescent="0.25">
      <c r="A404" s="4" t="s">
        <v>448</v>
      </c>
      <c r="B404" s="5" t="s">
        <v>576</v>
      </c>
      <c r="C404" s="5">
        <v>1</v>
      </c>
      <c r="D404">
        <f t="shared" si="6"/>
        <v>21</v>
      </c>
      <c r="G404" s="1"/>
    </row>
    <row r="405" spans="1:7" x14ac:dyDescent="0.25">
      <c r="A405" s="3" t="s">
        <v>448</v>
      </c>
      <c r="B405" s="6" t="s">
        <v>577</v>
      </c>
      <c r="C405" s="6">
        <v>1</v>
      </c>
      <c r="D405">
        <f t="shared" si="6"/>
        <v>21</v>
      </c>
      <c r="G405" s="1"/>
    </row>
    <row r="406" spans="1:7" x14ac:dyDescent="0.25">
      <c r="A406" s="4" t="s">
        <v>448</v>
      </c>
      <c r="B406" s="5" t="s">
        <v>578</v>
      </c>
      <c r="C406" s="5">
        <v>1</v>
      </c>
      <c r="D406">
        <f t="shared" si="6"/>
        <v>21</v>
      </c>
      <c r="G406" s="1"/>
    </row>
    <row r="407" spans="1:7" x14ac:dyDescent="0.25">
      <c r="A407" s="3" t="s">
        <v>448</v>
      </c>
      <c r="B407" s="6" t="s">
        <v>579</v>
      </c>
      <c r="C407" s="6">
        <v>3.75</v>
      </c>
      <c r="D407">
        <f t="shared" si="6"/>
        <v>21</v>
      </c>
      <c r="G407" s="1"/>
    </row>
    <row r="408" spans="1:7" x14ac:dyDescent="0.25">
      <c r="A408" s="4" t="s">
        <v>448</v>
      </c>
      <c r="B408" s="5" t="s">
        <v>580</v>
      </c>
      <c r="C408" s="5">
        <v>137.02950000000001</v>
      </c>
      <c r="D408">
        <f t="shared" si="6"/>
        <v>21</v>
      </c>
      <c r="G408" s="1"/>
    </row>
    <row r="409" spans="1:7" x14ac:dyDescent="0.25">
      <c r="A409" s="3" t="s">
        <v>448</v>
      </c>
      <c r="B409" s="6" t="s">
        <v>581</v>
      </c>
      <c r="C409" s="6">
        <v>8.8999999999999999E-3</v>
      </c>
      <c r="D409">
        <f t="shared" si="6"/>
        <v>21</v>
      </c>
      <c r="G409" s="1"/>
    </row>
    <row r="410" spans="1:7" x14ac:dyDescent="0.25">
      <c r="A410" s="4" t="s">
        <v>448</v>
      </c>
      <c r="B410" s="5" t="s">
        <v>582</v>
      </c>
      <c r="C410" s="5">
        <v>11</v>
      </c>
      <c r="D410">
        <f t="shared" si="6"/>
        <v>21</v>
      </c>
      <c r="G410" s="1"/>
    </row>
    <row r="411" spans="1:7" x14ac:dyDescent="0.25">
      <c r="A411" s="3" t="s">
        <v>448</v>
      </c>
      <c r="B411" s="6" t="s">
        <v>583</v>
      </c>
      <c r="C411" s="6">
        <v>10</v>
      </c>
      <c r="D411">
        <f t="shared" si="6"/>
        <v>21</v>
      </c>
      <c r="G411" s="1"/>
    </row>
    <row r="412" spans="1:7" x14ac:dyDescent="0.25">
      <c r="A412" s="4" t="s">
        <v>448</v>
      </c>
      <c r="B412" s="5" t="s">
        <v>584</v>
      </c>
      <c r="C412" s="5">
        <v>36.541200000000003</v>
      </c>
      <c r="D412">
        <f t="shared" si="6"/>
        <v>21</v>
      </c>
      <c r="G412" s="1"/>
    </row>
    <row r="413" spans="1:7" x14ac:dyDescent="0.25">
      <c r="A413" s="3" t="s">
        <v>448</v>
      </c>
      <c r="B413" s="6" t="s">
        <v>585</v>
      </c>
      <c r="C413" s="6">
        <v>11</v>
      </c>
      <c r="D413">
        <f t="shared" si="6"/>
        <v>21</v>
      </c>
      <c r="G413" s="1"/>
    </row>
    <row r="414" spans="1:7" x14ac:dyDescent="0.25">
      <c r="A414" s="4" t="s">
        <v>448</v>
      </c>
      <c r="B414" s="5" t="s">
        <v>586</v>
      </c>
      <c r="C414" s="5">
        <v>0</v>
      </c>
      <c r="D414">
        <f t="shared" si="6"/>
        <v>21</v>
      </c>
      <c r="G414" s="1"/>
    </row>
    <row r="415" spans="1:7" x14ac:dyDescent="0.25">
      <c r="A415" s="3" t="s">
        <v>448</v>
      </c>
      <c r="B415" s="6" t="s">
        <v>587</v>
      </c>
      <c r="C415" s="6">
        <v>1</v>
      </c>
      <c r="D415">
        <f t="shared" si="6"/>
        <v>21</v>
      </c>
      <c r="G415" s="1"/>
    </row>
    <row r="416" spans="1:7" x14ac:dyDescent="0.25">
      <c r="A416" s="4" t="s">
        <v>448</v>
      </c>
      <c r="B416" s="5" t="s">
        <v>588</v>
      </c>
      <c r="C416" s="5">
        <v>66.292599999999993</v>
      </c>
      <c r="D416">
        <f t="shared" si="6"/>
        <v>21</v>
      </c>
      <c r="G416" s="1"/>
    </row>
    <row r="417" spans="1:7" x14ac:dyDescent="0.25">
      <c r="A417" s="3" t="s">
        <v>448</v>
      </c>
      <c r="B417" s="6" t="s">
        <v>589</v>
      </c>
      <c r="C417" s="6">
        <v>0</v>
      </c>
      <c r="D417">
        <f t="shared" si="6"/>
        <v>21</v>
      </c>
      <c r="G417" s="1"/>
    </row>
    <row r="418" spans="1:7" x14ac:dyDescent="0.25">
      <c r="A418" s="4" t="s">
        <v>448</v>
      </c>
      <c r="B418" s="5" t="s">
        <v>590</v>
      </c>
      <c r="C418" s="5">
        <v>2</v>
      </c>
      <c r="D418">
        <f t="shared" si="6"/>
        <v>21</v>
      </c>
      <c r="G418" s="1"/>
    </row>
    <row r="419" spans="1:7" x14ac:dyDescent="0.25">
      <c r="A419" s="3" t="s">
        <v>448</v>
      </c>
      <c r="B419" s="6" t="s">
        <v>591</v>
      </c>
      <c r="C419" s="6">
        <v>3</v>
      </c>
      <c r="D419">
        <f t="shared" si="6"/>
        <v>21</v>
      </c>
      <c r="G419" s="1"/>
    </row>
    <row r="420" spans="1:7" x14ac:dyDescent="0.25">
      <c r="A420" s="4" t="s">
        <v>448</v>
      </c>
      <c r="B420" s="5" t="s">
        <v>592</v>
      </c>
      <c r="C420" s="5">
        <v>1</v>
      </c>
      <c r="D420">
        <f t="shared" si="6"/>
        <v>21</v>
      </c>
      <c r="G420" s="1"/>
    </row>
    <row r="421" spans="1:7" x14ac:dyDescent="0.25">
      <c r="A421" s="3" t="s">
        <v>448</v>
      </c>
      <c r="B421" s="6" t="s">
        <v>593</v>
      </c>
      <c r="C421" s="6">
        <v>1</v>
      </c>
      <c r="D421">
        <f t="shared" si="6"/>
        <v>21</v>
      </c>
      <c r="G421" s="1"/>
    </row>
    <row r="422" spans="1:7" x14ac:dyDescent="0.25">
      <c r="A422" s="4" t="s">
        <v>449</v>
      </c>
      <c r="B422" s="5" t="s">
        <v>574</v>
      </c>
      <c r="C422" s="5">
        <v>0</v>
      </c>
      <c r="D422">
        <f t="shared" si="6"/>
        <v>22</v>
      </c>
      <c r="G422" s="1"/>
    </row>
    <row r="423" spans="1:7" x14ac:dyDescent="0.25">
      <c r="A423" s="3" t="s">
        <v>449</v>
      </c>
      <c r="B423" s="6" t="s">
        <v>575</v>
      </c>
      <c r="C423" s="6">
        <v>0</v>
      </c>
      <c r="D423">
        <f t="shared" si="6"/>
        <v>22</v>
      </c>
      <c r="G423" s="1"/>
    </row>
    <row r="424" spans="1:7" x14ac:dyDescent="0.25">
      <c r="A424" s="4" t="s">
        <v>449</v>
      </c>
      <c r="B424" s="5" t="s">
        <v>576</v>
      </c>
      <c r="C424" s="5">
        <v>0</v>
      </c>
      <c r="D424">
        <f t="shared" si="6"/>
        <v>22</v>
      </c>
      <c r="G424" s="1"/>
    </row>
    <row r="425" spans="1:7" x14ac:dyDescent="0.25">
      <c r="A425" s="3" t="s">
        <v>449</v>
      </c>
      <c r="B425" s="6" t="s">
        <v>577</v>
      </c>
      <c r="C425" s="6">
        <v>0</v>
      </c>
      <c r="D425">
        <f t="shared" si="6"/>
        <v>22</v>
      </c>
      <c r="G425" s="1"/>
    </row>
    <row r="426" spans="1:7" x14ac:dyDescent="0.25">
      <c r="A426" s="4" t="s">
        <v>449</v>
      </c>
      <c r="B426" s="5" t="s">
        <v>578</v>
      </c>
      <c r="C426" s="5">
        <v>0</v>
      </c>
      <c r="D426">
        <f t="shared" si="6"/>
        <v>22</v>
      </c>
      <c r="G426" s="1"/>
    </row>
    <row r="427" spans="1:7" x14ac:dyDescent="0.25">
      <c r="A427" s="3" t="s">
        <v>449</v>
      </c>
      <c r="B427" s="6" t="s">
        <v>579</v>
      </c>
      <c r="C427" s="6">
        <v>4.5</v>
      </c>
      <c r="D427">
        <f t="shared" si="6"/>
        <v>22</v>
      </c>
      <c r="G427" s="1"/>
    </row>
    <row r="428" spans="1:7" x14ac:dyDescent="0.25">
      <c r="A428" s="4" t="s">
        <v>449</v>
      </c>
      <c r="B428" s="5" t="s">
        <v>580</v>
      </c>
      <c r="C428" s="5">
        <v>121.5</v>
      </c>
      <c r="D428">
        <f t="shared" si="6"/>
        <v>22</v>
      </c>
      <c r="G428" s="1"/>
    </row>
    <row r="429" spans="1:7" x14ac:dyDescent="0.25">
      <c r="A429" s="3" t="s">
        <v>449</v>
      </c>
      <c r="B429" s="6" t="s">
        <v>581</v>
      </c>
      <c r="C429" s="6">
        <v>8.2000000000000007E-3</v>
      </c>
      <c r="D429">
        <f t="shared" si="6"/>
        <v>22</v>
      </c>
      <c r="G429" s="1"/>
    </row>
    <row r="430" spans="1:7" x14ac:dyDescent="0.25">
      <c r="A430" s="4" t="s">
        <v>449</v>
      </c>
      <c r="B430" s="5" t="s">
        <v>582</v>
      </c>
      <c r="C430" s="5">
        <v>9</v>
      </c>
      <c r="D430">
        <f t="shared" si="6"/>
        <v>22</v>
      </c>
      <c r="G430" s="1"/>
    </row>
    <row r="431" spans="1:7" x14ac:dyDescent="0.25">
      <c r="A431" s="3" t="s">
        <v>449</v>
      </c>
      <c r="B431" s="6" t="s">
        <v>583</v>
      </c>
      <c r="C431" s="6">
        <v>8</v>
      </c>
      <c r="D431">
        <f t="shared" si="6"/>
        <v>22</v>
      </c>
      <c r="G431" s="1"/>
    </row>
    <row r="432" spans="1:7" x14ac:dyDescent="0.25">
      <c r="A432" s="4" t="s">
        <v>449</v>
      </c>
      <c r="B432" s="5" t="s">
        <v>584</v>
      </c>
      <c r="C432" s="5">
        <v>27</v>
      </c>
      <c r="D432">
        <f t="shared" si="6"/>
        <v>22</v>
      </c>
      <c r="G432" s="1"/>
    </row>
    <row r="433" spans="1:7" x14ac:dyDescent="0.25">
      <c r="A433" s="3" t="s">
        <v>449</v>
      </c>
      <c r="B433" s="6" t="s">
        <v>585</v>
      </c>
      <c r="C433" s="6">
        <v>11</v>
      </c>
      <c r="D433">
        <f t="shared" si="6"/>
        <v>22</v>
      </c>
      <c r="G433" s="1"/>
    </row>
    <row r="434" spans="1:7" x14ac:dyDescent="0.25">
      <c r="A434" s="4" t="s">
        <v>449</v>
      </c>
      <c r="B434" s="5" t="s">
        <v>586</v>
      </c>
      <c r="C434" s="5">
        <v>0</v>
      </c>
      <c r="D434">
        <f t="shared" si="6"/>
        <v>22</v>
      </c>
      <c r="G434" s="1"/>
    </row>
    <row r="435" spans="1:7" x14ac:dyDescent="0.25">
      <c r="A435" s="3" t="s">
        <v>449</v>
      </c>
      <c r="B435" s="6" t="s">
        <v>587</v>
      </c>
      <c r="C435" s="6">
        <v>0</v>
      </c>
      <c r="D435">
        <f t="shared" si="6"/>
        <v>22</v>
      </c>
      <c r="G435" s="1"/>
    </row>
    <row r="436" spans="1:7" x14ac:dyDescent="0.25">
      <c r="A436" s="4" t="s">
        <v>449</v>
      </c>
      <c r="B436" s="5" t="s">
        <v>588</v>
      </c>
      <c r="C436" s="5">
        <v>67.375399999999999</v>
      </c>
      <c r="D436">
        <f t="shared" si="6"/>
        <v>22</v>
      </c>
      <c r="G436" s="1"/>
    </row>
    <row r="437" spans="1:7" x14ac:dyDescent="0.25">
      <c r="A437" s="3" t="s">
        <v>449</v>
      </c>
      <c r="B437" s="6" t="s">
        <v>589</v>
      </c>
      <c r="C437" s="6">
        <v>0</v>
      </c>
      <c r="D437">
        <f t="shared" si="6"/>
        <v>22</v>
      </c>
      <c r="G437" s="1"/>
    </row>
    <row r="438" spans="1:7" x14ac:dyDescent="0.25">
      <c r="A438" s="4" t="s">
        <v>449</v>
      </c>
      <c r="B438" s="5" t="s">
        <v>590</v>
      </c>
      <c r="C438" s="5">
        <v>1</v>
      </c>
      <c r="D438">
        <f t="shared" si="6"/>
        <v>22</v>
      </c>
      <c r="G438" s="1"/>
    </row>
    <row r="439" spans="1:7" x14ac:dyDescent="0.25">
      <c r="A439" s="3" t="s">
        <v>449</v>
      </c>
      <c r="B439" s="6" t="s">
        <v>591</v>
      </c>
      <c r="C439" s="6">
        <v>1</v>
      </c>
      <c r="D439">
        <f t="shared" si="6"/>
        <v>22</v>
      </c>
      <c r="G439" s="1"/>
    </row>
    <row r="440" spans="1:7" x14ac:dyDescent="0.25">
      <c r="A440" s="4" t="s">
        <v>449</v>
      </c>
      <c r="B440" s="5" t="s">
        <v>592</v>
      </c>
      <c r="C440" s="5">
        <v>0</v>
      </c>
      <c r="D440">
        <f t="shared" si="6"/>
        <v>22</v>
      </c>
      <c r="G440" s="1"/>
    </row>
    <row r="441" spans="1:7" x14ac:dyDescent="0.25">
      <c r="A441" s="3" t="s">
        <v>449</v>
      </c>
      <c r="B441" s="6" t="s">
        <v>593</v>
      </c>
      <c r="C441" s="6">
        <v>1</v>
      </c>
      <c r="D441">
        <f t="shared" si="6"/>
        <v>22</v>
      </c>
      <c r="G441" s="1"/>
    </row>
    <row r="442" spans="1:7" x14ac:dyDescent="0.25">
      <c r="A442" s="4" t="s">
        <v>450</v>
      </c>
      <c r="B442" s="5" t="s">
        <v>574</v>
      </c>
      <c r="C442" s="5">
        <v>0</v>
      </c>
      <c r="D442">
        <f t="shared" si="6"/>
        <v>23</v>
      </c>
      <c r="G442" s="1"/>
    </row>
    <row r="443" spans="1:7" x14ac:dyDescent="0.25">
      <c r="A443" s="3" t="s">
        <v>450</v>
      </c>
      <c r="B443" s="6" t="s">
        <v>575</v>
      </c>
      <c r="C443" s="6">
        <v>0</v>
      </c>
      <c r="D443">
        <f t="shared" si="6"/>
        <v>23</v>
      </c>
      <c r="G443" s="1"/>
    </row>
    <row r="444" spans="1:7" x14ac:dyDescent="0.25">
      <c r="A444" s="4" t="s">
        <v>450</v>
      </c>
      <c r="B444" s="5" t="s">
        <v>576</v>
      </c>
      <c r="C444" s="5">
        <v>0.5</v>
      </c>
      <c r="D444">
        <f t="shared" si="6"/>
        <v>23</v>
      </c>
      <c r="G444" s="1"/>
    </row>
    <row r="445" spans="1:7" x14ac:dyDescent="0.25">
      <c r="A445" s="3" t="s">
        <v>450</v>
      </c>
      <c r="B445" s="6" t="s">
        <v>577</v>
      </c>
      <c r="C445" s="6">
        <v>2</v>
      </c>
      <c r="D445">
        <f t="shared" si="6"/>
        <v>23</v>
      </c>
      <c r="G445" s="1"/>
    </row>
    <row r="446" spans="1:7" x14ac:dyDescent="0.25">
      <c r="A446" s="4" t="s">
        <v>450</v>
      </c>
      <c r="B446" s="5" t="s">
        <v>578</v>
      </c>
      <c r="C446" s="5">
        <v>1</v>
      </c>
      <c r="D446">
        <f t="shared" si="6"/>
        <v>23</v>
      </c>
      <c r="G446" s="1"/>
    </row>
    <row r="447" spans="1:7" x14ac:dyDescent="0.25">
      <c r="A447" s="3" t="s">
        <v>450</v>
      </c>
      <c r="B447" s="6" t="s">
        <v>579</v>
      </c>
      <c r="C447" s="6">
        <v>3.5</v>
      </c>
      <c r="D447">
        <f t="shared" si="6"/>
        <v>23</v>
      </c>
      <c r="G447" s="1"/>
    </row>
    <row r="448" spans="1:7" x14ac:dyDescent="0.25">
      <c r="A448" s="4" t="s">
        <v>450</v>
      </c>
      <c r="B448" s="5" t="s">
        <v>580</v>
      </c>
      <c r="C448" s="5">
        <v>157.4041</v>
      </c>
      <c r="D448">
        <f t="shared" si="6"/>
        <v>23</v>
      </c>
      <c r="G448" s="1"/>
    </row>
    <row r="449" spans="1:7" x14ac:dyDescent="0.25">
      <c r="A449" s="3" t="s">
        <v>450</v>
      </c>
      <c r="B449" s="6" t="s">
        <v>581</v>
      </c>
      <c r="C449" s="6">
        <v>9.7000000000000003E-3</v>
      </c>
      <c r="D449">
        <f t="shared" si="6"/>
        <v>23</v>
      </c>
      <c r="G449" s="1"/>
    </row>
    <row r="450" spans="1:7" x14ac:dyDescent="0.25">
      <c r="A450" s="4" t="s">
        <v>450</v>
      </c>
      <c r="B450" s="5" t="s">
        <v>582</v>
      </c>
      <c r="C450" s="5">
        <v>13</v>
      </c>
      <c r="D450">
        <f t="shared" si="6"/>
        <v>23</v>
      </c>
      <c r="G450" s="1"/>
    </row>
    <row r="451" spans="1:7" x14ac:dyDescent="0.25">
      <c r="A451" s="3" t="s">
        <v>450</v>
      </c>
      <c r="B451" s="6" t="s">
        <v>583</v>
      </c>
      <c r="C451" s="6">
        <v>11</v>
      </c>
      <c r="D451">
        <f t="shared" si="6"/>
        <v>23</v>
      </c>
      <c r="G451" s="1"/>
    </row>
    <row r="452" spans="1:7" x14ac:dyDescent="0.25">
      <c r="A452" s="4" t="s">
        <v>450</v>
      </c>
      <c r="B452" s="5" t="s">
        <v>584</v>
      </c>
      <c r="C452" s="5">
        <v>44.9726</v>
      </c>
      <c r="D452">
        <f t="shared" ref="D452:D515" si="7">IF(B452="CCM", D451+1, D451)</f>
        <v>23</v>
      </c>
      <c r="G452" s="1"/>
    </row>
    <row r="453" spans="1:7" x14ac:dyDescent="0.25">
      <c r="A453" s="3" t="s">
        <v>450</v>
      </c>
      <c r="B453" s="6" t="s">
        <v>585</v>
      </c>
      <c r="C453" s="6">
        <v>14</v>
      </c>
      <c r="D453">
        <f t="shared" si="7"/>
        <v>23</v>
      </c>
      <c r="G453" s="1"/>
    </row>
    <row r="454" spans="1:7" x14ac:dyDescent="0.25">
      <c r="A454" s="4" t="s">
        <v>450</v>
      </c>
      <c r="B454" s="5" t="s">
        <v>586</v>
      </c>
      <c r="C454" s="5">
        <v>0</v>
      </c>
      <c r="D454">
        <f t="shared" si="7"/>
        <v>23</v>
      </c>
      <c r="G454" s="1"/>
    </row>
    <row r="455" spans="1:7" x14ac:dyDescent="0.25">
      <c r="A455" s="3" t="s">
        <v>450</v>
      </c>
      <c r="B455" s="6" t="s">
        <v>587</v>
      </c>
      <c r="C455" s="6">
        <v>0</v>
      </c>
      <c r="D455">
        <f t="shared" si="7"/>
        <v>23</v>
      </c>
      <c r="G455" s="1"/>
    </row>
    <row r="456" spans="1:7" x14ac:dyDescent="0.25">
      <c r="A456" s="4" t="s">
        <v>450</v>
      </c>
      <c r="B456" s="5" t="s">
        <v>588</v>
      </c>
      <c r="C456" s="5">
        <v>63.490900000000003</v>
      </c>
      <c r="D456">
        <f t="shared" si="7"/>
        <v>23</v>
      </c>
      <c r="G456" s="1"/>
    </row>
    <row r="457" spans="1:7" x14ac:dyDescent="0.25">
      <c r="A457" s="3" t="s">
        <v>450</v>
      </c>
      <c r="B457" s="6" t="s">
        <v>589</v>
      </c>
      <c r="C457" s="6">
        <v>0</v>
      </c>
      <c r="D457">
        <f t="shared" si="7"/>
        <v>23</v>
      </c>
      <c r="G457" s="1"/>
    </row>
    <row r="458" spans="1:7" x14ac:dyDescent="0.25">
      <c r="A458" s="4" t="s">
        <v>450</v>
      </c>
      <c r="B458" s="5" t="s">
        <v>590</v>
      </c>
      <c r="C458" s="5">
        <v>1</v>
      </c>
      <c r="D458">
        <f t="shared" si="7"/>
        <v>23</v>
      </c>
      <c r="G458" s="1"/>
    </row>
    <row r="459" spans="1:7" x14ac:dyDescent="0.25">
      <c r="A459" s="3" t="s">
        <v>450</v>
      </c>
      <c r="B459" s="6" t="s">
        <v>591</v>
      </c>
      <c r="C459" s="6">
        <v>1</v>
      </c>
      <c r="D459">
        <f t="shared" si="7"/>
        <v>23</v>
      </c>
      <c r="G459" s="1"/>
    </row>
    <row r="460" spans="1:7" x14ac:dyDescent="0.25">
      <c r="A460" s="4" t="s">
        <v>450</v>
      </c>
      <c r="B460" s="5" t="s">
        <v>592</v>
      </c>
      <c r="C460" s="5">
        <v>0</v>
      </c>
      <c r="D460">
        <f t="shared" si="7"/>
        <v>23</v>
      </c>
      <c r="G460" s="1"/>
    </row>
    <row r="461" spans="1:7" x14ac:dyDescent="0.25">
      <c r="A461" s="3" t="s">
        <v>450</v>
      </c>
      <c r="B461" s="6" t="s">
        <v>593</v>
      </c>
      <c r="C461" s="6">
        <v>0</v>
      </c>
      <c r="D461">
        <f t="shared" si="7"/>
        <v>23</v>
      </c>
      <c r="G461" s="1"/>
    </row>
    <row r="462" spans="1:7" x14ac:dyDescent="0.25">
      <c r="A462" s="4" t="s">
        <v>451</v>
      </c>
      <c r="B462" s="5" t="s">
        <v>574</v>
      </c>
      <c r="C462" s="5">
        <v>2</v>
      </c>
      <c r="D462">
        <f t="shared" si="7"/>
        <v>24</v>
      </c>
      <c r="G462" s="1"/>
    </row>
    <row r="463" spans="1:7" x14ac:dyDescent="0.25">
      <c r="A463" s="3" t="s">
        <v>451</v>
      </c>
      <c r="B463" s="6" t="s">
        <v>575</v>
      </c>
      <c r="C463" s="6">
        <v>1</v>
      </c>
      <c r="D463">
        <f t="shared" si="7"/>
        <v>24</v>
      </c>
      <c r="G463" s="1"/>
    </row>
    <row r="464" spans="1:7" x14ac:dyDescent="0.25">
      <c r="A464" s="4" t="s">
        <v>451</v>
      </c>
      <c r="B464" s="5" t="s">
        <v>576</v>
      </c>
      <c r="C464" s="5">
        <v>1</v>
      </c>
      <c r="D464">
        <f t="shared" si="7"/>
        <v>24</v>
      </c>
      <c r="G464" s="1"/>
    </row>
    <row r="465" spans="1:7" x14ac:dyDescent="0.25">
      <c r="A465" s="3" t="s">
        <v>451</v>
      </c>
      <c r="B465" s="6" t="s">
        <v>577</v>
      </c>
      <c r="C465" s="6">
        <v>1</v>
      </c>
      <c r="D465">
        <f t="shared" si="7"/>
        <v>24</v>
      </c>
      <c r="G465" s="1"/>
    </row>
    <row r="466" spans="1:7" x14ac:dyDescent="0.25">
      <c r="A466" s="4" t="s">
        <v>451</v>
      </c>
      <c r="B466" s="5" t="s">
        <v>578</v>
      </c>
      <c r="C466" s="5">
        <v>0</v>
      </c>
      <c r="D466">
        <f t="shared" si="7"/>
        <v>24</v>
      </c>
      <c r="G466" s="1"/>
    </row>
    <row r="467" spans="1:7" x14ac:dyDescent="0.25">
      <c r="A467" s="3" t="s">
        <v>451</v>
      </c>
      <c r="B467" s="6" t="s">
        <v>579</v>
      </c>
      <c r="C467" s="6">
        <v>6.125</v>
      </c>
      <c r="D467">
        <f t="shared" si="7"/>
        <v>24</v>
      </c>
      <c r="G467" s="1"/>
    </row>
    <row r="468" spans="1:7" x14ac:dyDescent="0.25">
      <c r="A468" s="4" t="s">
        <v>451</v>
      </c>
      <c r="B468" s="5" t="s">
        <v>580</v>
      </c>
      <c r="C468" s="5">
        <v>317.83530000000002</v>
      </c>
      <c r="D468">
        <f t="shared" si="7"/>
        <v>24</v>
      </c>
      <c r="G468" s="1"/>
    </row>
    <row r="469" spans="1:7" x14ac:dyDescent="0.25">
      <c r="A469" s="3" t="s">
        <v>451</v>
      </c>
      <c r="B469" s="6" t="s">
        <v>581</v>
      </c>
      <c r="C469" s="6">
        <v>1.55E-2</v>
      </c>
      <c r="D469">
        <f t="shared" si="7"/>
        <v>24</v>
      </c>
      <c r="G469" s="1"/>
    </row>
    <row r="470" spans="1:7" x14ac:dyDescent="0.25">
      <c r="A470" s="4" t="s">
        <v>451</v>
      </c>
      <c r="B470" s="5" t="s">
        <v>582</v>
      </c>
      <c r="C470" s="5">
        <v>15</v>
      </c>
      <c r="D470">
        <f t="shared" si="7"/>
        <v>24</v>
      </c>
      <c r="G470" s="1"/>
    </row>
    <row r="471" spans="1:7" x14ac:dyDescent="0.25">
      <c r="A471" s="3" t="s">
        <v>451</v>
      </c>
      <c r="B471" s="6" t="s">
        <v>583</v>
      </c>
      <c r="C471" s="6">
        <v>11</v>
      </c>
      <c r="D471">
        <f t="shared" si="7"/>
        <v>24</v>
      </c>
      <c r="G471" s="1"/>
    </row>
    <row r="472" spans="1:7" x14ac:dyDescent="0.25">
      <c r="A472" s="4" t="s">
        <v>451</v>
      </c>
      <c r="B472" s="5" t="s">
        <v>584</v>
      </c>
      <c r="C472" s="5">
        <v>51.891500000000001</v>
      </c>
      <c r="D472">
        <f t="shared" si="7"/>
        <v>24</v>
      </c>
      <c r="G472" s="1"/>
    </row>
    <row r="473" spans="1:7" x14ac:dyDescent="0.25">
      <c r="A473" s="3" t="s">
        <v>451</v>
      </c>
      <c r="B473" s="6" t="s">
        <v>585</v>
      </c>
      <c r="C473" s="6">
        <v>20</v>
      </c>
      <c r="D473">
        <f t="shared" si="7"/>
        <v>24</v>
      </c>
      <c r="G473" s="1"/>
    </row>
    <row r="474" spans="1:7" x14ac:dyDescent="0.25">
      <c r="A474" s="4" t="s">
        <v>451</v>
      </c>
      <c r="B474" s="5" t="s">
        <v>586</v>
      </c>
      <c r="C474" s="5">
        <v>1</v>
      </c>
      <c r="D474">
        <f t="shared" si="7"/>
        <v>24</v>
      </c>
      <c r="G474" s="1"/>
    </row>
    <row r="475" spans="1:7" x14ac:dyDescent="0.25">
      <c r="A475" s="3" t="s">
        <v>451</v>
      </c>
      <c r="B475" s="6" t="s">
        <v>587</v>
      </c>
      <c r="C475" s="6">
        <v>1</v>
      </c>
      <c r="D475">
        <f t="shared" si="7"/>
        <v>24</v>
      </c>
      <c r="G475" s="1"/>
    </row>
    <row r="476" spans="1:7" x14ac:dyDescent="0.25">
      <c r="A476" s="4" t="s">
        <v>451</v>
      </c>
      <c r="B476" s="5" t="s">
        <v>588</v>
      </c>
      <c r="C476" s="5">
        <v>59.5152</v>
      </c>
      <c r="D476">
        <f t="shared" si="7"/>
        <v>24</v>
      </c>
      <c r="G476" s="1"/>
    </row>
    <row r="477" spans="1:7" x14ac:dyDescent="0.25">
      <c r="A477" s="3" t="s">
        <v>451</v>
      </c>
      <c r="B477" s="6" t="s">
        <v>589</v>
      </c>
      <c r="C477" s="6">
        <v>0</v>
      </c>
      <c r="D477">
        <f t="shared" si="7"/>
        <v>24</v>
      </c>
      <c r="G477" s="1"/>
    </row>
    <row r="478" spans="1:7" x14ac:dyDescent="0.25">
      <c r="A478" s="4" t="s">
        <v>451</v>
      </c>
      <c r="B478" s="5" t="s">
        <v>590</v>
      </c>
      <c r="C478" s="5">
        <v>3</v>
      </c>
      <c r="D478">
        <f t="shared" si="7"/>
        <v>24</v>
      </c>
      <c r="G478" s="1"/>
    </row>
    <row r="479" spans="1:7" x14ac:dyDescent="0.25">
      <c r="A479" s="3" t="s">
        <v>451</v>
      </c>
      <c r="B479" s="6" t="s">
        <v>591</v>
      </c>
      <c r="C479" s="6">
        <v>3</v>
      </c>
      <c r="D479">
        <f t="shared" si="7"/>
        <v>24</v>
      </c>
      <c r="G479" s="1"/>
    </row>
    <row r="480" spans="1:7" x14ac:dyDescent="0.25">
      <c r="A480" s="4" t="s">
        <v>451</v>
      </c>
      <c r="B480" s="5" t="s">
        <v>592</v>
      </c>
      <c r="C480" s="5">
        <v>1</v>
      </c>
      <c r="D480">
        <f t="shared" si="7"/>
        <v>24</v>
      </c>
      <c r="G480" s="1"/>
    </row>
    <row r="481" spans="1:7" x14ac:dyDescent="0.25">
      <c r="A481" s="3" t="s">
        <v>451</v>
      </c>
      <c r="B481" s="6" t="s">
        <v>593</v>
      </c>
      <c r="C481" s="6">
        <v>1</v>
      </c>
      <c r="D481">
        <f t="shared" si="7"/>
        <v>24</v>
      </c>
      <c r="G481" s="1"/>
    </row>
    <row r="482" spans="1:7" x14ac:dyDescent="0.25">
      <c r="A482" s="4" t="s">
        <v>452</v>
      </c>
      <c r="B482" s="5" t="s">
        <v>574</v>
      </c>
      <c r="C482" s="5">
        <v>5</v>
      </c>
      <c r="D482">
        <f t="shared" si="7"/>
        <v>25</v>
      </c>
      <c r="G482" s="1"/>
    </row>
    <row r="483" spans="1:7" x14ac:dyDescent="0.25">
      <c r="A483" s="3" t="s">
        <v>452</v>
      </c>
      <c r="B483" s="6" t="s">
        <v>575</v>
      </c>
      <c r="C483" s="6">
        <v>0</v>
      </c>
      <c r="D483">
        <f t="shared" si="7"/>
        <v>25</v>
      </c>
      <c r="G483" s="1"/>
    </row>
    <row r="484" spans="1:7" x14ac:dyDescent="0.25">
      <c r="A484" s="4" t="s">
        <v>452</v>
      </c>
      <c r="B484" s="5" t="s">
        <v>576</v>
      </c>
      <c r="C484" s="5">
        <v>0.5</v>
      </c>
      <c r="D484">
        <f t="shared" si="7"/>
        <v>25</v>
      </c>
      <c r="G484" s="1"/>
    </row>
    <row r="485" spans="1:7" x14ac:dyDescent="0.25">
      <c r="A485" s="3" t="s">
        <v>452</v>
      </c>
      <c r="B485" s="6" t="s">
        <v>577</v>
      </c>
      <c r="C485" s="6">
        <v>6</v>
      </c>
      <c r="D485">
        <f t="shared" si="7"/>
        <v>25</v>
      </c>
      <c r="G485" s="1"/>
    </row>
    <row r="486" spans="1:7" x14ac:dyDescent="0.25">
      <c r="A486" s="4" t="s">
        <v>452</v>
      </c>
      <c r="B486" s="5" t="s">
        <v>578</v>
      </c>
      <c r="C486" s="5">
        <v>1</v>
      </c>
      <c r="D486">
        <f t="shared" si="7"/>
        <v>25</v>
      </c>
      <c r="G486" s="1"/>
    </row>
    <row r="487" spans="1:7" x14ac:dyDescent="0.25">
      <c r="A487" s="3" t="s">
        <v>452</v>
      </c>
      <c r="B487" s="6" t="s">
        <v>579</v>
      </c>
      <c r="C487" s="6">
        <v>27</v>
      </c>
      <c r="D487">
        <f t="shared" si="7"/>
        <v>25</v>
      </c>
      <c r="G487" s="1"/>
    </row>
    <row r="488" spans="1:7" x14ac:dyDescent="0.25">
      <c r="A488" s="4" t="s">
        <v>452</v>
      </c>
      <c r="B488" s="5" t="s">
        <v>580</v>
      </c>
      <c r="C488" s="5">
        <v>12198.390299999999</v>
      </c>
      <c r="D488">
        <f t="shared" si="7"/>
        <v>25</v>
      </c>
      <c r="G488" s="1"/>
    </row>
    <row r="489" spans="1:7" x14ac:dyDescent="0.25">
      <c r="A489" s="3" t="s">
        <v>452</v>
      </c>
      <c r="B489" s="6" t="s">
        <v>581</v>
      </c>
      <c r="C489" s="6">
        <v>0.17660000000000001</v>
      </c>
      <c r="D489">
        <f t="shared" si="7"/>
        <v>25</v>
      </c>
      <c r="G489" s="1"/>
    </row>
    <row r="490" spans="1:7" x14ac:dyDescent="0.25">
      <c r="A490" s="4" t="s">
        <v>452</v>
      </c>
      <c r="B490" s="5" t="s">
        <v>582</v>
      </c>
      <c r="C490" s="5">
        <v>93</v>
      </c>
      <c r="D490">
        <f t="shared" si="7"/>
        <v>25</v>
      </c>
      <c r="G490" s="1"/>
    </row>
    <row r="491" spans="1:7" x14ac:dyDescent="0.25">
      <c r="A491" s="3" t="s">
        <v>452</v>
      </c>
      <c r="B491" s="6" t="s">
        <v>583</v>
      </c>
      <c r="C491" s="6">
        <v>29</v>
      </c>
      <c r="D491">
        <f t="shared" si="7"/>
        <v>25</v>
      </c>
      <c r="G491" s="1"/>
    </row>
    <row r="492" spans="1:7" x14ac:dyDescent="0.25">
      <c r="A492" s="4" t="s">
        <v>452</v>
      </c>
      <c r="B492" s="5" t="s">
        <v>584</v>
      </c>
      <c r="C492" s="5">
        <v>451.79219999999998</v>
      </c>
      <c r="D492">
        <f t="shared" si="7"/>
        <v>25</v>
      </c>
      <c r="G492" s="1"/>
    </row>
    <row r="493" spans="1:7" x14ac:dyDescent="0.25">
      <c r="A493" s="3" t="s">
        <v>452</v>
      </c>
      <c r="B493" s="6" t="s">
        <v>585</v>
      </c>
      <c r="C493" s="6">
        <v>27</v>
      </c>
      <c r="D493">
        <f t="shared" si="7"/>
        <v>25</v>
      </c>
      <c r="G493" s="1"/>
    </row>
    <row r="494" spans="1:7" x14ac:dyDescent="0.25">
      <c r="A494" s="4" t="s">
        <v>452</v>
      </c>
      <c r="B494" s="5" t="s">
        <v>586</v>
      </c>
      <c r="C494" s="5">
        <v>0</v>
      </c>
      <c r="D494">
        <f t="shared" si="7"/>
        <v>25</v>
      </c>
      <c r="G494" s="1"/>
    </row>
    <row r="495" spans="1:7" x14ac:dyDescent="0.25">
      <c r="A495" s="3" t="s">
        <v>452</v>
      </c>
      <c r="B495" s="6" t="s">
        <v>587</v>
      </c>
      <c r="C495" s="6">
        <v>1</v>
      </c>
      <c r="D495">
        <f t="shared" si="7"/>
        <v>25</v>
      </c>
      <c r="G495" s="1"/>
    </row>
    <row r="496" spans="1:7" x14ac:dyDescent="0.25">
      <c r="A496" s="4" t="s">
        <v>452</v>
      </c>
      <c r="B496" s="5" t="s">
        <v>588</v>
      </c>
      <c r="C496" s="5">
        <v>49.8962</v>
      </c>
      <c r="D496">
        <f t="shared" si="7"/>
        <v>25</v>
      </c>
      <c r="G496" s="1"/>
    </row>
    <row r="497" spans="1:7" x14ac:dyDescent="0.25">
      <c r="A497" s="3" t="s">
        <v>452</v>
      </c>
      <c r="B497" s="6" t="s">
        <v>589</v>
      </c>
      <c r="C497" s="6">
        <v>1</v>
      </c>
      <c r="D497">
        <f t="shared" si="7"/>
        <v>25</v>
      </c>
      <c r="G497" s="1"/>
    </row>
    <row r="498" spans="1:7" x14ac:dyDescent="0.25">
      <c r="A498" s="4" t="s">
        <v>452</v>
      </c>
      <c r="B498" s="5" t="s">
        <v>590</v>
      </c>
      <c r="C498" s="5">
        <v>9</v>
      </c>
      <c r="D498">
        <f t="shared" si="7"/>
        <v>25</v>
      </c>
      <c r="G498" s="1"/>
    </row>
    <row r="499" spans="1:7" x14ac:dyDescent="0.25">
      <c r="A499" s="3" t="s">
        <v>452</v>
      </c>
      <c r="B499" s="6" t="s">
        <v>591</v>
      </c>
      <c r="C499" s="6">
        <v>10</v>
      </c>
      <c r="D499">
        <f t="shared" si="7"/>
        <v>25</v>
      </c>
      <c r="G499" s="1"/>
    </row>
    <row r="500" spans="1:7" x14ac:dyDescent="0.25">
      <c r="A500" s="4" t="s">
        <v>452</v>
      </c>
      <c r="B500" s="5" t="s">
        <v>592</v>
      </c>
      <c r="C500" s="5">
        <v>4</v>
      </c>
      <c r="D500">
        <f t="shared" si="7"/>
        <v>25</v>
      </c>
      <c r="G500" s="1"/>
    </row>
    <row r="501" spans="1:7" x14ac:dyDescent="0.25">
      <c r="A501" s="3" t="s">
        <v>452</v>
      </c>
      <c r="B501" s="6" t="s">
        <v>593</v>
      </c>
      <c r="C501" s="6">
        <v>2</v>
      </c>
      <c r="D501">
        <f t="shared" si="7"/>
        <v>25</v>
      </c>
      <c r="G501" s="1"/>
    </row>
    <row r="502" spans="1:7" x14ac:dyDescent="0.25">
      <c r="A502" s="4" t="s">
        <v>453</v>
      </c>
      <c r="B502" s="5" t="s">
        <v>574</v>
      </c>
      <c r="C502" s="5">
        <v>1</v>
      </c>
      <c r="D502">
        <f t="shared" si="7"/>
        <v>26</v>
      </c>
      <c r="G502" s="1"/>
    </row>
    <row r="503" spans="1:7" x14ac:dyDescent="0.25">
      <c r="A503" s="3" t="s">
        <v>453</v>
      </c>
      <c r="B503" s="6" t="s">
        <v>575</v>
      </c>
      <c r="C503" s="6">
        <v>0</v>
      </c>
      <c r="D503">
        <f t="shared" si="7"/>
        <v>26</v>
      </c>
      <c r="G503" s="1"/>
    </row>
    <row r="504" spans="1:7" x14ac:dyDescent="0.25">
      <c r="A504" s="4" t="s">
        <v>453</v>
      </c>
      <c r="B504" s="5" t="s">
        <v>576</v>
      </c>
      <c r="C504" s="5">
        <v>0.2</v>
      </c>
      <c r="D504">
        <f t="shared" si="7"/>
        <v>26</v>
      </c>
      <c r="G504" s="1"/>
    </row>
    <row r="505" spans="1:7" x14ac:dyDescent="0.25">
      <c r="A505" s="3" t="s">
        <v>453</v>
      </c>
      <c r="B505" s="6" t="s">
        <v>577</v>
      </c>
      <c r="C505" s="6">
        <v>1</v>
      </c>
      <c r="D505">
        <f t="shared" si="7"/>
        <v>26</v>
      </c>
      <c r="G505" s="1"/>
    </row>
    <row r="506" spans="1:7" x14ac:dyDescent="0.25">
      <c r="A506" s="4" t="s">
        <v>453</v>
      </c>
      <c r="B506" s="5" t="s">
        <v>578</v>
      </c>
      <c r="C506" s="5">
        <v>1</v>
      </c>
      <c r="D506">
        <f t="shared" si="7"/>
        <v>26</v>
      </c>
      <c r="G506" s="1"/>
    </row>
    <row r="507" spans="1:7" x14ac:dyDescent="0.25">
      <c r="A507" s="3" t="s">
        <v>453</v>
      </c>
      <c r="B507" s="6" t="s">
        <v>579</v>
      </c>
      <c r="C507" s="6">
        <v>8.125</v>
      </c>
      <c r="D507">
        <f t="shared" si="7"/>
        <v>26</v>
      </c>
      <c r="G507" s="1"/>
    </row>
    <row r="508" spans="1:7" x14ac:dyDescent="0.25">
      <c r="A508" s="4" t="s">
        <v>453</v>
      </c>
      <c r="B508" s="5" t="s">
        <v>580</v>
      </c>
      <c r="C508" s="5">
        <v>982.53859999999997</v>
      </c>
      <c r="D508">
        <f t="shared" si="7"/>
        <v>26</v>
      </c>
      <c r="G508" s="1"/>
    </row>
    <row r="509" spans="1:7" x14ac:dyDescent="0.25">
      <c r="A509" s="3" t="s">
        <v>453</v>
      </c>
      <c r="B509" s="6" t="s">
        <v>581</v>
      </c>
      <c r="C509" s="6">
        <v>3.2899999999999999E-2</v>
      </c>
      <c r="D509">
        <f t="shared" si="7"/>
        <v>26</v>
      </c>
      <c r="G509" s="1"/>
    </row>
    <row r="510" spans="1:7" x14ac:dyDescent="0.25">
      <c r="A510" s="4" t="s">
        <v>453</v>
      </c>
      <c r="B510" s="5" t="s">
        <v>582</v>
      </c>
      <c r="C510" s="5">
        <v>29</v>
      </c>
      <c r="D510">
        <f t="shared" si="7"/>
        <v>26</v>
      </c>
      <c r="G510" s="1"/>
    </row>
    <row r="511" spans="1:7" x14ac:dyDescent="0.25">
      <c r="A511" s="3" t="s">
        <v>453</v>
      </c>
      <c r="B511" s="6" t="s">
        <v>583</v>
      </c>
      <c r="C511" s="6">
        <v>18</v>
      </c>
      <c r="D511">
        <f t="shared" si="7"/>
        <v>26</v>
      </c>
      <c r="G511" s="1"/>
    </row>
    <row r="512" spans="1:7" x14ac:dyDescent="0.25">
      <c r="A512" s="4" t="s">
        <v>453</v>
      </c>
      <c r="B512" s="5" t="s">
        <v>584</v>
      </c>
      <c r="C512" s="5">
        <v>120.9278</v>
      </c>
      <c r="D512">
        <f t="shared" si="7"/>
        <v>26</v>
      </c>
      <c r="G512" s="1"/>
    </row>
    <row r="513" spans="1:7" x14ac:dyDescent="0.25">
      <c r="A513" s="3" t="s">
        <v>453</v>
      </c>
      <c r="B513" s="6" t="s">
        <v>585</v>
      </c>
      <c r="C513" s="6">
        <v>23</v>
      </c>
      <c r="D513">
        <f t="shared" si="7"/>
        <v>26</v>
      </c>
      <c r="G513" s="1"/>
    </row>
    <row r="514" spans="1:7" x14ac:dyDescent="0.25">
      <c r="A514" s="4" t="s">
        <v>453</v>
      </c>
      <c r="B514" s="5" t="s">
        <v>586</v>
      </c>
      <c r="C514" s="5">
        <v>0</v>
      </c>
      <c r="D514">
        <f t="shared" si="7"/>
        <v>26</v>
      </c>
      <c r="G514" s="1"/>
    </row>
    <row r="515" spans="1:7" x14ac:dyDescent="0.25">
      <c r="A515" s="3" t="s">
        <v>453</v>
      </c>
      <c r="B515" s="6" t="s">
        <v>587</v>
      </c>
      <c r="C515" s="6">
        <v>0</v>
      </c>
      <c r="D515">
        <f t="shared" si="7"/>
        <v>26</v>
      </c>
      <c r="G515" s="1"/>
    </row>
    <row r="516" spans="1:7" x14ac:dyDescent="0.25">
      <c r="A516" s="4" t="s">
        <v>453</v>
      </c>
      <c r="B516" s="5" t="s">
        <v>588</v>
      </c>
      <c r="C516" s="5">
        <v>55.520400000000002</v>
      </c>
      <c r="D516">
        <f t="shared" ref="D516:D579" si="8">IF(B516="CCM", D515+1, D515)</f>
        <v>26</v>
      </c>
      <c r="G516" s="1"/>
    </row>
    <row r="517" spans="1:7" x14ac:dyDescent="0.25">
      <c r="A517" s="3" t="s">
        <v>453</v>
      </c>
      <c r="B517" s="6" t="s">
        <v>589</v>
      </c>
      <c r="C517" s="6">
        <v>1</v>
      </c>
      <c r="D517">
        <f t="shared" si="8"/>
        <v>26</v>
      </c>
      <c r="G517" s="1"/>
    </row>
    <row r="518" spans="1:7" x14ac:dyDescent="0.25">
      <c r="A518" s="4" t="s">
        <v>453</v>
      </c>
      <c r="B518" s="5" t="s">
        <v>590</v>
      </c>
      <c r="C518" s="5">
        <v>5</v>
      </c>
      <c r="D518">
        <f t="shared" si="8"/>
        <v>26</v>
      </c>
      <c r="G518" s="1"/>
    </row>
    <row r="519" spans="1:7" x14ac:dyDescent="0.25">
      <c r="A519" s="3" t="s">
        <v>453</v>
      </c>
      <c r="B519" s="6" t="s">
        <v>591</v>
      </c>
      <c r="C519" s="6">
        <v>6</v>
      </c>
      <c r="D519">
        <f t="shared" si="8"/>
        <v>26</v>
      </c>
      <c r="G519" s="1"/>
    </row>
    <row r="520" spans="1:7" x14ac:dyDescent="0.25">
      <c r="A520" s="4" t="s">
        <v>453</v>
      </c>
      <c r="B520" s="5" t="s">
        <v>592</v>
      </c>
      <c r="C520" s="5">
        <v>0</v>
      </c>
      <c r="D520">
        <f t="shared" si="8"/>
        <v>26</v>
      </c>
      <c r="G520" s="1"/>
    </row>
    <row r="521" spans="1:7" x14ac:dyDescent="0.25">
      <c r="A521" s="3" t="s">
        <v>453</v>
      </c>
      <c r="B521" s="6" t="s">
        <v>593</v>
      </c>
      <c r="C521" s="6">
        <v>2</v>
      </c>
      <c r="D521">
        <f t="shared" si="8"/>
        <v>26</v>
      </c>
      <c r="G521" s="1"/>
    </row>
    <row r="522" spans="1:7" x14ac:dyDescent="0.25">
      <c r="A522" s="4" t="s">
        <v>454</v>
      </c>
      <c r="B522" s="5" t="s">
        <v>574</v>
      </c>
      <c r="C522" s="5">
        <v>1</v>
      </c>
      <c r="D522">
        <f t="shared" si="8"/>
        <v>27</v>
      </c>
      <c r="G522" s="1"/>
    </row>
    <row r="523" spans="1:7" x14ac:dyDescent="0.25">
      <c r="A523" s="3" t="s">
        <v>454</v>
      </c>
      <c r="B523" s="6" t="s">
        <v>575</v>
      </c>
      <c r="C523" s="6">
        <v>0</v>
      </c>
      <c r="D523">
        <f t="shared" si="8"/>
        <v>27</v>
      </c>
      <c r="G523" s="1"/>
    </row>
    <row r="524" spans="1:7" x14ac:dyDescent="0.25">
      <c r="A524" s="4" t="s">
        <v>454</v>
      </c>
      <c r="B524" s="5" t="s">
        <v>576</v>
      </c>
      <c r="C524" s="5">
        <v>0.75</v>
      </c>
      <c r="D524">
        <f t="shared" si="8"/>
        <v>27</v>
      </c>
      <c r="G524" s="1"/>
    </row>
    <row r="525" spans="1:7" x14ac:dyDescent="0.25">
      <c r="A525" s="3" t="s">
        <v>454</v>
      </c>
      <c r="B525" s="6" t="s">
        <v>577</v>
      </c>
      <c r="C525" s="6">
        <v>4</v>
      </c>
      <c r="D525">
        <f t="shared" si="8"/>
        <v>27</v>
      </c>
      <c r="G525" s="1"/>
    </row>
    <row r="526" spans="1:7" x14ac:dyDescent="0.25">
      <c r="A526" s="4" t="s">
        <v>454</v>
      </c>
      <c r="B526" s="5" t="s">
        <v>578</v>
      </c>
      <c r="C526" s="5">
        <v>0</v>
      </c>
      <c r="D526">
        <f t="shared" si="8"/>
        <v>27</v>
      </c>
      <c r="G526" s="1"/>
    </row>
    <row r="527" spans="1:7" x14ac:dyDescent="0.25">
      <c r="A527" s="3" t="s">
        <v>454</v>
      </c>
      <c r="B527" s="6" t="s">
        <v>579</v>
      </c>
      <c r="C527" s="6">
        <v>15.166700000000001</v>
      </c>
      <c r="D527">
        <f t="shared" si="8"/>
        <v>27</v>
      </c>
      <c r="G527" s="1"/>
    </row>
    <row r="528" spans="1:7" x14ac:dyDescent="0.25">
      <c r="A528" s="4" t="s">
        <v>454</v>
      </c>
      <c r="B528" s="5" t="s">
        <v>580</v>
      </c>
      <c r="C528" s="5">
        <v>2512.6491000000001</v>
      </c>
      <c r="D528">
        <f t="shared" si="8"/>
        <v>27</v>
      </c>
      <c r="G528" s="1"/>
    </row>
    <row r="529" spans="1:7" x14ac:dyDescent="0.25">
      <c r="A529" s="3" t="s">
        <v>454</v>
      </c>
      <c r="B529" s="6" t="s">
        <v>581</v>
      </c>
      <c r="C529" s="6">
        <v>6.1600000000000002E-2</v>
      </c>
      <c r="D529">
        <f t="shared" si="8"/>
        <v>27</v>
      </c>
      <c r="G529" s="1"/>
    </row>
    <row r="530" spans="1:7" x14ac:dyDescent="0.25">
      <c r="A530" s="4" t="s">
        <v>454</v>
      </c>
      <c r="B530" s="5" t="s">
        <v>582</v>
      </c>
      <c r="C530" s="5">
        <v>39</v>
      </c>
      <c r="D530">
        <f t="shared" si="8"/>
        <v>27</v>
      </c>
      <c r="G530" s="1"/>
    </row>
    <row r="531" spans="1:7" x14ac:dyDescent="0.25">
      <c r="A531" s="3" t="s">
        <v>454</v>
      </c>
      <c r="B531" s="6" t="s">
        <v>583</v>
      </c>
      <c r="C531" s="6">
        <v>19</v>
      </c>
      <c r="D531">
        <f t="shared" si="8"/>
        <v>27</v>
      </c>
      <c r="G531" s="1"/>
    </row>
    <row r="532" spans="1:7" x14ac:dyDescent="0.25">
      <c r="A532" s="4" t="s">
        <v>454</v>
      </c>
      <c r="B532" s="5" t="s">
        <v>584</v>
      </c>
      <c r="C532" s="5">
        <v>165.66919999999999</v>
      </c>
      <c r="D532">
        <f t="shared" si="8"/>
        <v>27</v>
      </c>
      <c r="G532" s="1"/>
    </row>
    <row r="533" spans="1:7" x14ac:dyDescent="0.25">
      <c r="A533" s="3" t="s">
        <v>454</v>
      </c>
      <c r="B533" s="6" t="s">
        <v>585</v>
      </c>
      <c r="C533" s="6">
        <v>12</v>
      </c>
      <c r="D533">
        <f t="shared" si="8"/>
        <v>27</v>
      </c>
      <c r="G533" s="1"/>
    </row>
    <row r="534" spans="1:7" x14ac:dyDescent="0.25">
      <c r="A534" s="4" t="s">
        <v>454</v>
      </c>
      <c r="B534" s="5" t="s">
        <v>586</v>
      </c>
      <c r="C534" s="5">
        <v>0</v>
      </c>
      <c r="D534">
        <f t="shared" si="8"/>
        <v>27</v>
      </c>
      <c r="G534" s="1"/>
    </row>
    <row r="535" spans="1:7" x14ac:dyDescent="0.25">
      <c r="A535" s="3" t="s">
        <v>454</v>
      </c>
      <c r="B535" s="6" t="s">
        <v>587</v>
      </c>
      <c r="C535" s="6">
        <v>1</v>
      </c>
      <c r="D535">
        <f t="shared" si="8"/>
        <v>27</v>
      </c>
      <c r="G535" s="1"/>
    </row>
    <row r="536" spans="1:7" x14ac:dyDescent="0.25">
      <c r="A536" s="4" t="s">
        <v>454</v>
      </c>
      <c r="B536" s="5" t="s">
        <v>588</v>
      </c>
      <c r="C536" s="5">
        <v>60.838700000000003</v>
      </c>
      <c r="D536">
        <f t="shared" si="8"/>
        <v>27</v>
      </c>
      <c r="G536" s="1"/>
    </row>
    <row r="537" spans="1:7" x14ac:dyDescent="0.25">
      <c r="A537" s="3" t="s">
        <v>454</v>
      </c>
      <c r="B537" s="6" t="s">
        <v>589</v>
      </c>
      <c r="C537" s="6">
        <v>1</v>
      </c>
      <c r="D537">
        <f t="shared" si="8"/>
        <v>27</v>
      </c>
      <c r="G537" s="1"/>
    </row>
    <row r="538" spans="1:7" x14ac:dyDescent="0.25">
      <c r="A538" s="4" t="s">
        <v>454</v>
      </c>
      <c r="B538" s="5" t="s">
        <v>590</v>
      </c>
      <c r="C538" s="5">
        <v>2</v>
      </c>
      <c r="D538">
        <f t="shared" si="8"/>
        <v>27</v>
      </c>
      <c r="G538" s="1"/>
    </row>
    <row r="539" spans="1:7" x14ac:dyDescent="0.25">
      <c r="A539" s="3" t="s">
        <v>454</v>
      </c>
      <c r="B539" s="6" t="s">
        <v>591</v>
      </c>
      <c r="C539" s="6">
        <v>2</v>
      </c>
      <c r="D539">
        <f t="shared" si="8"/>
        <v>27</v>
      </c>
      <c r="G539" s="1"/>
    </row>
    <row r="540" spans="1:7" x14ac:dyDescent="0.25">
      <c r="A540" s="4" t="s">
        <v>454</v>
      </c>
      <c r="B540" s="5" t="s">
        <v>592</v>
      </c>
      <c r="C540" s="5">
        <v>1</v>
      </c>
      <c r="D540">
        <f t="shared" si="8"/>
        <v>27</v>
      </c>
      <c r="G540" s="1"/>
    </row>
    <row r="541" spans="1:7" x14ac:dyDescent="0.25">
      <c r="A541" s="3" t="s">
        <v>454</v>
      </c>
      <c r="B541" s="6" t="s">
        <v>593</v>
      </c>
      <c r="C541" s="6">
        <v>1</v>
      </c>
      <c r="D541">
        <f t="shared" si="8"/>
        <v>27</v>
      </c>
      <c r="G541" s="1"/>
    </row>
    <row r="542" spans="1:7" x14ac:dyDescent="0.25">
      <c r="A542" s="4" t="s">
        <v>455</v>
      </c>
      <c r="B542" s="5" t="s">
        <v>574</v>
      </c>
      <c r="C542" s="5">
        <v>1</v>
      </c>
      <c r="D542">
        <f t="shared" si="8"/>
        <v>28</v>
      </c>
      <c r="G542" s="1"/>
    </row>
    <row r="543" spans="1:7" x14ac:dyDescent="0.25">
      <c r="A543" s="3" t="s">
        <v>455</v>
      </c>
      <c r="B543" s="6" t="s">
        <v>575</v>
      </c>
      <c r="C543" s="6">
        <v>0</v>
      </c>
      <c r="D543">
        <f t="shared" si="8"/>
        <v>28</v>
      </c>
      <c r="G543" s="1"/>
    </row>
    <row r="544" spans="1:7" x14ac:dyDescent="0.25">
      <c r="A544" s="4" t="s">
        <v>455</v>
      </c>
      <c r="B544" s="5" t="s">
        <v>576</v>
      </c>
      <c r="C544" s="5">
        <v>0.75</v>
      </c>
      <c r="D544">
        <f t="shared" si="8"/>
        <v>28</v>
      </c>
      <c r="G544" s="1"/>
    </row>
    <row r="545" spans="1:7" x14ac:dyDescent="0.25">
      <c r="A545" s="3" t="s">
        <v>455</v>
      </c>
      <c r="B545" s="6" t="s">
        <v>577</v>
      </c>
      <c r="C545" s="6">
        <v>4</v>
      </c>
      <c r="D545">
        <f t="shared" si="8"/>
        <v>28</v>
      </c>
      <c r="G545" s="1"/>
    </row>
    <row r="546" spans="1:7" x14ac:dyDescent="0.25">
      <c r="A546" s="4" t="s">
        <v>455</v>
      </c>
      <c r="B546" s="5" t="s">
        <v>578</v>
      </c>
      <c r="C546" s="5">
        <v>0</v>
      </c>
      <c r="D546">
        <f t="shared" si="8"/>
        <v>28</v>
      </c>
      <c r="G546" s="1"/>
    </row>
    <row r="547" spans="1:7" x14ac:dyDescent="0.25">
      <c r="A547" s="3" t="s">
        <v>455</v>
      </c>
      <c r="B547" s="6" t="s">
        <v>579</v>
      </c>
      <c r="C547" s="6">
        <v>15</v>
      </c>
      <c r="D547">
        <f t="shared" si="8"/>
        <v>28</v>
      </c>
      <c r="G547" s="1"/>
    </row>
    <row r="548" spans="1:7" x14ac:dyDescent="0.25">
      <c r="A548" s="4" t="s">
        <v>455</v>
      </c>
      <c r="B548" s="5" t="s">
        <v>580</v>
      </c>
      <c r="C548" s="5">
        <v>2564.5039000000002</v>
      </c>
      <c r="D548">
        <f t="shared" si="8"/>
        <v>28</v>
      </c>
      <c r="G548" s="1"/>
    </row>
    <row r="549" spans="1:7" x14ac:dyDescent="0.25">
      <c r="A549" s="3" t="s">
        <v>455</v>
      </c>
      <c r="B549" s="6" t="s">
        <v>581</v>
      </c>
      <c r="C549" s="6">
        <v>6.25E-2</v>
      </c>
      <c r="D549">
        <f t="shared" si="8"/>
        <v>28</v>
      </c>
      <c r="G549" s="1"/>
    </row>
    <row r="550" spans="1:7" x14ac:dyDescent="0.25">
      <c r="A550" s="4" t="s">
        <v>455</v>
      </c>
      <c r="B550" s="5" t="s">
        <v>582</v>
      </c>
      <c r="C550" s="5">
        <v>41</v>
      </c>
      <c r="D550">
        <f t="shared" si="8"/>
        <v>28</v>
      </c>
      <c r="G550" s="1"/>
    </row>
    <row r="551" spans="1:7" x14ac:dyDescent="0.25">
      <c r="A551" s="3" t="s">
        <v>455</v>
      </c>
      <c r="B551" s="6" t="s">
        <v>583</v>
      </c>
      <c r="C551" s="6">
        <v>18</v>
      </c>
      <c r="D551">
        <f t="shared" si="8"/>
        <v>28</v>
      </c>
      <c r="G551" s="1"/>
    </row>
    <row r="552" spans="1:7" x14ac:dyDescent="0.25">
      <c r="A552" s="4" t="s">
        <v>455</v>
      </c>
      <c r="B552" s="5" t="s">
        <v>584</v>
      </c>
      <c r="C552" s="5">
        <v>170.96690000000001</v>
      </c>
      <c r="D552">
        <f t="shared" si="8"/>
        <v>28</v>
      </c>
      <c r="G552" s="1"/>
    </row>
    <row r="553" spans="1:7" x14ac:dyDescent="0.25">
      <c r="A553" s="3" t="s">
        <v>455</v>
      </c>
      <c r="B553" s="6" t="s">
        <v>585</v>
      </c>
      <c r="C553" s="6">
        <v>12</v>
      </c>
      <c r="D553">
        <f t="shared" si="8"/>
        <v>28</v>
      </c>
      <c r="G553" s="1"/>
    </row>
    <row r="554" spans="1:7" x14ac:dyDescent="0.25">
      <c r="A554" s="4" t="s">
        <v>455</v>
      </c>
      <c r="B554" s="5" t="s">
        <v>586</v>
      </c>
      <c r="C554" s="5">
        <v>0</v>
      </c>
      <c r="D554">
        <f t="shared" si="8"/>
        <v>28</v>
      </c>
      <c r="G554" s="1"/>
    </row>
    <row r="555" spans="1:7" x14ac:dyDescent="0.25">
      <c r="A555" s="3" t="s">
        <v>455</v>
      </c>
      <c r="B555" s="6" t="s">
        <v>587</v>
      </c>
      <c r="C555" s="6">
        <v>1</v>
      </c>
      <c r="D555">
        <f t="shared" si="8"/>
        <v>28</v>
      </c>
      <c r="G555" s="1"/>
    </row>
    <row r="556" spans="1:7" x14ac:dyDescent="0.25">
      <c r="A556" s="4" t="s">
        <v>455</v>
      </c>
      <c r="B556" s="5" t="s">
        <v>588</v>
      </c>
      <c r="C556" s="5">
        <v>60.747900000000001</v>
      </c>
      <c r="D556">
        <f t="shared" si="8"/>
        <v>28</v>
      </c>
      <c r="G556" s="1"/>
    </row>
    <row r="557" spans="1:7" x14ac:dyDescent="0.25">
      <c r="A557" s="3" t="s">
        <v>455</v>
      </c>
      <c r="B557" s="6" t="s">
        <v>589</v>
      </c>
      <c r="C557" s="6">
        <v>1</v>
      </c>
      <c r="D557">
        <f t="shared" si="8"/>
        <v>28</v>
      </c>
      <c r="G557" s="1"/>
    </row>
    <row r="558" spans="1:7" x14ac:dyDescent="0.25">
      <c r="A558" s="4" t="s">
        <v>455</v>
      </c>
      <c r="B558" s="5" t="s">
        <v>590</v>
      </c>
      <c r="C558" s="5">
        <v>2</v>
      </c>
      <c r="D558">
        <f t="shared" si="8"/>
        <v>28</v>
      </c>
      <c r="G558" s="1"/>
    </row>
    <row r="559" spans="1:7" x14ac:dyDescent="0.25">
      <c r="A559" s="3" t="s">
        <v>455</v>
      </c>
      <c r="B559" s="6" t="s">
        <v>591</v>
      </c>
      <c r="C559" s="6">
        <v>2</v>
      </c>
      <c r="D559">
        <f t="shared" si="8"/>
        <v>28</v>
      </c>
      <c r="G559" s="1"/>
    </row>
    <row r="560" spans="1:7" x14ac:dyDescent="0.25">
      <c r="A560" s="4" t="s">
        <v>455</v>
      </c>
      <c r="B560" s="5" t="s">
        <v>592</v>
      </c>
      <c r="C560" s="5">
        <v>1</v>
      </c>
      <c r="D560">
        <f t="shared" si="8"/>
        <v>28</v>
      </c>
      <c r="G560" s="1"/>
    </row>
    <row r="561" spans="1:7" x14ac:dyDescent="0.25">
      <c r="A561" s="3" t="s">
        <v>455</v>
      </c>
      <c r="B561" s="6" t="s">
        <v>593</v>
      </c>
      <c r="C561" s="6">
        <v>1</v>
      </c>
      <c r="D561">
        <f t="shared" si="8"/>
        <v>28</v>
      </c>
      <c r="G561" s="1"/>
    </row>
    <row r="562" spans="1:7" x14ac:dyDescent="0.25">
      <c r="A562" s="4" t="s">
        <v>456</v>
      </c>
      <c r="B562" s="5" t="s">
        <v>574</v>
      </c>
      <c r="C562" s="5">
        <v>2</v>
      </c>
      <c r="D562">
        <f t="shared" si="8"/>
        <v>29</v>
      </c>
      <c r="G562" s="1"/>
    </row>
    <row r="563" spans="1:7" x14ac:dyDescent="0.25">
      <c r="A563" s="3" t="s">
        <v>456</v>
      </c>
      <c r="B563" s="6" t="s">
        <v>575</v>
      </c>
      <c r="C563" s="6">
        <v>0</v>
      </c>
      <c r="D563">
        <f t="shared" si="8"/>
        <v>29</v>
      </c>
      <c r="G563" s="1"/>
    </row>
    <row r="564" spans="1:7" x14ac:dyDescent="0.25">
      <c r="A564" s="4" t="s">
        <v>456</v>
      </c>
      <c r="B564" s="5" t="s">
        <v>576</v>
      </c>
      <c r="C564" s="5">
        <v>0.75</v>
      </c>
      <c r="D564">
        <f t="shared" si="8"/>
        <v>29</v>
      </c>
      <c r="G564" s="1"/>
    </row>
    <row r="565" spans="1:7" x14ac:dyDescent="0.25">
      <c r="A565" s="3" t="s">
        <v>456</v>
      </c>
      <c r="B565" s="6" t="s">
        <v>577</v>
      </c>
      <c r="C565" s="6">
        <v>4</v>
      </c>
      <c r="D565">
        <f t="shared" si="8"/>
        <v>29</v>
      </c>
      <c r="G565" s="1"/>
    </row>
    <row r="566" spans="1:7" x14ac:dyDescent="0.25">
      <c r="A566" s="4" t="s">
        <v>456</v>
      </c>
      <c r="B566" s="5" t="s">
        <v>578</v>
      </c>
      <c r="C566" s="5">
        <v>0</v>
      </c>
      <c r="D566">
        <f t="shared" si="8"/>
        <v>29</v>
      </c>
      <c r="G566" s="1"/>
    </row>
    <row r="567" spans="1:7" x14ac:dyDescent="0.25">
      <c r="A567" s="3" t="s">
        <v>456</v>
      </c>
      <c r="B567" s="6" t="s">
        <v>579</v>
      </c>
      <c r="C567" s="6">
        <v>14.857100000000001</v>
      </c>
      <c r="D567">
        <f t="shared" si="8"/>
        <v>29</v>
      </c>
      <c r="G567" s="1"/>
    </row>
    <row r="568" spans="1:7" x14ac:dyDescent="0.25">
      <c r="A568" s="4" t="s">
        <v>456</v>
      </c>
      <c r="B568" s="5" t="s">
        <v>580</v>
      </c>
      <c r="C568" s="5">
        <v>2568.4600999999998</v>
      </c>
      <c r="D568">
        <f t="shared" si="8"/>
        <v>29</v>
      </c>
      <c r="G568" s="1"/>
    </row>
    <row r="569" spans="1:7" x14ac:dyDescent="0.25">
      <c r="A569" s="3" t="s">
        <v>456</v>
      </c>
      <c r="B569" s="6" t="s">
        <v>581</v>
      </c>
      <c r="C569" s="6">
        <v>6.25E-2</v>
      </c>
      <c r="D569">
        <f t="shared" si="8"/>
        <v>29</v>
      </c>
      <c r="G569" s="1"/>
    </row>
    <row r="570" spans="1:7" x14ac:dyDescent="0.25">
      <c r="A570" s="4" t="s">
        <v>456</v>
      </c>
      <c r="B570" s="5" t="s">
        <v>582</v>
      </c>
      <c r="C570" s="5">
        <v>40</v>
      </c>
      <c r="D570">
        <f t="shared" si="8"/>
        <v>29</v>
      </c>
      <c r="G570" s="1"/>
    </row>
    <row r="571" spans="1:7" x14ac:dyDescent="0.25">
      <c r="A571" s="3" t="s">
        <v>456</v>
      </c>
      <c r="B571" s="6" t="s">
        <v>583</v>
      </c>
      <c r="C571" s="6">
        <v>20</v>
      </c>
      <c r="D571">
        <f t="shared" si="8"/>
        <v>29</v>
      </c>
      <c r="G571" s="1"/>
    </row>
    <row r="572" spans="1:7" x14ac:dyDescent="0.25">
      <c r="A572" s="4" t="s">
        <v>456</v>
      </c>
      <c r="B572" s="5" t="s">
        <v>584</v>
      </c>
      <c r="C572" s="5">
        <v>172.87710000000001</v>
      </c>
      <c r="D572">
        <f t="shared" si="8"/>
        <v>29</v>
      </c>
      <c r="G572" s="1"/>
    </row>
    <row r="573" spans="1:7" x14ac:dyDescent="0.25">
      <c r="A573" s="3" t="s">
        <v>456</v>
      </c>
      <c r="B573" s="6" t="s">
        <v>585</v>
      </c>
      <c r="C573" s="6">
        <v>13</v>
      </c>
      <c r="D573">
        <f t="shared" si="8"/>
        <v>29</v>
      </c>
      <c r="G573" s="1"/>
    </row>
    <row r="574" spans="1:7" x14ac:dyDescent="0.25">
      <c r="A574" s="4" t="s">
        <v>456</v>
      </c>
      <c r="B574" s="5" t="s">
        <v>586</v>
      </c>
      <c r="C574" s="5">
        <v>0</v>
      </c>
      <c r="D574">
        <f t="shared" si="8"/>
        <v>29</v>
      </c>
      <c r="G574" s="1"/>
    </row>
    <row r="575" spans="1:7" x14ac:dyDescent="0.25">
      <c r="A575" s="3" t="s">
        <v>456</v>
      </c>
      <c r="B575" s="6" t="s">
        <v>587</v>
      </c>
      <c r="C575" s="6">
        <v>1</v>
      </c>
      <c r="D575">
        <f t="shared" si="8"/>
        <v>29</v>
      </c>
      <c r="G575" s="1"/>
    </row>
    <row r="576" spans="1:7" x14ac:dyDescent="0.25">
      <c r="A576" s="4" t="s">
        <v>456</v>
      </c>
      <c r="B576" s="5" t="s">
        <v>588</v>
      </c>
      <c r="C576" s="5">
        <v>59.899500000000003</v>
      </c>
      <c r="D576">
        <f t="shared" si="8"/>
        <v>29</v>
      </c>
      <c r="G576" s="1"/>
    </row>
    <row r="577" spans="1:7" x14ac:dyDescent="0.25">
      <c r="A577" s="3" t="s">
        <v>456</v>
      </c>
      <c r="B577" s="6" t="s">
        <v>589</v>
      </c>
      <c r="C577" s="6">
        <v>1</v>
      </c>
      <c r="D577">
        <f t="shared" si="8"/>
        <v>29</v>
      </c>
      <c r="G577" s="1"/>
    </row>
    <row r="578" spans="1:7" x14ac:dyDescent="0.25">
      <c r="A578" s="4" t="s">
        <v>456</v>
      </c>
      <c r="B578" s="5" t="s">
        <v>590</v>
      </c>
      <c r="C578" s="5">
        <v>3</v>
      </c>
      <c r="D578">
        <f t="shared" si="8"/>
        <v>29</v>
      </c>
      <c r="G578" s="1"/>
    </row>
    <row r="579" spans="1:7" x14ac:dyDescent="0.25">
      <c r="A579" s="3" t="s">
        <v>456</v>
      </c>
      <c r="B579" s="6" t="s">
        <v>591</v>
      </c>
      <c r="C579" s="6">
        <v>3</v>
      </c>
      <c r="D579">
        <f t="shared" si="8"/>
        <v>29</v>
      </c>
      <c r="G579" s="1"/>
    </row>
    <row r="580" spans="1:7" x14ac:dyDescent="0.25">
      <c r="A580" s="4" t="s">
        <v>456</v>
      </c>
      <c r="B580" s="5" t="s">
        <v>592</v>
      </c>
      <c r="C580" s="5">
        <v>2</v>
      </c>
      <c r="D580">
        <f t="shared" ref="D580:D643" si="9">IF(B580="CCM", D579+1, D579)</f>
        <v>29</v>
      </c>
      <c r="G580" s="1"/>
    </row>
    <row r="581" spans="1:7" x14ac:dyDescent="0.25">
      <c r="A581" s="3" t="s">
        <v>456</v>
      </c>
      <c r="B581" s="6" t="s">
        <v>593</v>
      </c>
      <c r="C581" s="6">
        <v>1</v>
      </c>
      <c r="D581">
        <f t="shared" si="9"/>
        <v>29</v>
      </c>
      <c r="G581" s="1"/>
    </row>
    <row r="582" spans="1:7" x14ac:dyDescent="0.25">
      <c r="A582" s="4" t="s">
        <v>457</v>
      </c>
      <c r="B582" s="5" t="s">
        <v>574</v>
      </c>
      <c r="C582" s="5">
        <v>1</v>
      </c>
      <c r="D582">
        <f t="shared" si="9"/>
        <v>30</v>
      </c>
      <c r="G582" s="1"/>
    </row>
    <row r="583" spans="1:7" x14ac:dyDescent="0.25">
      <c r="A583" s="3" t="s">
        <v>457</v>
      </c>
      <c r="B583" s="6" t="s">
        <v>575</v>
      </c>
      <c r="C583" s="6">
        <v>0</v>
      </c>
      <c r="D583">
        <f t="shared" si="9"/>
        <v>30</v>
      </c>
      <c r="G583" s="1"/>
    </row>
    <row r="584" spans="1:7" x14ac:dyDescent="0.25">
      <c r="A584" s="4" t="s">
        <v>457</v>
      </c>
      <c r="B584" s="5" t="s">
        <v>576</v>
      </c>
      <c r="C584" s="5">
        <v>0.75</v>
      </c>
      <c r="D584">
        <f t="shared" si="9"/>
        <v>30</v>
      </c>
      <c r="G584" s="1"/>
    </row>
    <row r="585" spans="1:7" x14ac:dyDescent="0.25">
      <c r="A585" s="3" t="s">
        <v>457</v>
      </c>
      <c r="B585" s="6" t="s">
        <v>577</v>
      </c>
      <c r="C585" s="6">
        <v>4</v>
      </c>
      <c r="D585">
        <f t="shared" si="9"/>
        <v>30</v>
      </c>
      <c r="G585" s="1"/>
    </row>
    <row r="586" spans="1:7" x14ac:dyDescent="0.25">
      <c r="A586" s="4" t="s">
        <v>457</v>
      </c>
      <c r="B586" s="5" t="s">
        <v>578</v>
      </c>
      <c r="C586" s="5">
        <v>0</v>
      </c>
      <c r="D586">
        <f t="shared" si="9"/>
        <v>30</v>
      </c>
      <c r="G586" s="1"/>
    </row>
    <row r="587" spans="1:7" x14ac:dyDescent="0.25">
      <c r="A587" s="3" t="s">
        <v>457</v>
      </c>
      <c r="B587" s="6" t="s">
        <v>579</v>
      </c>
      <c r="C587" s="6">
        <v>18.2</v>
      </c>
      <c r="D587">
        <f t="shared" si="9"/>
        <v>30</v>
      </c>
      <c r="G587" s="1"/>
    </row>
    <row r="588" spans="1:7" x14ac:dyDescent="0.25">
      <c r="A588" s="4" t="s">
        <v>457</v>
      </c>
      <c r="B588" s="5" t="s">
        <v>580</v>
      </c>
      <c r="C588" s="5">
        <v>2959.8128000000002</v>
      </c>
      <c r="D588">
        <f t="shared" si="9"/>
        <v>30</v>
      </c>
      <c r="G588" s="1"/>
    </row>
    <row r="589" spans="1:7" x14ac:dyDescent="0.25">
      <c r="A589" s="3" t="s">
        <v>457</v>
      </c>
      <c r="B589" s="6" t="s">
        <v>581</v>
      </c>
      <c r="C589" s="6">
        <v>6.8699999999999997E-2</v>
      </c>
      <c r="D589">
        <f t="shared" si="9"/>
        <v>30</v>
      </c>
      <c r="G589" s="1"/>
    </row>
    <row r="590" spans="1:7" x14ac:dyDescent="0.25">
      <c r="A590" s="4" t="s">
        <v>457</v>
      </c>
      <c r="B590" s="5" t="s">
        <v>582</v>
      </c>
      <c r="C590" s="5">
        <v>39</v>
      </c>
      <c r="D590">
        <f t="shared" si="9"/>
        <v>30</v>
      </c>
      <c r="G590" s="1"/>
    </row>
    <row r="591" spans="1:7" x14ac:dyDescent="0.25">
      <c r="A591" s="3" t="s">
        <v>457</v>
      </c>
      <c r="B591" s="6" t="s">
        <v>583</v>
      </c>
      <c r="C591" s="6">
        <v>18</v>
      </c>
      <c r="D591">
        <f t="shared" si="9"/>
        <v>30</v>
      </c>
      <c r="G591" s="1"/>
    </row>
    <row r="592" spans="1:7" x14ac:dyDescent="0.25">
      <c r="A592" s="4" t="s">
        <v>457</v>
      </c>
      <c r="B592" s="5" t="s">
        <v>584</v>
      </c>
      <c r="C592" s="5">
        <v>162.62710000000001</v>
      </c>
      <c r="D592">
        <f t="shared" si="9"/>
        <v>30</v>
      </c>
      <c r="G592" s="1"/>
    </row>
    <row r="593" spans="1:7" x14ac:dyDescent="0.25">
      <c r="A593" s="3" t="s">
        <v>457</v>
      </c>
      <c r="B593" s="6" t="s">
        <v>585</v>
      </c>
      <c r="C593" s="6">
        <v>12</v>
      </c>
      <c r="D593">
        <f t="shared" si="9"/>
        <v>30</v>
      </c>
      <c r="G593" s="1"/>
    </row>
    <row r="594" spans="1:7" x14ac:dyDescent="0.25">
      <c r="A594" s="4" t="s">
        <v>457</v>
      </c>
      <c r="B594" s="5" t="s">
        <v>586</v>
      </c>
      <c r="C594" s="5">
        <v>0</v>
      </c>
      <c r="D594">
        <f t="shared" si="9"/>
        <v>30</v>
      </c>
      <c r="G594" s="1"/>
    </row>
    <row r="595" spans="1:7" x14ac:dyDescent="0.25">
      <c r="A595" s="3" t="s">
        <v>457</v>
      </c>
      <c r="B595" s="6" t="s">
        <v>587</v>
      </c>
      <c r="C595" s="6">
        <v>1</v>
      </c>
      <c r="D595">
        <f t="shared" si="9"/>
        <v>30</v>
      </c>
      <c r="G595" s="1"/>
    </row>
    <row r="596" spans="1:7" x14ac:dyDescent="0.25">
      <c r="A596" s="4" t="s">
        <v>457</v>
      </c>
      <c r="B596" s="5" t="s">
        <v>588</v>
      </c>
      <c r="C596" s="5">
        <v>60.894500000000001</v>
      </c>
      <c r="D596">
        <f t="shared" si="9"/>
        <v>30</v>
      </c>
      <c r="G596" s="1"/>
    </row>
    <row r="597" spans="1:7" x14ac:dyDescent="0.25">
      <c r="A597" s="3" t="s">
        <v>457</v>
      </c>
      <c r="B597" s="6" t="s">
        <v>589</v>
      </c>
      <c r="C597" s="6">
        <v>1</v>
      </c>
      <c r="D597">
        <f t="shared" si="9"/>
        <v>30</v>
      </c>
      <c r="G597" s="1"/>
    </row>
    <row r="598" spans="1:7" x14ac:dyDescent="0.25">
      <c r="A598" s="4" t="s">
        <v>457</v>
      </c>
      <c r="B598" s="5" t="s">
        <v>590</v>
      </c>
      <c r="C598" s="5">
        <v>2</v>
      </c>
      <c r="D598">
        <f t="shared" si="9"/>
        <v>30</v>
      </c>
      <c r="G598" s="1"/>
    </row>
    <row r="599" spans="1:7" x14ac:dyDescent="0.25">
      <c r="A599" s="3" t="s">
        <v>457</v>
      </c>
      <c r="B599" s="6" t="s">
        <v>591</v>
      </c>
      <c r="C599" s="6">
        <v>2</v>
      </c>
      <c r="D599">
        <f t="shared" si="9"/>
        <v>30</v>
      </c>
      <c r="G599" s="1"/>
    </row>
    <row r="600" spans="1:7" x14ac:dyDescent="0.25">
      <c r="A600" s="4" t="s">
        <v>457</v>
      </c>
      <c r="B600" s="5" t="s">
        <v>592</v>
      </c>
      <c r="C600" s="5">
        <v>1</v>
      </c>
      <c r="D600">
        <f t="shared" si="9"/>
        <v>30</v>
      </c>
      <c r="G600" s="1"/>
    </row>
    <row r="601" spans="1:7" x14ac:dyDescent="0.25">
      <c r="A601" s="3" t="s">
        <v>457</v>
      </c>
      <c r="B601" s="6" t="s">
        <v>593</v>
      </c>
      <c r="C601" s="6">
        <v>1</v>
      </c>
      <c r="D601">
        <f t="shared" si="9"/>
        <v>30</v>
      </c>
      <c r="G601" s="1"/>
    </row>
    <row r="602" spans="1:7" x14ac:dyDescent="0.25">
      <c r="A602" s="4" t="s">
        <v>458</v>
      </c>
      <c r="B602" s="5" t="s">
        <v>574</v>
      </c>
      <c r="C602" s="5">
        <v>0</v>
      </c>
      <c r="D602">
        <f t="shared" si="9"/>
        <v>31</v>
      </c>
      <c r="G602" s="1"/>
    </row>
    <row r="603" spans="1:7" x14ac:dyDescent="0.25">
      <c r="A603" s="3" t="s">
        <v>458</v>
      </c>
      <c r="B603" s="6" t="s">
        <v>575</v>
      </c>
      <c r="C603" s="6">
        <v>0</v>
      </c>
      <c r="D603">
        <f t="shared" si="9"/>
        <v>31</v>
      </c>
      <c r="G603" s="1"/>
    </row>
    <row r="604" spans="1:7" x14ac:dyDescent="0.25">
      <c r="A604" s="4" t="s">
        <v>458</v>
      </c>
      <c r="B604" s="5" t="s">
        <v>576</v>
      </c>
      <c r="C604" s="5">
        <v>0</v>
      </c>
      <c r="D604">
        <f t="shared" si="9"/>
        <v>31</v>
      </c>
      <c r="G604" s="1"/>
    </row>
    <row r="605" spans="1:7" x14ac:dyDescent="0.25">
      <c r="A605" s="3" t="s">
        <v>458</v>
      </c>
      <c r="B605" s="6" t="s">
        <v>577</v>
      </c>
      <c r="C605" s="6">
        <v>0</v>
      </c>
      <c r="D605">
        <f t="shared" si="9"/>
        <v>31</v>
      </c>
      <c r="G605" s="1"/>
    </row>
    <row r="606" spans="1:7" x14ac:dyDescent="0.25">
      <c r="A606" s="4" t="s">
        <v>458</v>
      </c>
      <c r="B606" s="5" t="s">
        <v>578</v>
      </c>
      <c r="C606" s="5">
        <v>0</v>
      </c>
      <c r="D606">
        <f t="shared" si="9"/>
        <v>31</v>
      </c>
      <c r="G606" s="1"/>
    </row>
    <row r="607" spans="1:7" x14ac:dyDescent="0.25">
      <c r="A607" s="3" t="s">
        <v>458</v>
      </c>
      <c r="B607" s="6" t="s">
        <v>579</v>
      </c>
      <c r="C607" s="6">
        <v>1.875</v>
      </c>
      <c r="D607">
        <f t="shared" si="9"/>
        <v>31</v>
      </c>
      <c r="G607" s="1"/>
    </row>
    <row r="608" spans="1:7" x14ac:dyDescent="0.25">
      <c r="A608" s="4" t="s">
        <v>458</v>
      </c>
      <c r="B608" s="5" t="s">
        <v>580</v>
      </c>
      <c r="C608" s="5">
        <v>205.11179999999999</v>
      </c>
      <c r="D608">
        <f t="shared" si="9"/>
        <v>31</v>
      </c>
      <c r="G608" s="1"/>
    </row>
    <row r="609" spans="1:7" x14ac:dyDescent="0.25">
      <c r="A609" s="3" t="s">
        <v>458</v>
      </c>
      <c r="B609" s="6" t="s">
        <v>581</v>
      </c>
      <c r="C609" s="6">
        <v>1.1599999999999999E-2</v>
      </c>
      <c r="D609">
        <f t="shared" si="9"/>
        <v>31</v>
      </c>
      <c r="G609" s="1"/>
    </row>
    <row r="610" spans="1:7" x14ac:dyDescent="0.25">
      <c r="A610" s="4" t="s">
        <v>458</v>
      </c>
      <c r="B610" s="5" t="s">
        <v>582</v>
      </c>
      <c r="C610" s="5">
        <v>28</v>
      </c>
      <c r="D610">
        <f t="shared" si="9"/>
        <v>31</v>
      </c>
      <c r="G610" s="1"/>
    </row>
    <row r="611" spans="1:7" x14ac:dyDescent="0.25">
      <c r="A611" s="3" t="s">
        <v>458</v>
      </c>
      <c r="B611" s="6" t="s">
        <v>583</v>
      </c>
      <c r="C611" s="6">
        <v>15</v>
      </c>
      <c r="D611">
        <f t="shared" si="9"/>
        <v>31</v>
      </c>
      <c r="G611" s="1"/>
    </row>
    <row r="612" spans="1:7" x14ac:dyDescent="0.25">
      <c r="A612" s="4" t="s">
        <v>458</v>
      </c>
      <c r="B612" s="5" t="s">
        <v>584</v>
      </c>
      <c r="C612" s="5">
        <v>109.3929</v>
      </c>
      <c r="D612">
        <f t="shared" si="9"/>
        <v>31</v>
      </c>
      <c r="G612" s="1"/>
    </row>
    <row r="613" spans="1:7" x14ac:dyDescent="0.25">
      <c r="A613" s="3" t="s">
        <v>458</v>
      </c>
      <c r="B613" s="6" t="s">
        <v>585</v>
      </c>
      <c r="C613" s="6">
        <v>13</v>
      </c>
      <c r="D613">
        <f t="shared" si="9"/>
        <v>31</v>
      </c>
      <c r="G613" s="1"/>
    </row>
    <row r="614" spans="1:7" x14ac:dyDescent="0.25">
      <c r="A614" s="4" t="s">
        <v>458</v>
      </c>
      <c r="B614" s="5" t="s">
        <v>586</v>
      </c>
      <c r="C614" s="5">
        <v>1</v>
      </c>
      <c r="D614">
        <f t="shared" si="9"/>
        <v>31</v>
      </c>
      <c r="G614" s="1"/>
    </row>
    <row r="615" spans="1:7" x14ac:dyDescent="0.25">
      <c r="A615" s="3" t="s">
        <v>458</v>
      </c>
      <c r="B615" s="6" t="s">
        <v>587</v>
      </c>
      <c r="C615" s="6">
        <v>0</v>
      </c>
      <c r="D615">
        <f t="shared" si="9"/>
        <v>31</v>
      </c>
      <c r="G615" s="1"/>
    </row>
    <row r="616" spans="1:7" x14ac:dyDescent="0.25">
      <c r="A616" s="4" t="s">
        <v>458</v>
      </c>
      <c r="B616" s="5" t="s">
        <v>588</v>
      </c>
      <c r="C616" s="5">
        <v>61.434399999999997</v>
      </c>
      <c r="D616">
        <f t="shared" si="9"/>
        <v>31</v>
      </c>
      <c r="G616" s="1"/>
    </row>
    <row r="617" spans="1:7" x14ac:dyDescent="0.25">
      <c r="A617" s="3" t="s">
        <v>458</v>
      </c>
      <c r="B617" s="6" t="s">
        <v>589</v>
      </c>
      <c r="C617" s="6">
        <v>0</v>
      </c>
      <c r="D617">
        <f t="shared" si="9"/>
        <v>31</v>
      </c>
      <c r="G617" s="1"/>
    </row>
    <row r="618" spans="1:7" x14ac:dyDescent="0.25">
      <c r="A618" s="4" t="s">
        <v>458</v>
      </c>
      <c r="B618" s="5" t="s">
        <v>590</v>
      </c>
      <c r="C618" s="5">
        <v>1</v>
      </c>
      <c r="D618">
        <f t="shared" si="9"/>
        <v>31</v>
      </c>
      <c r="G618" s="1"/>
    </row>
    <row r="619" spans="1:7" x14ac:dyDescent="0.25">
      <c r="A619" s="3" t="s">
        <v>458</v>
      </c>
      <c r="B619" s="6" t="s">
        <v>591</v>
      </c>
      <c r="C619" s="6">
        <v>10</v>
      </c>
      <c r="D619">
        <f t="shared" si="9"/>
        <v>31</v>
      </c>
      <c r="G619" s="1"/>
    </row>
    <row r="620" spans="1:7" x14ac:dyDescent="0.25">
      <c r="A620" s="4" t="s">
        <v>458</v>
      </c>
      <c r="B620" s="5" t="s">
        <v>592</v>
      </c>
      <c r="C620" s="5">
        <v>0</v>
      </c>
      <c r="D620">
        <f t="shared" si="9"/>
        <v>31</v>
      </c>
      <c r="G620" s="1"/>
    </row>
    <row r="621" spans="1:7" x14ac:dyDescent="0.25">
      <c r="A621" s="3" t="s">
        <v>458</v>
      </c>
      <c r="B621" s="6" t="s">
        <v>593</v>
      </c>
      <c r="C621" s="6">
        <v>1</v>
      </c>
      <c r="D621">
        <f t="shared" si="9"/>
        <v>31</v>
      </c>
      <c r="G621" s="1"/>
    </row>
    <row r="622" spans="1:7" x14ac:dyDescent="0.25">
      <c r="A622" s="4" t="s">
        <v>459</v>
      </c>
      <c r="B622" s="5" t="s">
        <v>574</v>
      </c>
      <c r="C622" s="5">
        <v>2</v>
      </c>
      <c r="D622">
        <f t="shared" si="9"/>
        <v>32</v>
      </c>
      <c r="G622" s="1"/>
    </row>
    <row r="623" spans="1:7" x14ac:dyDescent="0.25">
      <c r="A623" s="3" t="s">
        <v>459</v>
      </c>
      <c r="B623" s="6" t="s">
        <v>575</v>
      </c>
      <c r="C623" s="6">
        <v>1</v>
      </c>
      <c r="D623">
        <f t="shared" si="9"/>
        <v>32</v>
      </c>
      <c r="G623" s="1"/>
    </row>
    <row r="624" spans="1:7" x14ac:dyDescent="0.25">
      <c r="A624" s="4" t="s">
        <v>459</v>
      </c>
      <c r="B624" s="5" t="s">
        <v>576</v>
      </c>
      <c r="C624" s="5">
        <v>0.4</v>
      </c>
      <c r="D624">
        <f t="shared" si="9"/>
        <v>32</v>
      </c>
      <c r="G624" s="1"/>
    </row>
    <row r="625" spans="1:7" x14ac:dyDescent="0.25">
      <c r="A625" s="3" t="s">
        <v>459</v>
      </c>
      <c r="B625" s="6" t="s">
        <v>577</v>
      </c>
      <c r="C625" s="6">
        <v>4</v>
      </c>
      <c r="D625">
        <f t="shared" si="9"/>
        <v>32</v>
      </c>
      <c r="G625" s="1"/>
    </row>
    <row r="626" spans="1:7" x14ac:dyDescent="0.25">
      <c r="A626" s="4" t="s">
        <v>459</v>
      </c>
      <c r="B626" s="5" t="s">
        <v>578</v>
      </c>
      <c r="C626" s="5">
        <v>0</v>
      </c>
      <c r="D626">
        <f t="shared" si="9"/>
        <v>32</v>
      </c>
      <c r="G626" s="1"/>
    </row>
    <row r="627" spans="1:7" x14ac:dyDescent="0.25">
      <c r="A627" s="3" t="s">
        <v>459</v>
      </c>
      <c r="B627" s="6" t="s">
        <v>579</v>
      </c>
      <c r="C627" s="6">
        <v>12.833299999999999</v>
      </c>
      <c r="D627">
        <f t="shared" si="9"/>
        <v>32</v>
      </c>
      <c r="G627" s="1"/>
    </row>
    <row r="628" spans="1:7" x14ac:dyDescent="0.25">
      <c r="A628" s="4" t="s">
        <v>459</v>
      </c>
      <c r="B628" s="5" t="s">
        <v>580</v>
      </c>
      <c r="C628" s="5">
        <v>2533.5369999999998</v>
      </c>
      <c r="D628">
        <f t="shared" si="9"/>
        <v>32</v>
      </c>
      <c r="G628" s="1"/>
    </row>
    <row r="629" spans="1:7" x14ac:dyDescent="0.25">
      <c r="A629" s="3" t="s">
        <v>459</v>
      </c>
      <c r="B629" s="6" t="s">
        <v>581</v>
      </c>
      <c r="C629" s="6">
        <v>6.1899999999999997E-2</v>
      </c>
      <c r="D629">
        <f t="shared" si="9"/>
        <v>32</v>
      </c>
      <c r="G629" s="1"/>
    </row>
    <row r="630" spans="1:7" x14ac:dyDescent="0.25">
      <c r="A630" s="4" t="s">
        <v>459</v>
      </c>
      <c r="B630" s="5" t="s">
        <v>582</v>
      </c>
      <c r="C630" s="5">
        <v>42</v>
      </c>
      <c r="D630">
        <f t="shared" si="9"/>
        <v>32</v>
      </c>
      <c r="G630" s="1"/>
    </row>
    <row r="631" spans="1:7" x14ac:dyDescent="0.25">
      <c r="A631" s="3" t="s">
        <v>459</v>
      </c>
      <c r="B631" s="6" t="s">
        <v>583</v>
      </c>
      <c r="C631" s="6">
        <v>26</v>
      </c>
      <c r="D631">
        <f t="shared" si="9"/>
        <v>32</v>
      </c>
      <c r="G631" s="1"/>
    </row>
    <row r="632" spans="1:7" x14ac:dyDescent="0.25">
      <c r="A632" s="4" t="s">
        <v>459</v>
      </c>
      <c r="B632" s="5" t="s">
        <v>584</v>
      </c>
      <c r="C632" s="5">
        <v>197.41849999999999</v>
      </c>
      <c r="D632">
        <f t="shared" si="9"/>
        <v>32</v>
      </c>
      <c r="G632" s="1"/>
    </row>
    <row r="633" spans="1:7" x14ac:dyDescent="0.25">
      <c r="A633" s="3" t="s">
        <v>459</v>
      </c>
      <c r="B633" s="6" t="s">
        <v>585</v>
      </c>
      <c r="C633" s="6">
        <v>30</v>
      </c>
      <c r="D633">
        <f t="shared" si="9"/>
        <v>32</v>
      </c>
      <c r="G633" s="1"/>
    </row>
    <row r="634" spans="1:7" x14ac:dyDescent="0.25">
      <c r="A634" s="4" t="s">
        <v>459</v>
      </c>
      <c r="B634" s="5" t="s">
        <v>586</v>
      </c>
      <c r="C634" s="5">
        <v>1</v>
      </c>
      <c r="D634">
        <f t="shared" si="9"/>
        <v>32</v>
      </c>
      <c r="G634" s="1"/>
    </row>
    <row r="635" spans="1:7" x14ac:dyDescent="0.25">
      <c r="A635" s="3" t="s">
        <v>459</v>
      </c>
      <c r="B635" s="6" t="s">
        <v>587</v>
      </c>
      <c r="C635" s="6">
        <v>1</v>
      </c>
      <c r="D635">
        <f t="shared" si="9"/>
        <v>32</v>
      </c>
      <c r="G635" s="1"/>
    </row>
    <row r="636" spans="1:7" x14ac:dyDescent="0.25">
      <c r="A636" s="4" t="s">
        <v>459</v>
      </c>
      <c r="B636" s="5" t="s">
        <v>588</v>
      </c>
      <c r="C636" s="5">
        <v>51.564500000000002</v>
      </c>
      <c r="D636">
        <f t="shared" si="9"/>
        <v>32</v>
      </c>
      <c r="G636" s="1"/>
    </row>
    <row r="637" spans="1:7" x14ac:dyDescent="0.25">
      <c r="A637" s="3" t="s">
        <v>459</v>
      </c>
      <c r="B637" s="6" t="s">
        <v>589</v>
      </c>
      <c r="C637" s="6">
        <v>1</v>
      </c>
      <c r="D637">
        <f t="shared" si="9"/>
        <v>32</v>
      </c>
      <c r="G637" s="1"/>
    </row>
    <row r="638" spans="1:7" x14ac:dyDescent="0.25">
      <c r="A638" s="4" t="s">
        <v>459</v>
      </c>
      <c r="B638" s="5" t="s">
        <v>590</v>
      </c>
      <c r="C638" s="5">
        <v>3</v>
      </c>
      <c r="D638">
        <f t="shared" si="9"/>
        <v>32</v>
      </c>
      <c r="G638" s="1"/>
    </row>
    <row r="639" spans="1:7" x14ac:dyDescent="0.25">
      <c r="A639" s="3" t="s">
        <v>459</v>
      </c>
      <c r="B639" s="6" t="s">
        <v>591</v>
      </c>
      <c r="C639" s="6">
        <v>8</v>
      </c>
      <c r="D639">
        <f t="shared" si="9"/>
        <v>32</v>
      </c>
      <c r="G639" s="1"/>
    </row>
    <row r="640" spans="1:7" x14ac:dyDescent="0.25">
      <c r="A640" s="4" t="s">
        <v>459</v>
      </c>
      <c r="B640" s="5" t="s">
        <v>592</v>
      </c>
      <c r="C640" s="5">
        <v>1</v>
      </c>
      <c r="D640">
        <f t="shared" si="9"/>
        <v>32</v>
      </c>
      <c r="G640" s="1"/>
    </row>
    <row r="641" spans="1:7" x14ac:dyDescent="0.25">
      <c r="A641" s="3" t="s">
        <v>459</v>
      </c>
      <c r="B641" s="6" t="s">
        <v>593</v>
      </c>
      <c r="C641" s="6">
        <v>1</v>
      </c>
      <c r="D641">
        <f t="shared" si="9"/>
        <v>32</v>
      </c>
      <c r="G641" s="1"/>
    </row>
    <row r="642" spans="1:7" x14ac:dyDescent="0.25">
      <c r="A642" s="4" t="s">
        <v>460</v>
      </c>
      <c r="B642" s="5" t="s">
        <v>574</v>
      </c>
      <c r="C642" s="5">
        <v>6</v>
      </c>
      <c r="D642">
        <f t="shared" si="9"/>
        <v>33</v>
      </c>
      <c r="G642" s="1"/>
    </row>
    <row r="643" spans="1:7" x14ac:dyDescent="0.25">
      <c r="A643" s="3" t="s">
        <v>460</v>
      </c>
      <c r="B643" s="6" t="s">
        <v>575</v>
      </c>
      <c r="C643" s="6">
        <v>2</v>
      </c>
      <c r="D643">
        <f t="shared" si="9"/>
        <v>33</v>
      </c>
      <c r="G643" s="1"/>
    </row>
    <row r="644" spans="1:7" x14ac:dyDescent="0.25">
      <c r="A644" s="4" t="s">
        <v>460</v>
      </c>
      <c r="B644" s="5" t="s">
        <v>576</v>
      </c>
      <c r="C644" s="5">
        <v>0.6</v>
      </c>
      <c r="D644">
        <f t="shared" ref="D644:D707" si="10">IF(B644="CCM", D643+1, D643)</f>
        <v>33</v>
      </c>
      <c r="G644" s="1"/>
    </row>
    <row r="645" spans="1:7" x14ac:dyDescent="0.25">
      <c r="A645" s="3" t="s">
        <v>460</v>
      </c>
      <c r="B645" s="6" t="s">
        <v>577</v>
      </c>
      <c r="C645" s="6">
        <v>4</v>
      </c>
      <c r="D645">
        <f t="shared" si="10"/>
        <v>33</v>
      </c>
      <c r="G645" s="1"/>
    </row>
    <row r="646" spans="1:7" x14ac:dyDescent="0.25">
      <c r="A646" s="4" t="s">
        <v>460</v>
      </c>
      <c r="B646" s="5" t="s">
        <v>578</v>
      </c>
      <c r="C646" s="5">
        <v>0</v>
      </c>
      <c r="D646">
        <f t="shared" si="10"/>
        <v>33</v>
      </c>
      <c r="G646" s="1"/>
    </row>
    <row r="647" spans="1:7" x14ac:dyDescent="0.25">
      <c r="A647" s="3" t="s">
        <v>460</v>
      </c>
      <c r="B647" s="6" t="s">
        <v>579</v>
      </c>
      <c r="C647" s="6">
        <v>24.7273</v>
      </c>
      <c r="D647">
        <f t="shared" si="10"/>
        <v>33</v>
      </c>
      <c r="G647" s="1"/>
    </row>
    <row r="648" spans="1:7" x14ac:dyDescent="0.25">
      <c r="A648" s="4" t="s">
        <v>460</v>
      </c>
      <c r="B648" s="5" t="s">
        <v>580</v>
      </c>
      <c r="C648" s="5">
        <v>7607.8576999999996</v>
      </c>
      <c r="D648">
        <f t="shared" si="10"/>
        <v>33</v>
      </c>
      <c r="G648" s="1"/>
    </row>
    <row r="649" spans="1:7" x14ac:dyDescent="0.25">
      <c r="A649" s="3" t="s">
        <v>460</v>
      </c>
      <c r="B649" s="6" t="s">
        <v>581</v>
      </c>
      <c r="C649" s="6">
        <v>0.12889999999999999</v>
      </c>
      <c r="D649">
        <f t="shared" si="10"/>
        <v>33</v>
      </c>
      <c r="G649" s="1"/>
    </row>
    <row r="650" spans="1:7" x14ac:dyDescent="0.25">
      <c r="A650" s="4" t="s">
        <v>460</v>
      </c>
      <c r="B650" s="5" t="s">
        <v>582</v>
      </c>
      <c r="C650" s="5">
        <v>64</v>
      </c>
      <c r="D650">
        <f t="shared" si="10"/>
        <v>33</v>
      </c>
      <c r="G650" s="1"/>
    </row>
    <row r="651" spans="1:7" x14ac:dyDescent="0.25">
      <c r="A651" s="3" t="s">
        <v>460</v>
      </c>
      <c r="B651" s="6" t="s">
        <v>583</v>
      </c>
      <c r="C651" s="6">
        <v>28</v>
      </c>
      <c r="D651">
        <f t="shared" si="10"/>
        <v>33</v>
      </c>
      <c r="G651" s="1"/>
    </row>
    <row r="652" spans="1:7" x14ac:dyDescent="0.25">
      <c r="A652" s="4" t="s">
        <v>460</v>
      </c>
      <c r="B652" s="5" t="s">
        <v>584</v>
      </c>
      <c r="C652" s="5">
        <v>307.67070000000001</v>
      </c>
      <c r="D652">
        <f t="shared" si="10"/>
        <v>33</v>
      </c>
      <c r="G652" s="1"/>
    </row>
    <row r="653" spans="1:7" x14ac:dyDescent="0.25">
      <c r="A653" s="3" t="s">
        <v>460</v>
      </c>
      <c r="B653" s="6" t="s">
        <v>585</v>
      </c>
      <c r="C653" s="6">
        <v>33</v>
      </c>
      <c r="D653">
        <f t="shared" si="10"/>
        <v>33</v>
      </c>
      <c r="G653" s="1"/>
    </row>
    <row r="654" spans="1:7" x14ac:dyDescent="0.25">
      <c r="A654" s="4" t="s">
        <v>460</v>
      </c>
      <c r="B654" s="5" t="s">
        <v>586</v>
      </c>
      <c r="C654" s="5">
        <v>1</v>
      </c>
      <c r="D654">
        <f t="shared" si="10"/>
        <v>33</v>
      </c>
      <c r="G654" s="1"/>
    </row>
    <row r="655" spans="1:7" x14ac:dyDescent="0.25">
      <c r="A655" s="3" t="s">
        <v>460</v>
      </c>
      <c r="B655" s="6" t="s">
        <v>587</v>
      </c>
      <c r="C655" s="6">
        <v>0</v>
      </c>
      <c r="D655">
        <f t="shared" si="10"/>
        <v>33</v>
      </c>
      <c r="G655" s="1"/>
    </row>
    <row r="656" spans="1:7" x14ac:dyDescent="0.25">
      <c r="A656" s="4" t="s">
        <v>460</v>
      </c>
      <c r="B656" s="5" t="s">
        <v>588</v>
      </c>
      <c r="C656" s="5">
        <v>49.219200000000001</v>
      </c>
      <c r="D656">
        <f t="shared" si="10"/>
        <v>33</v>
      </c>
      <c r="G656" s="1"/>
    </row>
    <row r="657" spans="1:7" x14ac:dyDescent="0.25">
      <c r="A657" s="3" t="s">
        <v>460</v>
      </c>
      <c r="B657" s="6" t="s">
        <v>589</v>
      </c>
      <c r="C657" s="6">
        <v>2</v>
      </c>
      <c r="D657">
        <f t="shared" si="10"/>
        <v>33</v>
      </c>
      <c r="G657" s="1"/>
    </row>
    <row r="658" spans="1:7" x14ac:dyDescent="0.25">
      <c r="A658" s="4" t="s">
        <v>460</v>
      </c>
      <c r="B658" s="5" t="s">
        <v>590</v>
      </c>
      <c r="C658" s="5">
        <v>6</v>
      </c>
      <c r="D658">
        <f t="shared" si="10"/>
        <v>33</v>
      </c>
      <c r="G658" s="1"/>
    </row>
    <row r="659" spans="1:7" x14ac:dyDescent="0.25">
      <c r="A659" s="3" t="s">
        <v>460</v>
      </c>
      <c r="B659" s="6" t="s">
        <v>591</v>
      </c>
      <c r="C659" s="6">
        <v>8</v>
      </c>
      <c r="D659">
        <f t="shared" si="10"/>
        <v>33</v>
      </c>
      <c r="G659" s="1"/>
    </row>
    <row r="660" spans="1:7" x14ac:dyDescent="0.25">
      <c r="A660" s="4" t="s">
        <v>460</v>
      </c>
      <c r="B660" s="5" t="s">
        <v>592</v>
      </c>
      <c r="C660" s="5">
        <v>0</v>
      </c>
      <c r="D660">
        <f t="shared" si="10"/>
        <v>33</v>
      </c>
      <c r="G660" s="1"/>
    </row>
    <row r="661" spans="1:7" x14ac:dyDescent="0.25">
      <c r="A661" s="3" t="s">
        <v>460</v>
      </c>
      <c r="B661" s="6" t="s">
        <v>593</v>
      </c>
      <c r="C661" s="6">
        <v>2</v>
      </c>
      <c r="D661">
        <f t="shared" si="10"/>
        <v>33</v>
      </c>
      <c r="G661" s="1"/>
    </row>
    <row r="662" spans="1:7" x14ac:dyDescent="0.25">
      <c r="A662" s="4" t="s">
        <v>461</v>
      </c>
      <c r="B662" s="5" t="s">
        <v>574</v>
      </c>
      <c r="C662" s="5">
        <v>0</v>
      </c>
      <c r="D662">
        <f t="shared" si="10"/>
        <v>34</v>
      </c>
      <c r="G662" s="1"/>
    </row>
    <row r="663" spans="1:7" x14ac:dyDescent="0.25">
      <c r="A663" s="3" t="s">
        <v>461</v>
      </c>
      <c r="B663" s="6" t="s">
        <v>575</v>
      </c>
      <c r="C663" s="6">
        <v>0</v>
      </c>
      <c r="D663">
        <f t="shared" si="10"/>
        <v>34</v>
      </c>
      <c r="G663" s="1"/>
    </row>
    <row r="664" spans="1:7" x14ac:dyDescent="0.25">
      <c r="A664" s="4" t="s">
        <v>461</v>
      </c>
      <c r="B664" s="5" t="s">
        <v>576</v>
      </c>
      <c r="C664" s="5">
        <v>0</v>
      </c>
      <c r="D664">
        <f t="shared" si="10"/>
        <v>34</v>
      </c>
      <c r="G664" s="1"/>
    </row>
    <row r="665" spans="1:7" x14ac:dyDescent="0.25">
      <c r="A665" s="3" t="s">
        <v>461</v>
      </c>
      <c r="B665" s="6" t="s">
        <v>577</v>
      </c>
      <c r="C665" s="6">
        <v>0</v>
      </c>
      <c r="D665">
        <f t="shared" si="10"/>
        <v>34</v>
      </c>
      <c r="G665" s="1"/>
    </row>
    <row r="666" spans="1:7" x14ac:dyDescent="0.25">
      <c r="A666" s="4" t="s">
        <v>461</v>
      </c>
      <c r="B666" s="5" t="s">
        <v>578</v>
      </c>
      <c r="C666" s="5">
        <v>0</v>
      </c>
      <c r="D666">
        <f t="shared" si="10"/>
        <v>34</v>
      </c>
      <c r="G666" s="1"/>
    </row>
    <row r="667" spans="1:7" x14ac:dyDescent="0.25">
      <c r="A667" s="3" t="s">
        <v>461</v>
      </c>
      <c r="B667" s="6" t="s">
        <v>579</v>
      </c>
      <c r="C667" s="6">
        <v>1</v>
      </c>
      <c r="D667">
        <f t="shared" si="10"/>
        <v>34</v>
      </c>
      <c r="G667" s="1"/>
    </row>
    <row r="668" spans="1:7" x14ac:dyDescent="0.25">
      <c r="A668" s="4" t="s">
        <v>461</v>
      </c>
      <c r="B668" s="5" t="s">
        <v>580</v>
      </c>
      <c r="C668" s="5">
        <v>4.7549000000000001</v>
      </c>
      <c r="D668">
        <f t="shared" si="10"/>
        <v>34</v>
      </c>
      <c r="G668" s="1"/>
    </row>
    <row r="669" spans="1:7" x14ac:dyDescent="0.25">
      <c r="A669" s="3" t="s">
        <v>461</v>
      </c>
      <c r="B669" s="6" t="s">
        <v>581</v>
      </c>
      <c r="C669" s="6">
        <v>8.9999999999999998E-4</v>
      </c>
      <c r="D669">
        <f t="shared" si="10"/>
        <v>34</v>
      </c>
      <c r="G669" s="1"/>
    </row>
    <row r="670" spans="1:7" x14ac:dyDescent="0.25">
      <c r="A670" s="4" t="s">
        <v>461</v>
      </c>
      <c r="B670" s="5" t="s">
        <v>582</v>
      </c>
      <c r="C670" s="5">
        <v>3</v>
      </c>
      <c r="D670">
        <f t="shared" si="10"/>
        <v>34</v>
      </c>
      <c r="G670" s="1"/>
    </row>
    <row r="671" spans="1:7" x14ac:dyDescent="0.25">
      <c r="A671" s="3" t="s">
        <v>461</v>
      </c>
      <c r="B671" s="6" t="s">
        <v>583</v>
      </c>
      <c r="C671" s="6">
        <v>3</v>
      </c>
      <c r="D671">
        <f t="shared" si="10"/>
        <v>34</v>
      </c>
      <c r="G671" s="1"/>
    </row>
    <row r="672" spans="1:7" x14ac:dyDescent="0.25">
      <c r="A672" s="4" t="s">
        <v>461</v>
      </c>
      <c r="B672" s="5" t="s">
        <v>584</v>
      </c>
      <c r="C672" s="5">
        <v>4.7549000000000001</v>
      </c>
      <c r="D672">
        <f t="shared" si="10"/>
        <v>34</v>
      </c>
      <c r="G672" s="1"/>
    </row>
    <row r="673" spans="1:7" x14ac:dyDescent="0.25">
      <c r="A673" s="3" t="s">
        <v>461</v>
      </c>
      <c r="B673" s="6" t="s">
        <v>585</v>
      </c>
      <c r="C673" s="6">
        <v>5</v>
      </c>
      <c r="D673">
        <f t="shared" si="10"/>
        <v>34</v>
      </c>
      <c r="G673" s="1"/>
    </row>
    <row r="674" spans="1:7" x14ac:dyDescent="0.25">
      <c r="A674" s="4" t="s">
        <v>461</v>
      </c>
      <c r="B674" s="5" t="s">
        <v>586</v>
      </c>
      <c r="C674" s="5">
        <v>1</v>
      </c>
      <c r="D674">
        <f t="shared" si="10"/>
        <v>34</v>
      </c>
      <c r="G674" s="1"/>
    </row>
    <row r="675" spans="1:7" x14ac:dyDescent="0.25">
      <c r="A675" s="3" t="s">
        <v>461</v>
      </c>
      <c r="B675" s="6" t="s">
        <v>587</v>
      </c>
      <c r="C675" s="6">
        <v>0</v>
      </c>
      <c r="D675">
        <f t="shared" si="10"/>
        <v>34</v>
      </c>
      <c r="G675" s="1"/>
    </row>
    <row r="676" spans="1:7" x14ac:dyDescent="0.25">
      <c r="A676" s="4" t="s">
        <v>461</v>
      </c>
      <c r="B676" s="5" t="s">
        <v>588</v>
      </c>
      <c r="C676" s="5">
        <v>80.537099999999995</v>
      </c>
      <c r="D676">
        <f t="shared" si="10"/>
        <v>34</v>
      </c>
      <c r="G676" s="1"/>
    </row>
    <row r="677" spans="1:7" x14ac:dyDescent="0.25">
      <c r="A677" s="3" t="s">
        <v>461</v>
      </c>
      <c r="B677" s="6" t="s">
        <v>589</v>
      </c>
      <c r="C677" s="6">
        <v>0</v>
      </c>
      <c r="D677">
        <f t="shared" si="10"/>
        <v>34</v>
      </c>
      <c r="G677" s="1"/>
    </row>
    <row r="678" spans="1:7" x14ac:dyDescent="0.25">
      <c r="A678" s="4" t="s">
        <v>461</v>
      </c>
      <c r="B678" s="5" t="s">
        <v>590</v>
      </c>
      <c r="C678" s="5">
        <v>1</v>
      </c>
      <c r="D678">
        <f t="shared" si="10"/>
        <v>34</v>
      </c>
      <c r="G678" s="1"/>
    </row>
    <row r="679" spans="1:7" x14ac:dyDescent="0.25">
      <c r="A679" s="3" t="s">
        <v>461</v>
      </c>
      <c r="B679" s="6" t="s">
        <v>591</v>
      </c>
      <c r="C679" s="6">
        <v>1</v>
      </c>
      <c r="D679">
        <f t="shared" si="10"/>
        <v>34</v>
      </c>
      <c r="G679" s="1"/>
    </row>
    <row r="680" spans="1:7" x14ac:dyDescent="0.25">
      <c r="A680" s="4" t="s">
        <v>461</v>
      </c>
      <c r="B680" s="5" t="s">
        <v>592</v>
      </c>
      <c r="C680" s="5">
        <v>0</v>
      </c>
      <c r="D680">
        <f t="shared" si="10"/>
        <v>34</v>
      </c>
      <c r="G680" s="1"/>
    </row>
    <row r="681" spans="1:7" x14ac:dyDescent="0.25">
      <c r="A681" s="3" t="s">
        <v>461</v>
      </c>
      <c r="B681" s="6" t="s">
        <v>593</v>
      </c>
      <c r="C681" s="6">
        <v>0</v>
      </c>
      <c r="D681">
        <f t="shared" si="10"/>
        <v>34</v>
      </c>
      <c r="G681" s="1"/>
    </row>
    <row r="682" spans="1:7" x14ac:dyDescent="0.25">
      <c r="A682" s="4" t="s">
        <v>462</v>
      </c>
      <c r="B682" s="5" t="s">
        <v>574</v>
      </c>
      <c r="C682" s="5">
        <v>0</v>
      </c>
      <c r="D682">
        <f t="shared" si="10"/>
        <v>35</v>
      </c>
      <c r="G682" s="1"/>
    </row>
    <row r="683" spans="1:7" x14ac:dyDescent="0.25">
      <c r="A683" s="3" t="s">
        <v>462</v>
      </c>
      <c r="B683" s="6" t="s">
        <v>575</v>
      </c>
      <c r="C683" s="6">
        <v>0</v>
      </c>
      <c r="D683">
        <f t="shared" si="10"/>
        <v>35</v>
      </c>
      <c r="G683" s="1"/>
    </row>
    <row r="684" spans="1:7" x14ac:dyDescent="0.25">
      <c r="A684" s="4" t="s">
        <v>462</v>
      </c>
      <c r="B684" s="5" t="s">
        <v>576</v>
      </c>
      <c r="C684" s="5">
        <v>0</v>
      </c>
      <c r="D684">
        <f t="shared" si="10"/>
        <v>35</v>
      </c>
      <c r="G684" s="1"/>
    </row>
    <row r="685" spans="1:7" x14ac:dyDescent="0.25">
      <c r="A685" s="3" t="s">
        <v>462</v>
      </c>
      <c r="B685" s="6" t="s">
        <v>577</v>
      </c>
      <c r="C685" s="6">
        <v>0</v>
      </c>
      <c r="D685">
        <f t="shared" si="10"/>
        <v>35</v>
      </c>
      <c r="G685" s="1"/>
    </row>
    <row r="686" spans="1:7" x14ac:dyDescent="0.25">
      <c r="A686" s="4" t="s">
        <v>462</v>
      </c>
      <c r="B686" s="5" t="s">
        <v>578</v>
      </c>
      <c r="C686" s="5">
        <v>0</v>
      </c>
      <c r="D686">
        <f t="shared" si="10"/>
        <v>35</v>
      </c>
      <c r="G686" s="1"/>
    </row>
    <row r="687" spans="1:7" x14ac:dyDescent="0.25">
      <c r="A687" s="3" t="s">
        <v>462</v>
      </c>
      <c r="B687" s="6" t="s">
        <v>579</v>
      </c>
      <c r="C687" s="6">
        <v>1</v>
      </c>
      <c r="D687">
        <f t="shared" si="10"/>
        <v>35</v>
      </c>
      <c r="G687" s="1"/>
    </row>
    <row r="688" spans="1:7" x14ac:dyDescent="0.25">
      <c r="A688" s="4" t="s">
        <v>462</v>
      </c>
      <c r="B688" s="5" t="s">
        <v>580</v>
      </c>
      <c r="C688" s="5">
        <v>4.7549000000000001</v>
      </c>
      <c r="D688">
        <f t="shared" si="10"/>
        <v>35</v>
      </c>
      <c r="G688" s="1"/>
    </row>
    <row r="689" spans="1:7" x14ac:dyDescent="0.25">
      <c r="A689" s="3" t="s">
        <v>462</v>
      </c>
      <c r="B689" s="6" t="s">
        <v>581</v>
      </c>
      <c r="C689" s="6">
        <v>8.9999999999999998E-4</v>
      </c>
      <c r="D689">
        <f t="shared" si="10"/>
        <v>35</v>
      </c>
      <c r="G689" s="1"/>
    </row>
    <row r="690" spans="1:7" x14ac:dyDescent="0.25">
      <c r="A690" s="4" t="s">
        <v>462</v>
      </c>
      <c r="B690" s="5" t="s">
        <v>582</v>
      </c>
      <c r="C690" s="5">
        <v>3</v>
      </c>
      <c r="D690">
        <f t="shared" si="10"/>
        <v>35</v>
      </c>
      <c r="G690" s="1"/>
    </row>
    <row r="691" spans="1:7" x14ac:dyDescent="0.25">
      <c r="A691" s="3" t="s">
        <v>462</v>
      </c>
      <c r="B691" s="6" t="s">
        <v>583</v>
      </c>
      <c r="C691" s="6">
        <v>3</v>
      </c>
      <c r="D691">
        <f t="shared" si="10"/>
        <v>35</v>
      </c>
      <c r="G691" s="1"/>
    </row>
    <row r="692" spans="1:7" x14ac:dyDescent="0.25">
      <c r="A692" s="4" t="s">
        <v>462</v>
      </c>
      <c r="B692" s="5" t="s">
        <v>584</v>
      </c>
      <c r="C692" s="5">
        <v>4.7549000000000001</v>
      </c>
      <c r="D692">
        <f t="shared" si="10"/>
        <v>35</v>
      </c>
      <c r="G692" s="1"/>
    </row>
    <row r="693" spans="1:7" x14ac:dyDescent="0.25">
      <c r="A693" s="3" t="s">
        <v>462</v>
      </c>
      <c r="B693" s="6" t="s">
        <v>585</v>
      </c>
      <c r="C693" s="6">
        <v>5</v>
      </c>
      <c r="D693">
        <f t="shared" si="10"/>
        <v>35</v>
      </c>
      <c r="G693" s="1"/>
    </row>
    <row r="694" spans="1:7" x14ac:dyDescent="0.25">
      <c r="A694" s="4" t="s">
        <v>462</v>
      </c>
      <c r="B694" s="5" t="s">
        <v>586</v>
      </c>
      <c r="C694" s="5">
        <v>1</v>
      </c>
      <c r="D694">
        <f t="shared" si="10"/>
        <v>35</v>
      </c>
      <c r="G694" s="1"/>
    </row>
    <row r="695" spans="1:7" x14ac:dyDescent="0.25">
      <c r="A695" s="3" t="s">
        <v>462</v>
      </c>
      <c r="B695" s="6" t="s">
        <v>587</v>
      </c>
      <c r="C695" s="6">
        <v>0</v>
      </c>
      <c r="D695">
        <f t="shared" si="10"/>
        <v>35</v>
      </c>
      <c r="G695" s="1"/>
    </row>
    <row r="696" spans="1:7" x14ac:dyDescent="0.25">
      <c r="A696" s="4" t="s">
        <v>462</v>
      </c>
      <c r="B696" s="5" t="s">
        <v>588</v>
      </c>
      <c r="C696" s="5">
        <v>80.537099999999995</v>
      </c>
      <c r="D696">
        <f t="shared" si="10"/>
        <v>35</v>
      </c>
      <c r="G696" s="1"/>
    </row>
    <row r="697" spans="1:7" x14ac:dyDescent="0.25">
      <c r="A697" s="3" t="s">
        <v>462</v>
      </c>
      <c r="B697" s="6" t="s">
        <v>589</v>
      </c>
      <c r="C697" s="6">
        <v>0</v>
      </c>
      <c r="D697">
        <f t="shared" si="10"/>
        <v>35</v>
      </c>
      <c r="G697" s="1"/>
    </row>
    <row r="698" spans="1:7" x14ac:dyDescent="0.25">
      <c r="A698" s="4" t="s">
        <v>462</v>
      </c>
      <c r="B698" s="5" t="s">
        <v>590</v>
      </c>
      <c r="C698" s="5">
        <v>1</v>
      </c>
      <c r="D698">
        <f t="shared" si="10"/>
        <v>35</v>
      </c>
      <c r="G698" s="1"/>
    </row>
    <row r="699" spans="1:7" x14ac:dyDescent="0.25">
      <c r="A699" s="3" t="s">
        <v>462</v>
      </c>
      <c r="B699" s="6" t="s">
        <v>591</v>
      </c>
      <c r="C699" s="6">
        <v>1</v>
      </c>
      <c r="D699">
        <f t="shared" si="10"/>
        <v>35</v>
      </c>
      <c r="G699" s="1"/>
    </row>
    <row r="700" spans="1:7" x14ac:dyDescent="0.25">
      <c r="A700" s="4" t="s">
        <v>462</v>
      </c>
      <c r="B700" s="5" t="s">
        <v>592</v>
      </c>
      <c r="C700" s="5">
        <v>0</v>
      </c>
      <c r="D700">
        <f t="shared" si="10"/>
        <v>35</v>
      </c>
      <c r="G700" s="1"/>
    </row>
    <row r="701" spans="1:7" x14ac:dyDescent="0.25">
      <c r="A701" s="3" t="s">
        <v>462</v>
      </c>
      <c r="B701" s="6" t="s">
        <v>593</v>
      </c>
      <c r="C701" s="6">
        <v>0</v>
      </c>
      <c r="D701">
        <f t="shared" si="10"/>
        <v>35</v>
      </c>
      <c r="G701" s="1"/>
    </row>
    <row r="702" spans="1:7" x14ac:dyDescent="0.25">
      <c r="A702" s="4" t="s">
        <v>463</v>
      </c>
      <c r="B702" s="5" t="s">
        <v>574</v>
      </c>
      <c r="C702" s="5">
        <v>0</v>
      </c>
      <c r="D702">
        <f t="shared" si="10"/>
        <v>36</v>
      </c>
      <c r="G702" s="1"/>
    </row>
    <row r="703" spans="1:7" x14ac:dyDescent="0.25">
      <c r="A703" s="3" t="s">
        <v>463</v>
      </c>
      <c r="B703" s="6" t="s">
        <v>575</v>
      </c>
      <c r="C703" s="6">
        <v>0</v>
      </c>
      <c r="D703">
        <f t="shared" si="10"/>
        <v>36</v>
      </c>
      <c r="G703" s="1"/>
    </row>
    <row r="704" spans="1:7" x14ac:dyDescent="0.25">
      <c r="A704" s="4" t="s">
        <v>463</v>
      </c>
      <c r="B704" s="5" t="s">
        <v>576</v>
      </c>
      <c r="C704" s="5">
        <v>0</v>
      </c>
      <c r="D704">
        <f t="shared" si="10"/>
        <v>36</v>
      </c>
      <c r="G704" s="1"/>
    </row>
    <row r="705" spans="1:7" x14ac:dyDescent="0.25">
      <c r="A705" s="3" t="s">
        <v>463</v>
      </c>
      <c r="B705" s="6" t="s">
        <v>577</v>
      </c>
      <c r="C705" s="6">
        <v>0</v>
      </c>
      <c r="D705">
        <f t="shared" si="10"/>
        <v>36</v>
      </c>
      <c r="G705" s="1"/>
    </row>
    <row r="706" spans="1:7" x14ac:dyDescent="0.25">
      <c r="A706" s="4" t="s">
        <v>463</v>
      </c>
      <c r="B706" s="5" t="s">
        <v>578</v>
      </c>
      <c r="C706" s="5">
        <v>0</v>
      </c>
      <c r="D706">
        <f t="shared" si="10"/>
        <v>36</v>
      </c>
      <c r="G706" s="1"/>
    </row>
    <row r="707" spans="1:7" x14ac:dyDescent="0.25">
      <c r="A707" s="3" t="s">
        <v>463</v>
      </c>
      <c r="B707" s="6" t="s">
        <v>579</v>
      </c>
      <c r="C707" s="6">
        <v>2</v>
      </c>
      <c r="D707">
        <f t="shared" si="10"/>
        <v>36</v>
      </c>
      <c r="G707" s="1"/>
    </row>
    <row r="708" spans="1:7" x14ac:dyDescent="0.25">
      <c r="A708" s="4" t="s">
        <v>463</v>
      </c>
      <c r="B708" s="5" t="s">
        <v>580</v>
      </c>
      <c r="C708" s="5">
        <v>23.2193</v>
      </c>
      <c r="D708">
        <f t="shared" ref="D708:D771" si="11">IF(B708="CCM", D707+1, D707)</f>
        <v>36</v>
      </c>
      <c r="G708" s="1"/>
    </row>
    <row r="709" spans="1:7" x14ac:dyDescent="0.25">
      <c r="A709" s="3" t="s">
        <v>463</v>
      </c>
      <c r="B709" s="6" t="s">
        <v>581</v>
      </c>
      <c r="C709" s="6">
        <v>2.7000000000000001E-3</v>
      </c>
      <c r="D709">
        <f t="shared" si="11"/>
        <v>36</v>
      </c>
      <c r="G709" s="1"/>
    </row>
    <row r="710" spans="1:7" x14ac:dyDescent="0.25">
      <c r="A710" s="4" t="s">
        <v>463</v>
      </c>
      <c r="B710" s="5" t="s">
        <v>582</v>
      </c>
      <c r="C710" s="5">
        <v>5</v>
      </c>
      <c r="D710">
        <f t="shared" si="11"/>
        <v>36</v>
      </c>
      <c r="G710" s="1"/>
    </row>
    <row r="711" spans="1:7" x14ac:dyDescent="0.25">
      <c r="A711" s="3" t="s">
        <v>463</v>
      </c>
      <c r="B711" s="6" t="s">
        <v>583</v>
      </c>
      <c r="C711" s="6">
        <v>5</v>
      </c>
      <c r="D711">
        <f t="shared" si="11"/>
        <v>36</v>
      </c>
      <c r="G711" s="1"/>
    </row>
    <row r="712" spans="1:7" x14ac:dyDescent="0.25">
      <c r="A712" s="4" t="s">
        <v>463</v>
      </c>
      <c r="B712" s="5" t="s">
        <v>584</v>
      </c>
      <c r="C712" s="5">
        <v>11.6096</v>
      </c>
      <c r="D712">
        <f t="shared" si="11"/>
        <v>36</v>
      </c>
      <c r="G712" s="1"/>
    </row>
    <row r="713" spans="1:7" x14ac:dyDescent="0.25">
      <c r="A713" s="3" t="s">
        <v>463</v>
      </c>
      <c r="B713" s="6" t="s">
        <v>585</v>
      </c>
      <c r="C713" s="6">
        <v>5</v>
      </c>
      <c r="D713">
        <f t="shared" si="11"/>
        <v>36</v>
      </c>
      <c r="G713" s="1"/>
    </row>
    <row r="714" spans="1:7" x14ac:dyDescent="0.25">
      <c r="A714" s="4" t="s">
        <v>463</v>
      </c>
      <c r="B714" s="5" t="s">
        <v>586</v>
      </c>
      <c r="C714" s="5">
        <v>1</v>
      </c>
      <c r="D714">
        <f t="shared" si="11"/>
        <v>36</v>
      </c>
      <c r="G714" s="1"/>
    </row>
    <row r="715" spans="1:7" x14ac:dyDescent="0.25">
      <c r="A715" s="3" t="s">
        <v>463</v>
      </c>
      <c r="B715" s="6" t="s">
        <v>587</v>
      </c>
      <c r="C715" s="6">
        <v>0</v>
      </c>
      <c r="D715">
        <f t="shared" si="11"/>
        <v>36</v>
      </c>
      <c r="G715" s="1"/>
    </row>
    <row r="716" spans="1:7" x14ac:dyDescent="0.25">
      <c r="A716" s="4" t="s">
        <v>463</v>
      </c>
      <c r="B716" s="5" t="s">
        <v>588</v>
      </c>
      <c r="C716" s="5">
        <v>77.460800000000006</v>
      </c>
      <c r="D716">
        <f t="shared" si="11"/>
        <v>36</v>
      </c>
      <c r="G716" s="1"/>
    </row>
    <row r="717" spans="1:7" x14ac:dyDescent="0.25">
      <c r="A717" s="3" t="s">
        <v>463</v>
      </c>
      <c r="B717" s="6" t="s">
        <v>589</v>
      </c>
      <c r="C717" s="6">
        <v>0</v>
      </c>
      <c r="D717">
        <f t="shared" si="11"/>
        <v>36</v>
      </c>
      <c r="G717" s="1"/>
    </row>
    <row r="718" spans="1:7" x14ac:dyDescent="0.25">
      <c r="A718" s="4" t="s">
        <v>463</v>
      </c>
      <c r="B718" s="5" t="s">
        <v>590</v>
      </c>
      <c r="C718" s="5">
        <v>1</v>
      </c>
      <c r="D718">
        <f t="shared" si="11"/>
        <v>36</v>
      </c>
      <c r="G718" s="1"/>
    </row>
    <row r="719" spans="1:7" x14ac:dyDescent="0.25">
      <c r="A719" s="3" t="s">
        <v>463</v>
      </c>
      <c r="B719" s="6" t="s">
        <v>591</v>
      </c>
      <c r="C719" s="6">
        <v>1</v>
      </c>
      <c r="D719">
        <f t="shared" si="11"/>
        <v>36</v>
      </c>
      <c r="G719" s="1"/>
    </row>
    <row r="720" spans="1:7" x14ac:dyDescent="0.25">
      <c r="A720" s="4" t="s">
        <v>463</v>
      </c>
      <c r="B720" s="5" t="s">
        <v>592</v>
      </c>
      <c r="C720" s="5">
        <v>0</v>
      </c>
      <c r="D720">
        <f t="shared" si="11"/>
        <v>36</v>
      </c>
      <c r="G720" s="1"/>
    </row>
    <row r="721" spans="1:7" x14ac:dyDescent="0.25">
      <c r="A721" s="3" t="s">
        <v>463</v>
      </c>
      <c r="B721" s="6" t="s">
        <v>593</v>
      </c>
      <c r="C721" s="6">
        <v>0</v>
      </c>
      <c r="D721">
        <f t="shared" si="11"/>
        <v>36</v>
      </c>
      <c r="G721" s="1"/>
    </row>
    <row r="722" spans="1:7" x14ac:dyDescent="0.25">
      <c r="A722" s="4" t="s">
        <v>464</v>
      </c>
      <c r="B722" s="5" t="s">
        <v>574</v>
      </c>
      <c r="C722" s="5">
        <v>0</v>
      </c>
      <c r="D722">
        <f t="shared" si="11"/>
        <v>37</v>
      </c>
      <c r="G722" s="1"/>
    </row>
    <row r="723" spans="1:7" x14ac:dyDescent="0.25">
      <c r="A723" s="3" t="s">
        <v>464</v>
      </c>
      <c r="B723" s="6" t="s">
        <v>575</v>
      </c>
      <c r="C723" s="6">
        <v>0</v>
      </c>
      <c r="D723">
        <f t="shared" si="11"/>
        <v>37</v>
      </c>
      <c r="G723" s="1"/>
    </row>
    <row r="724" spans="1:7" x14ac:dyDescent="0.25">
      <c r="A724" s="4" t="s">
        <v>464</v>
      </c>
      <c r="B724" s="5" t="s">
        <v>576</v>
      </c>
      <c r="C724" s="5">
        <v>0</v>
      </c>
      <c r="D724">
        <f t="shared" si="11"/>
        <v>37</v>
      </c>
      <c r="G724" s="1"/>
    </row>
    <row r="725" spans="1:7" x14ac:dyDescent="0.25">
      <c r="A725" s="3" t="s">
        <v>464</v>
      </c>
      <c r="B725" s="6" t="s">
        <v>577</v>
      </c>
      <c r="C725" s="6">
        <v>0</v>
      </c>
      <c r="D725">
        <f t="shared" si="11"/>
        <v>37</v>
      </c>
      <c r="G725" s="1"/>
    </row>
    <row r="726" spans="1:7" x14ac:dyDescent="0.25">
      <c r="A726" s="4" t="s">
        <v>464</v>
      </c>
      <c r="B726" s="5" t="s">
        <v>578</v>
      </c>
      <c r="C726" s="5">
        <v>0</v>
      </c>
      <c r="D726">
        <f t="shared" si="11"/>
        <v>37</v>
      </c>
      <c r="G726" s="1"/>
    </row>
    <row r="727" spans="1:7" x14ac:dyDescent="0.25">
      <c r="A727" s="3" t="s">
        <v>464</v>
      </c>
      <c r="B727" s="6" t="s">
        <v>579</v>
      </c>
      <c r="C727" s="6">
        <v>2</v>
      </c>
      <c r="D727">
        <f t="shared" si="11"/>
        <v>37</v>
      </c>
      <c r="G727" s="1"/>
    </row>
    <row r="728" spans="1:7" x14ac:dyDescent="0.25">
      <c r="A728" s="4" t="s">
        <v>464</v>
      </c>
      <c r="B728" s="5" t="s">
        <v>580</v>
      </c>
      <c r="C728" s="5">
        <v>23.2193</v>
      </c>
      <c r="D728">
        <f t="shared" si="11"/>
        <v>37</v>
      </c>
      <c r="G728" s="1"/>
    </row>
    <row r="729" spans="1:7" x14ac:dyDescent="0.25">
      <c r="A729" s="3" t="s">
        <v>464</v>
      </c>
      <c r="B729" s="6" t="s">
        <v>581</v>
      </c>
      <c r="C729" s="6">
        <v>2.7000000000000001E-3</v>
      </c>
      <c r="D729">
        <f t="shared" si="11"/>
        <v>37</v>
      </c>
      <c r="G729" s="1"/>
    </row>
    <row r="730" spans="1:7" x14ac:dyDescent="0.25">
      <c r="A730" s="4" t="s">
        <v>464</v>
      </c>
      <c r="B730" s="5" t="s">
        <v>582</v>
      </c>
      <c r="C730" s="5">
        <v>5</v>
      </c>
      <c r="D730">
        <f t="shared" si="11"/>
        <v>37</v>
      </c>
      <c r="G730" s="1"/>
    </row>
    <row r="731" spans="1:7" x14ac:dyDescent="0.25">
      <c r="A731" s="3" t="s">
        <v>464</v>
      </c>
      <c r="B731" s="6" t="s">
        <v>583</v>
      </c>
      <c r="C731" s="6">
        <v>5</v>
      </c>
      <c r="D731">
        <f t="shared" si="11"/>
        <v>37</v>
      </c>
      <c r="G731" s="1"/>
    </row>
    <row r="732" spans="1:7" x14ac:dyDescent="0.25">
      <c r="A732" s="4" t="s">
        <v>464</v>
      </c>
      <c r="B732" s="5" t="s">
        <v>584</v>
      </c>
      <c r="C732" s="5">
        <v>11.6096</v>
      </c>
      <c r="D732">
        <f t="shared" si="11"/>
        <v>37</v>
      </c>
      <c r="G732" s="1"/>
    </row>
    <row r="733" spans="1:7" x14ac:dyDescent="0.25">
      <c r="A733" s="3" t="s">
        <v>464</v>
      </c>
      <c r="B733" s="6" t="s">
        <v>585</v>
      </c>
      <c r="C733" s="6">
        <v>5</v>
      </c>
      <c r="D733">
        <f t="shared" si="11"/>
        <v>37</v>
      </c>
      <c r="G733" s="1"/>
    </row>
    <row r="734" spans="1:7" x14ac:dyDescent="0.25">
      <c r="A734" s="4" t="s">
        <v>464</v>
      </c>
      <c r="B734" s="5" t="s">
        <v>586</v>
      </c>
      <c r="C734" s="5">
        <v>1</v>
      </c>
      <c r="D734">
        <f t="shared" si="11"/>
        <v>37</v>
      </c>
      <c r="G734" s="1"/>
    </row>
    <row r="735" spans="1:7" x14ac:dyDescent="0.25">
      <c r="A735" s="3" t="s">
        <v>464</v>
      </c>
      <c r="B735" s="6" t="s">
        <v>587</v>
      </c>
      <c r="C735" s="6">
        <v>0</v>
      </c>
      <c r="D735">
        <f t="shared" si="11"/>
        <v>37</v>
      </c>
      <c r="G735" s="1"/>
    </row>
    <row r="736" spans="1:7" x14ac:dyDescent="0.25">
      <c r="A736" s="4" t="s">
        <v>464</v>
      </c>
      <c r="B736" s="5" t="s">
        <v>588</v>
      </c>
      <c r="C736" s="5">
        <v>77.460800000000006</v>
      </c>
      <c r="D736">
        <f t="shared" si="11"/>
        <v>37</v>
      </c>
      <c r="G736" s="1"/>
    </row>
    <row r="737" spans="1:7" x14ac:dyDescent="0.25">
      <c r="A737" s="3" t="s">
        <v>464</v>
      </c>
      <c r="B737" s="6" t="s">
        <v>589</v>
      </c>
      <c r="C737" s="6">
        <v>0</v>
      </c>
      <c r="D737">
        <f t="shared" si="11"/>
        <v>37</v>
      </c>
      <c r="G737" s="1"/>
    </row>
    <row r="738" spans="1:7" x14ac:dyDescent="0.25">
      <c r="A738" s="4" t="s">
        <v>464</v>
      </c>
      <c r="B738" s="5" t="s">
        <v>590</v>
      </c>
      <c r="C738" s="5">
        <v>1</v>
      </c>
      <c r="D738">
        <f t="shared" si="11"/>
        <v>37</v>
      </c>
      <c r="G738" s="1"/>
    </row>
    <row r="739" spans="1:7" x14ac:dyDescent="0.25">
      <c r="A739" s="3" t="s">
        <v>464</v>
      </c>
      <c r="B739" s="6" t="s">
        <v>591</v>
      </c>
      <c r="C739" s="6">
        <v>1</v>
      </c>
      <c r="D739">
        <f t="shared" si="11"/>
        <v>37</v>
      </c>
      <c r="G739" s="1"/>
    </row>
    <row r="740" spans="1:7" x14ac:dyDescent="0.25">
      <c r="A740" s="4" t="s">
        <v>464</v>
      </c>
      <c r="B740" s="5" t="s">
        <v>592</v>
      </c>
      <c r="C740" s="5">
        <v>0</v>
      </c>
      <c r="D740">
        <f t="shared" si="11"/>
        <v>37</v>
      </c>
      <c r="G740" s="1"/>
    </row>
    <row r="741" spans="1:7" x14ac:dyDescent="0.25">
      <c r="A741" s="3" t="s">
        <v>464</v>
      </c>
      <c r="B741" s="6" t="s">
        <v>593</v>
      </c>
      <c r="C741" s="6">
        <v>0</v>
      </c>
      <c r="D741">
        <f t="shared" si="11"/>
        <v>37</v>
      </c>
      <c r="G741" s="1"/>
    </row>
    <row r="742" spans="1:7" x14ac:dyDescent="0.25">
      <c r="A742" s="4" t="s">
        <v>465</v>
      </c>
      <c r="B742" s="5" t="s">
        <v>574</v>
      </c>
      <c r="C742" s="5">
        <v>0</v>
      </c>
      <c r="D742">
        <f t="shared" si="11"/>
        <v>38</v>
      </c>
      <c r="G742" s="1"/>
    </row>
    <row r="743" spans="1:7" x14ac:dyDescent="0.25">
      <c r="A743" s="3" t="s">
        <v>465</v>
      </c>
      <c r="B743" s="6" t="s">
        <v>575</v>
      </c>
      <c r="C743" s="6">
        <v>0</v>
      </c>
      <c r="D743">
        <f t="shared" si="11"/>
        <v>38</v>
      </c>
      <c r="G743" s="1"/>
    </row>
    <row r="744" spans="1:7" x14ac:dyDescent="0.25">
      <c r="A744" s="4" t="s">
        <v>465</v>
      </c>
      <c r="B744" s="5" t="s">
        <v>576</v>
      </c>
      <c r="C744" s="5">
        <v>0</v>
      </c>
      <c r="D744">
        <f t="shared" si="11"/>
        <v>38</v>
      </c>
      <c r="G744" s="1"/>
    </row>
    <row r="745" spans="1:7" x14ac:dyDescent="0.25">
      <c r="A745" s="3" t="s">
        <v>465</v>
      </c>
      <c r="B745" s="6" t="s">
        <v>577</v>
      </c>
      <c r="C745" s="6">
        <v>0</v>
      </c>
      <c r="D745">
        <f t="shared" si="11"/>
        <v>38</v>
      </c>
      <c r="G745" s="1"/>
    </row>
    <row r="746" spans="1:7" x14ac:dyDescent="0.25">
      <c r="A746" s="4" t="s">
        <v>465</v>
      </c>
      <c r="B746" s="5" t="s">
        <v>578</v>
      </c>
      <c r="C746" s="5">
        <v>0</v>
      </c>
      <c r="D746">
        <f t="shared" si="11"/>
        <v>38</v>
      </c>
      <c r="G746" s="1"/>
    </row>
    <row r="747" spans="1:7" x14ac:dyDescent="0.25">
      <c r="A747" s="3" t="s">
        <v>465</v>
      </c>
      <c r="B747" s="6" t="s">
        <v>579</v>
      </c>
      <c r="C747" s="6">
        <v>1</v>
      </c>
      <c r="D747">
        <f t="shared" si="11"/>
        <v>38</v>
      </c>
      <c r="G747" s="1"/>
    </row>
    <row r="748" spans="1:7" x14ac:dyDescent="0.25">
      <c r="A748" s="4" t="s">
        <v>465</v>
      </c>
      <c r="B748" s="5" t="s">
        <v>580</v>
      </c>
      <c r="C748" s="5">
        <v>4.7549000000000001</v>
      </c>
      <c r="D748">
        <f t="shared" si="11"/>
        <v>38</v>
      </c>
      <c r="G748" s="1"/>
    </row>
    <row r="749" spans="1:7" x14ac:dyDescent="0.25">
      <c r="A749" s="3" t="s">
        <v>465</v>
      </c>
      <c r="B749" s="6" t="s">
        <v>581</v>
      </c>
      <c r="C749" s="6">
        <v>8.9999999999999998E-4</v>
      </c>
      <c r="D749">
        <f t="shared" si="11"/>
        <v>38</v>
      </c>
      <c r="G749" s="1"/>
    </row>
    <row r="750" spans="1:7" x14ac:dyDescent="0.25">
      <c r="A750" s="4" t="s">
        <v>465</v>
      </c>
      <c r="B750" s="5" t="s">
        <v>582</v>
      </c>
      <c r="C750" s="5">
        <v>3</v>
      </c>
      <c r="D750">
        <f t="shared" si="11"/>
        <v>38</v>
      </c>
      <c r="G750" s="1"/>
    </row>
    <row r="751" spans="1:7" x14ac:dyDescent="0.25">
      <c r="A751" s="3" t="s">
        <v>465</v>
      </c>
      <c r="B751" s="6" t="s">
        <v>583</v>
      </c>
      <c r="C751" s="6">
        <v>3</v>
      </c>
      <c r="D751">
        <f t="shared" si="11"/>
        <v>38</v>
      </c>
      <c r="G751" s="1"/>
    </row>
    <row r="752" spans="1:7" x14ac:dyDescent="0.25">
      <c r="A752" s="4" t="s">
        <v>465</v>
      </c>
      <c r="B752" s="5" t="s">
        <v>584</v>
      </c>
      <c r="C752" s="5">
        <v>4.7549000000000001</v>
      </c>
      <c r="D752">
        <f t="shared" si="11"/>
        <v>38</v>
      </c>
      <c r="G752" s="1"/>
    </row>
    <row r="753" spans="1:7" x14ac:dyDescent="0.25">
      <c r="A753" s="3" t="s">
        <v>465</v>
      </c>
      <c r="B753" s="6" t="s">
        <v>585</v>
      </c>
      <c r="C753" s="6">
        <v>5</v>
      </c>
      <c r="D753">
        <f t="shared" si="11"/>
        <v>38</v>
      </c>
      <c r="G753" s="1"/>
    </row>
    <row r="754" spans="1:7" x14ac:dyDescent="0.25">
      <c r="A754" s="4" t="s">
        <v>465</v>
      </c>
      <c r="B754" s="5" t="s">
        <v>586</v>
      </c>
      <c r="C754" s="5">
        <v>1</v>
      </c>
      <c r="D754">
        <f t="shared" si="11"/>
        <v>38</v>
      </c>
      <c r="G754" s="1"/>
    </row>
    <row r="755" spans="1:7" x14ac:dyDescent="0.25">
      <c r="A755" s="3" t="s">
        <v>465</v>
      </c>
      <c r="B755" s="6" t="s">
        <v>587</v>
      </c>
      <c r="C755" s="6">
        <v>0</v>
      </c>
      <c r="D755">
        <f t="shared" si="11"/>
        <v>38</v>
      </c>
      <c r="G755" s="1"/>
    </row>
    <row r="756" spans="1:7" x14ac:dyDescent="0.25">
      <c r="A756" s="4" t="s">
        <v>465</v>
      </c>
      <c r="B756" s="5" t="s">
        <v>588</v>
      </c>
      <c r="C756" s="5">
        <v>80.537099999999995</v>
      </c>
      <c r="D756">
        <f t="shared" si="11"/>
        <v>38</v>
      </c>
      <c r="G756" s="1"/>
    </row>
    <row r="757" spans="1:7" x14ac:dyDescent="0.25">
      <c r="A757" s="3" t="s">
        <v>465</v>
      </c>
      <c r="B757" s="6" t="s">
        <v>589</v>
      </c>
      <c r="C757" s="6">
        <v>0</v>
      </c>
      <c r="D757">
        <f t="shared" si="11"/>
        <v>38</v>
      </c>
      <c r="G757" s="1"/>
    </row>
    <row r="758" spans="1:7" x14ac:dyDescent="0.25">
      <c r="A758" s="4" t="s">
        <v>465</v>
      </c>
      <c r="B758" s="5" t="s">
        <v>590</v>
      </c>
      <c r="C758" s="5">
        <v>1</v>
      </c>
      <c r="D758">
        <f t="shared" si="11"/>
        <v>38</v>
      </c>
      <c r="G758" s="1"/>
    </row>
    <row r="759" spans="1:7" x14ac:dyDescent="0.25">
      <c r="A759" s="3" t="s">
        <v>465</v>
      </c>
      <c r="B759" s="6" t="s">
        <v>591</v>
      </c>
      <c r="C759" s="6">
        <v>1</v>
      </c>
      <c r="D759">
        <f t="shared" si="11"/>
        <v>38</v>
      </c>
      <c r="G759" s="1"/>
    </row>
    <row r="760" spans="1:7" x14ac:dyDescent="0.25">
      <c r="A760" s="4" t="s">
        <v>465</v>
      </c>
      <c r="B760" s="5" t="s">
        <v>592</v>
      </c>
      <c r="C760" s="5">
        <v>0</v>
      </c>
      <c r="D760">
        <f t="shared" si="11"/>
        <v>38</v>
      </c>
      <c r="G760" s="1"/>
    </row>
    <row r="761" spans="1:7" x14ac:dyDescent="0.25">
      <c r="A761" s="3" t="s">
        <v>465</v>
      </c>
      <c r="B761" s="6" t="s">
        <v>593</v>
      </c>
      <c r="C761" s="6">
        <v>0</v>
      </c>
      <c r="D761">
        <f t="shared" si="11"/>
        <v>38</v>
      </c>
      <c r="G761" s="1"/>
    </row>
    <row r="762" spans="1:7" x14ac:dyDescent="0.25">
      <c r="A762" s="4" t="s">
        <v>466</v>
      </c>
      <c r="B762" s="5" t="s">
        <v>574</v>
      </c>
      <c r="C762" s="5">
        <v>0</v>
      </c>
      <c r="D762">
        <f t="shared" si="11"/>
        <v>39</v>
      </c>
      <c r="G762" s="1"/>
    </row>
    <row r="763" spans="1:7" x14ac:dyDescent="0.25">
      <c r="A763" s="3" t="s">
        <v>466</v>
      </c>
      <c r="B763" s="6" t="s">
        <v>575</v>
      </c>
      <c r="C763" s="6">
        <v>0</v>
      </c>
      <c r="D763">
        <f t="shared" si="11"/>
        <v>39</v>
      </c>
      <c r="G763" s="1"/>
    </row>
    <row r="764" spans="1:7" x14ac:dyDescent="0.25">
      <c r="A764" s="4" t="s">
        <v>466</v>
      </c>
      <c r="B764" s="5" t="s">
        <v>576</v>
      </c>
      <c r="C764" s="5">
        <v>0</v>
      </c>
      <c r="D764">
        <f t="shared" si="11"/>
        <v>39</v>
      </c>
      <c r="G764" s="1"/>
    </row>
    <row r="765" spans="1:7" x14ac:dyDescent="0.25">
      <c r="A765" s="3" t="s">
        <v>466</v>
      </c>
      <c r="B765" s="6" t="s">
        <v>577</v>
      </c>
      <c r="C765" s="6">
        <v>0</v>
      </c>
      <c r="D765">
        <f t="shared" si="11"/>
        <v>39</v>
      </c>
      <c r="G765" s="1"/>
    </row>
    <row r="766" spans="1:7" x14ac:dyDescent="0.25">
      <c r="A766" s="4" t="s">
        <v>466</v>
      </c>
      <c r="B766" s="5" t="s">
        <v>578</v>
      </c>
      <c r="C766" s="5">
        <v>0</v>
      </c>
      <c r="D766">
        <f t="shared" si="11"/>
        <v>39</v>
      </c>
      <c r="G766" s="1"/>
    </row>
    <row r="767" spans="1:7" x14ac:dyDescent="0.25">
      <c r="A767" s="3" t="s">
        <v>466</v>
      </c>
      <c r="B767" s="6" t="s">
        <v>579</v>
      </c>
      <c r="C767" s="6">
        <v>1</v>
      </c>
      <c r="D767">
        <f t="shared" si="11"/>
        <v>39</v>
      </c>
      <c r="G767" s="1"/>
    </row>
    <row r="768" spans="1:7" x14ac:dyDescent="0.25">
      <c r="A768" s="4" t="s">
        <v>466</v>
      </c>
      <c r="B768" s="5" t="s">
        <v>580</v>
      </c>
      <c r="C768" s="5">
        <v>4.7549000000000001</v>
      </c>
      <c r="D768">
        <f t="shared" si="11"/>
        <v>39</v>
      </c>
      <c r="G768" s="1"/>
    </row>
    <row r="769" spans="1:7" x14ac:dyDescent="0.25">
      <c r="A769" s="3" t="s">
        <v>466</v>
      </c>
      <c r="B769" s="6" t="s">
        <v>581</v>
      </c>
      <c r="C769" s="6">
        <v>8.9999999999999998E-4</v>
      </c>
      <c r="D769">
        <f t="shared" si="11"/>
        <v>39</v>
      </c>
      <c r="G769" s="1"/>
    </row>
    <row r="770" spans="1:7" x14ac:dyDescent="0.25">
      <c r="A770" s="4" t="s">
        <v>466</v>
      </c>
      <c r="B770" s="5" t="s">
        <v>582</v>
      </c>
      <c r="C770" s="5">
        <v>3</v>
      </c>
      <c r="D770">
        <f t="shared" si="11"/>
        <v>39</v>
      </c>
      <c r="G770" s="1"/>
    </row>
    <row r="771" spans="1:7" x14ac:dyDescent="0.25">
      <c r="A771" s="3" t="s">
        <v>466</v>
      </c>
      <c r="B771" s="6" t="s">
        <v>583</v>
      </c>
      <c r="C771" s="6">
        <v>3</v>
      </c>
      <c r="D771">
        <f t="shared" si="11"/>
        <v>39</v>
      </c>
      <c r="G771" s="1"/>
    </row>
    <row r="772" spans="1:7" x14ac:dyDescent="0.25">
      <c r="A772" s="4" t="s">
        <v>466</v>
      </c>
      <c r="B772" s="5" t="s">
        <v>584</v>
      </c>
      <c r="C772" s="5">
        <v>4.7549000000000001</v>
      </c>
      <c r="D772">
        <f t="shared" ref="D772:D835" si="12">IF(B772="CCM", D771+1, D771)</f>
        <v>39</v>
      </c>
      <c r="G772" s="1"/>
    </row>
    <row r="773" spans="1:7" x14ac:dyDescent="0.25">
      <c r="A773" s="3" t="s">
        <v>466</v>
      </c>
      <c r="B773" s="6" t="s">
        <v>585</v>
      </c>
      <c r="C773" s="6">
        <v>5</v>
      </c>
      <c r="D773">
        <f t="shared" si="12"/>
        <v>39</v>
      </c>
      <c r="G773" s="1"/>
    </row>
    <row r="774" spans="1:7" x14ac:dyDescent="0.25">
      <c r="A774" s="4" t="s">
        <v>466</v>
      </c>
      <c r="B774" s="5" t="s">
        <v>586</v>
      </c>
      <c r="C774" s="5">
        <v>1</v>
      </c>
      <c r="D774">
        <f t="shared" si="12"/>
        <v>39</v>
      </c>
      <c r="G774" s="1"/>
    </row>
    <row r="775" spans="1:7" x14ac:dyDescent="0.25">
      <c r="A775" s="3" t="s">
        <v>466</v>
      </c>
      <c r="B775" s="6" t="s">
        <v>587</v>
      </c>
      <c r="C775" s="6">
        <v>0</v>
      </c>
      <c r="D775">
        <f t="shared" si="12"/>
        <v>39</v>
      </c>
      <c r="G775" s="1"/>
    </row>
    <row r="776" spans="1:7" x14ac:dyDescent="0.25">
      <c r="A776" s="4" t="s">
        <v>466</v>
      </c>
      <c r="B776" s="5" t="s">
        <v>588</v>
      </c>
      <c r="C776" s="5">
        <v>80.537099999999995</v>
      </c>
      <c r="D776">
        <f t="shared" si="12"/>
        <v>39</v>
      </c>
      <c r="G776" s="1"/>
    </row>
    <row r="777" spans="1:7" x14ac:dyDescent="0.25">
      <c r="A777" s="3" t="s">
        <v>466</v>
      </c>
      <c r="B777" s="6" t="s">
        <v>589</v>
      </c>
      <c r="C777" s="6">
        <v>0</v>
      </c>
      <c r="D777">
        <f t="shared" si="12"/>
        <v>39</v>
      </c>
      <c r="G777" s="1"/>
    </row>
    <row r="778" spans="1:7" x14ac:dyDescent="0.25">
      <c r="A778" s="4" t="s">
        <v>466</v>
      </c>
      <c r="B778" s="5" t="s">
        <v>590</v>
      </c>
      <c r="C778" s="5">
        <v>1</v>
      </c>
      <c r="D778">
        <f t="shared" si="12"/>
        <v>39</v>
      </c>
      <c r="G778" s="1"/>
    </row>
    <row r="779" spans="1:7" x14ac:dyDescent="0.25">
      <c r="A779" s="3" t="s">
        <v>466</v>
      </c>
      <c r="B779" s="6" t="s">
        <v>591</v>
      </c>
      <c r="C779" s="6">
        <v>1</v>
      </c>
      <c r="D779">
        <f t="shared" si="12"/>
        <v>39</v>
      </c>
      <c r="G779" s="1"/>
    </row>
    <row r="780" spans="1:7" x14ac:dyDescent="0.25">
      <c r="A780" s="4" t="s">
        <v>466</v>
      </c>
      <c r="B780" s="5" t="s">
        <v>592</v>
      </c>
      <c r="C780" s="5">
        <v>0</v>
      </c>
      <c r="D780">
        <f t="shared" si="12"/>
        <v>39</v>
      </c>
      <c r="G780" s="1"/>
    </row>
    <row r="781" spans="1:7" x14ac:dyDescent="0.25">
      <c r="A781" s="3" t="s">
        <v>466</v>
      </c>
      <c r="B781" s="6" t="s">
        <v>593</v>
      </c>
      <c r="C781" s="6">
        <v>0</v>
      </c>
      <c r="D781">
        <f t="shared" si="12"/>
        <v>39</v>
      </c>
      <c r="G781" s="1"/>
    </row>
    <row r="782" spans="1:7" x14ac:dyDescent="0.25">
      <c r="A782" s="4" t="s">
        <v>467</v>
      </c>
      <c r="B782" s="5" t="s">
        <v>574</v>
      </c>
      <c r="C782" s="5">
        <v>0</v>
      </c>
      <c r="D782">
        <f t="shared" si="12"/>
        <v>40</v>
      </c>
      <c r="G782" s="1"/>
    </row>
    <row r="783" spans="1:7" x14ac:dyDescent="0.25">
      <c r="A783" s="3" t="s">
        <v>467</v>
      </c>
      <c r="B783" s="6" t="s">
        <v>575</v>
      </c>
      <c r="C783" s="6">
        <v>0</v>
      </c>
      <c r="D783">
        <f t="shared" si="12"/>
        <v>40</v>
      </c>
      <c r="G783" s="1"/>
    </row>
    <row r="784" spans="1:7" x14ac:dyDescent="0.25">
      <c r="A784" s="4" t="s">
        <v>467</v>
      </c>
      <c r="B784" s="5" t="s">
        <v>576</v>
      </c>
      <c r="C784" s="5">
        <v>1</v>
      </c>
      <c r="D784">
        <f t="shared" si="12"/>
        <v>40</v>
      </c>
      <c r="G784" s="1"/>
    </row>
    <row r="785" spans="1:7" x14ac:dyDescent="0.25">
      <c r="A785" s="3" t="s">
        <v>467</v>
      </c>
      <c r="B785" s="6" t="s">
        <v>577</v>
      </c>
      <c r="C785" s="6">
        <v>2</v>
      </c>
      <c r="D785">
        <f t="shared" si="12"/>
        <v>40</v>
      </c>
      <c r="G785" s="1"/>
    </row>
    <row r="786" spans="1:7" x14ac:dyDescent="0.25">
      <c r="A786" s="4" t="s">
        <v>467</v>
      </c>
      <c r="B786" s="5" t="s">
        <v>578</v>
      </c>
      <c r="C786" s="5">
        <v>0</v>
      </c>
      <c r="D786">
        <f t="shared" si="12"/>
        <v>40</v>
      </c>
      <c r="G786" s="1"/>
    </row>
    <row r="787" spans="1:7" x14ac:dyDescent="0.25">
      <c r="A787" s="3" t="s">
        <v>467</v>
      </c>
      <c r="B787" s="6" t="s">
        <v>579</v>
      </c>
      <c r="C787" s="6">
        <v>2.5</v>
      </c>
      <c r="D787">
        <f t="shared" si="12"/>
        <v>40</v>
      </c>
      <c r="G787" s="1"/>
    </row>
    <row r="788" spans="1:7" x14ac:dyDescent="0.25">
      <c r="A788" s="4" t="s">
        <v>467</v>
      </c>
      <c r="B788" s="5" t="s">
        <v>580</v>
      </c>
      <c r="C788" s="5">
        <v>49.128700000000002</v>
      </c>
      <c r="D788">
        <f t="shared" si="12"/>
        <v>40</v>
      </c>
      <c r="G788" s="1"/>
    </row>
    <row r="789" spans="1:7" x14ac:dyDescent="0.25">
      <c r="A789" s="3" t="s">
        <v>467</v>
      </c>
      <c r="B789" s="6" t="s">
        <v>581</v>
      </c>
      <c r="C789" s="6">
        <v>4.4999999999999997E-3</v>
      </c>
      <c r="D789">
        <f t="shared" si="12"/>
        <v>40</v>
      </c>
      <c r="G789" s="1"/>
    </row>
    <row r="790" spans="1:7" x14ac:dyDescent="0.25">
      <c r="A790" s="4" t="s">
        <v>467</v>
      </c>
      <c r="B790" s="5" t="s">
        <v>582</v>
      </c>
      <c r="C790" s="5">
        <v>7</v>
      </c>
      <c r="D790">
        <f t="shared" si="12"/>
        <v>40</v>
      </c>
      <c r="G790" s="1"/>
    </row>
    <row r="791" spans="1:7" x14ac:dyDescent="0.25">
      <c r="A791" s="3" t="s">
        <v>467</v>
      </c>
      <c r="B791" s="6" t="s">
        <v>583</v>
      </c>
      <c r="C791" s="6">
        <v>7</v>
      </c>
      <c r="D791">
        <f t="shared" si="12"/>
        <v>40</v>
      </c>
      <c r="G791" s="1"/>
    </row>
    <row r="792" spans="1:7" x14ac:dyDescent="0.25">
      <c r="A792" s="4" t="s">
        <v>467</v>
      </c>
      <c r="B792" s="5" t="s">
        <v>584</v>
      </c>
      <c r="C792" s="5">
        <v>19.651499999999999</v>
      </c>
      <c r="D792">
        <f t="shared" si="12"/>
        <v>40</v>
      </c>
      <c r="G792" s="1"/>
    </row>
    <row r="793" spans="1:7" x14ac:dyDescent="0.25">
      <c r="A793" s="3" t="s">
        <v>467</v>
      </c>
      <c r="B793" s="6" t="s">
        <v>585</v>
      </c>
      <c r="C793" s="6">
        <v>6</v>
      </c>
      <c r="D793">
        <f t="shared" si="12"/>
        <v>40</v>
      </c>
      <c r="G793" s="1"/>
    </row>
    <row r="794" spans="1:7" x14ac:dyDescent="0.25">
      <c r="A794" s="4" t="s">
        <v>467</v>
      </c>
      <c r="B794" s="5" t="s">
        <v>586</v>
      </c>
      <c r="C794" s="5">
        <v>1</v>
      </c>
      <c r="D794">
        <f t="shared" si="12"/>
        <v>40</v>
      </c>
      <c r="G794" s="1"/>
    </row>
    <row r="795" spans="1:7" x14ac:dyDescent="0.25">
      <c r="A795" s="3" t="s">
        <v>467</v>
      </c>
      <c r="B795" s="6" t="s">
        <v>587</v>
      </c>
      <c r="C795" s="6">
        <v>0</v>
      </c>
      <c r="D795">
        <f t="shared" si="12"/>
        <v>40</v>
      </c>
      <c r="G795" s="1"/>
    </row>
    <row r="796" spans="1:7" x14ac:dyDescent="0.25">
      <c r="A796" s="4" t="s">
        <v>467</v>
      </c>
      <c r="B796" s="5" t="s">
        <v>588</v>
      </c>
      <c r="C796" s="5">
        <v>74.071600000000004</v>
      </c>
      <c r="D796">
        <f t="shared" si="12"/>
        <v>40</v>
      </c>
      <c r="G796" s="1"/>
    </row>
    <row r="797" spans="1:7" x14ac:dyDescent="0.25">
      <c r="A797" s="3" t="s">
        <v>467</v>
      </c>
      <c r="B797" s="6" t="s">
        <v>589</v>
      </c>
      <c r="C797" s="6">
        <v>0</v>
      </c>
      <c r="D797">
        <f t="shared" si="12"/>
        <v>40</v>
      </c>
      <c r="G797" s="1"/>
    </row>
    <row r="798" spans="1:7" x14ac:dyDescent="0.25">
      <c r="A798" s="4" t="s">
        <v>467</v>
      </c>
      <c r="B798" s="5" t="s">
        <v>590</v>
      </c>
      <c r="C798" s="5">
        <v>1</v>
      </c>
      <c r="D798">
        <f t="shared" si="12"/>
        <v>40</v>
      </c>
      <c r="G798" s="1"/>
    </row>
    <row r="799" spans="1:7" x14ac:dyDescent="0.25">
      <c r="A799" s="3" t="s">
        <v>467</v>
      </c>
      <c r="B799" s="6" t="s">
        <v>591</v>
      </c>
      <c r="C799" s="6">
        <v>2</v>
      </c>
      <c r="D799">
        <f t="shared" si="12"/>
        <v>40</v>
      </c>
      <c r="G799" s="1"/>
    </row>
    <row r="800" spans="1:7" x14ac:dyDescent="0.25">
      <c r="A800" s="4" t="s">
        <v>467</v>
      </c>
      <c r="B800" s="5" t="s">
        <v>592</v>
      </c>
      <c r="C800" s="5">
        <v>0</v>
      </c>
      <c r="D800">
        <f t="shared" si="12"/>
        <v>40</v>
      </c>
      <c r="G800" s="1"/>
    </row>
    <row r="801" spans="1:7" x14ac:dyDescent="0.25">
      <c r="A801" s="3" t="s">
        <v>467</v>
      </c>
      <c r="B801" s="6" t="s">
        <v>593</v>
      </c>
      <c r="C801" s="6">
        <v>0</v>
      </c>
      <c r="D801">
        <f t="shared" si="12"/>
        <v>40</v>
      </c>
      <c r="G801" s="1"/>
    </row>
    <row r="802" spans="1:7" x14ac:dyDescent="0.25">
      <c r="A802" s="4" t="s">
        <v>468</v>
      </c>
      <c r="B802" s="5" t="s">
        <v>574</v>
      </c>
      <c r="C802" s="5">
        <v>0</v>
      </c>
      <c r="D802">
        <f t="shared" si="12"/>
        <v>41</v>
      </c>
      <c r="G802" s="1"/>
    </row>
    <row r="803" spans="1:7" x14ac:dyDescent="0.25">
      <c r="A803" s="3" t="s">
        <v>468</v>
      </c>
      <c r="B803" s="6" t="s">
        <v>575</v>
      </c>
      <c r="C803" s="6">
        <v>0</v>
      </c>
      <c r="D803">
        <f t="shared" si="12"/>
        <v>41</v>
      </c>
      <c r="G803" s="1"/>
    </row>
    <row r="804" spans="1:7" x14ac:dyDescent="0.25">
      <c r="A804" s="4" t="s">
        <v>468</v>
      </c>
      <c r="B804" s="5" t="s">
        <v>576</v>
      </c>
      <c r="C804" s="5">
        <v>0</v>
      </c>
      <c r="D804">
        <f t="shared" si="12"/>
        <v>41</v>
      </c>
      <c r="G804" s="1"/>
    </row>
    <row r="805" spans="1:7" x14ac:dyDescent="0.25">
      <c r="A805" s="3" t="s">
        <v>468</v>
      </c>
      <c r="B805" s="6" t="s">
        <v>577</v>
      </c>
      <c r="C805" s="6">
        <v>0</v>
      </c>
      <c r="D805">
        <f t="shared" si="12"/>
        <v>41</v>
      </c>
      <c r="G805" s="1"/>
    </row>
    <row r="806" spans="1:7" x14ac:dyDescent="0.25">
      <c r="A806" s="4" t="s">
        <v>468</v>
      </c>
      <c r="B806" s="5" t="s">
        <v>578</v>
      </c>
      <c r="C806" s="5">
        <v>0</v>
      </c>
      <c r="D806">
        <f t="shared" si="12"/>
        <v>41</v>
      </c>
      <c r="G806" s="1"/>
    </row>
    <row r="807" spans="1:7" x14ac:dyDescent="0.25">
      <c r="A807" s="3" t="s">
        <v>468</v>
      </c>
      <c r="B807" s="6" t="s">
        <v>579</v>
      </c>
      <c r="C807" s="6">
        <v>2</v>
      </c>
      <c r="D807">
        <f t="shared" si="12"/>
        <v>41</v>
      </c>
      <c r="G807" s="1"/>
    </row>
    <row r="808" spans="1:7" x14ac:dyDescent="0.25">
      <c r="A808" s="4" t="s">
        <v>468</v>
      </c>
      <c r="B808" s="5" t="s">
        <v>580</v>
      </c>
      <c r="C808" s="5">
        <v>23.2193</v>
      </c>
      <c r="D808">
        <f t="shared" si="12"/>
        <v>41</v>
      </c>
      <c r="G808" s="1"/>
    </row>
    <row r="809" spans="1:7" x14ac:dyDescent="0.25">
      <c r="A809" s="3" t="s">
        <v>468</v>
      </c>
      <c r="B809" s="6" t="s">
        <v>581</v>
      </c>
      <c r="C809" s="6">
        <v>2.7000000000000001E-3</v>
      </c>
      <c r="D809">
        <f t="shared" si="12"/>
        <v>41</v>
      </c>
      <c r="G809" s="1"/>
    </row>
    <row r="810" spans="1:7" x14ac:dyDescent="0.25">
      <c r="A810" s="4" t="s">
        <v>468</v>
      </c>
      <c r="B810" s="5" t="s">
        <v>582</v>
      </c>
      <c r="C810" s="5">
        <v>5</v>
      </c>
      <c r="D810">
        <f t="shared" si="12"/>
        <v>41</v>
      </c>
      <c r="G810" s="1"/>
    </row>
    <row r="811" spans="1:7" x14ac:dyDescent="0.25">
      <c r="A811" s="3" t="s">
        <v>468</v>
      </c>
      <c r="B811" s="6" t="s">
        <v>583</v>
      </c>
      <c r="C811" s="6">
        <v>5</v>
      </c>
      <c r="D811">
        <f t="shared" si="12"/>
        <v>41</v>
      </c>
      <c r="G811" s="1"/>
    </row>
    <row r="812" spans="1:7" x14ac:dyDescent="0.25">
      <c r="A812" s="4" t="s">
        <v>468</v>
      </c>
      <c r="B812" s="5" t="s">
        <v>584</v>
      </c>
      <c r="C812" s="5">
        <v>11.6096</v>
      </c>
      <c r="D812">
        <f t="shared" si="12"/>
        <v>41</v>
      </c>
      <c r="G812" s="1"/>
    </row>
    <row r="813" spans="1:7" x14ac:dyDescent="0.25">
      <c r="A813" s="3" t="s">
        <v>468</v>
      </c>
      <c r="B813" s="6" t="s">
        <v>585</v>
      </c>
      <c r="C813" s="6">
        <v>5</v>
      </c>
      <c r="D813">
        <f t="shared" si="12"/>
        <v>41</v>
      </c>
      <c r="G813" s="1"/>
    </row>
    <row r="814" spans="1:7" x14ac:dyDescent="0.25">
      <c r="A814" s="4" t="s">
        <v>468</v>
      </c>
      <c r="B814" s="5" t="s">
        <v>586</v>
      </c>
      <c r="C814" s="5">
        <v>1</v>
      </c>
      <c r="D814">
        <f t="shared" si="12"/>
        <v>41</v>
      </c>
      <c r="G814" s="1"/>
    </row>
    <row r="815" spans="1:7" x14ac:dyDescent="0.25">
      <c r="A815" s="3" t="s">
        <v>468</v>
      </c>
      <c r="B815" s="6" t="s">
        <v>587</v>
      </c>
      <c r="C815" s="6">
        <v>0</v>
      </c>
      <c r="D815">
        <f t="shared" si="12"/>
        <v>41</v>
      </c>
      <c r="G815" s="1"/>
    </row>
    <row r="816" spans="1:7" x14ac:dyDescent="0.25">
      <c r="A816" s="4" t="s">
        <v>468</v>
      </c>
      <c r="B816" s="5" t="s">
        <v>588</v>
      </c>
      <c r="C816" s="5">
        <v>77.460800000000006</v>
      </c>
      <c r="D816">
        <f t="shared" si="12"/>
        <v>41</v>
      </c>
      <c r="G816" s="1"/>
    </row>
    <row r="817" spans="1:7" x14ac:dyDescent="0.25">
      <c r="A817" s="3" t="s">
        <v>468</v>
      </c>
      <c r="B817" s="6" t="s">
        <v>589</v>
      </c>
      <c r="C817" s="6">
        <v>0</v>
      </c>
      <c r="D817">
        <f t="shared" si="12"/>
        <v>41</v>
      </c>
      <c r="G817" s="1"/>
    </row>
    <row r="818" spans="1:7" x14ac:dyDescent="0.25">
      <c r="A818" s="4" t="s">
        <v>468</v>
      </c>
      <c r="B818" s="5" t="s">
        <v>590</v>
      </c>
      <c r="C818" s="5">
        <v>1</v>
      </c>
      <c r="D818">
        <f t="shared" si="12"/>
        <v>41</v>
      </c>
      <c r="G818" s="1"/>
    </row>
    <row r="819" spans="1:7" x14ac:dyDescent="0.25">
      <c r="A819" s="3" t="s">
        <v>468</v>
      </c>
      <c r="B819" s="6" t="s">
        <v>591</v>
      </c>
      <c r="C819" s="6">
        <v>1</v>
      </c>
      <c r="D819">
        <f t="shared" si="12"/>
        <v>41</v>
      </c>
      <c r="G819" s="1"/>
    </row>
    <row r="820" spans="1:7" x14ac:dyDescent="0.25">
      <c r="A820" s="4" t="s">
        <v>468</v>
      </c>
      <c r="B820" s="5" t="s">
        <v>592</v>
      </c>
      <c r="C820" s="5">
        <v>0</v>
      </c>
      <c r="D820">
        <f t="shared" si="12"/>
        <v>41</v>
      </c>
      <c r="G820" s="1"/>
    </row>
    <row r="821" spans="1:7" x14ac:dyDescent="0.25">
      <c r="A821" s="3" t="s">
        <v>468</v>
      </c>
      <c r="B821" s="6" t="s">
        <v>593</v>
      </c>
      <c r="C821" s="6">
        <v>0</v>
      </c>
      <c r="D821">
        <f t="shared" si="12"/>
        <v>41</v>
      </c>
      <c r="G821" s="1"/>
    </row>
    <row r="822" spans="1:7" x14ac:dyDescent="0.25">
      <c r="A822" s="4" t="s">
        <v>445</v>
      </c>
      <c r="B822" s="5" t="s">
        <v>574</v>
      </c>
      <c r="C822" s="5">
        <v>0</v>
      </c>
      <c r="D822">
        <f t="shared" si="12"/>
        <v>42</v>
      </c>
      <c r="G822" s="1"/>
    </row>
    <row r="823" spans="1:7" x14ac:dyDescent="0.25">
      <c r="A823" s="3" t="s">
        <v>445</v>
      </c>
      <c r="B823" s="6" t="s">
        <v>575</v>
      </c>
      <c r="C823" s="6">
        <v>0</v>
      </c>
      <c r="D823">
        <f t="shared" si="12"/>
        <v>42</v>
      </c>
      <c r="G823" s="1"/>
    </row>
    <row r="824" spans="1:7" x14ac:dyDescent="0.25">
      <c r="A824" s="4" t="s">
        <v>445</v>
      </c>
      <c r="B824" s="5" t="s">
        <v>576</v>
      </c>
      <c r="C824" s="5">
        <v>0</v>
      </c>
      <c r="D824">
        <f t="shared" si="12"/>
        <v>42</v>
      </c>
      <c r="G824" s="1"/>
    </row>
    <row r="825" spans="1:7" x14ac:dyDescent="0.25">
      <c r="A825" s="3" t="s">
        <v>445</v>
      </c>
      <c r="B825" s="6" t="s">
        <v>577</v>
      </c>
      <c r="C825" s="6">
        <v>0</v>
      </c>
      <c r="D825">
        <f t="shared" si="12"/>
        <v>42</v>
      </c>
      <c r="G825" s="1"/>
    </row>
    <row r="826" spans="1:7" x14ac:dyDescent="0.25">
      <c r="A826" s="4" t="s">
        <v>445</v>
      </c>
      <c r="B826" s="5" t="s">
        <v>579</v>
      </c>
      <c r="C826" s="5">
        <v>2</v>
      </c>
      <c r="D826">
        <f t="shared" si="12"/>
        <v>42</v>
      </c>
      <c r="G826" s="1"/>
    </row>
    <row r="827" spans="1:7" x14ac:dyDescent="0.25">
      <c r="A827" s="3" t="s">
        <v>445</v>
      </c>
      <c r="B827" s="6" t="s">
        <v>580</v>
      </c>
      <c r="C827" s="6">
        <v>23.2193</v>
      </c>
      <c r="D827">
        <f t="shared" si="12"/>
        <v>42</v>
      </c>
      <c r="G827" s="1"/>
    </row>
    <row r="828" spans="1:7" x14ac:dyDescent="0.25">
      <c r="A828" s="4" t="s">
        <v>445</v>
      </c>
      <c r="B828" s="5" t="s">
        <v>581</v>
      </c>
      <c r="C828" s="5">
        <v>2.7000000000000001E-3</v>
      </c>
      <c r="D828">
        <f t="shared" si="12"/>
        <v>42</v>
      </c>
      <c r="G828" s="1"/>
    </row>
    <row r="829" spans="1:7" x14ac:dyDescent="0.25">
      <c r="A829" s="3" t="s">
        <v>445</v>
      </c>
      <c r="B829" s="6" t="s">
        <v>582</v>
      </c>
      <c r="C829" s="6">
        <v>5</v>
      </c>
      <c r="D829">
        <f t="shared" si="12"/>
        <v>42</v>
      </c>
      <c r="G829" s="1"/>
    </row>
    <row r="830" spans="1:7" x14ac:dyDescent="0.25">
      <c r="A830" s="4" t="s">
        <v>445</v>
      </c>
      <c r="B830" s="5" t="s">
        <v>583</v>
      </c>
      <c r="C830" s="5">
        <v>5</v>
      </c>
      <c r="D830">
        <f t="shared" si="12"/>
        <v>42</v>
      </c>
      <c r="G830" s="1"/>
    </row>
    <row r="831" spans="1:7" x14ac:dyDescent="0.25">
      <c r="A831" s="3" t="s">
        <v>445</v>
      </c>
      <c r="B831" s="6" t="s">
        <v>584</v>
      </c>
      <c r="C831" s="6">
        <v>11.6096</v>
      </c>
      <c r="D831">
        <f t="shared" si="12"/>
        <v>42</v>
      </c>
      <c r="G831" s="1"/>
    </row>
    <row r="832" spans="1:7" x14ac:dyDescent="0.25">
      <c r="A832" s="4" t="s">
        <v>445</v>
      </c>
      <c r="B832" s="5" t="s">
        <v>585</v>
      </c>
      <c r="C832" s="5">
        <v>5</v>
      </c>
      <c r="D832">
        <f t="shared" si="12"/>
        <v>42</v>
      </c>
      <c r="G832" s="1"/>
    </row>
    <row r="833" spans="1:7" x14ac:dyDescent="0.25">
      <c r="A833" s="3" t="s">
        <v>445</v>
      </c>
      <c r="B833" s="6" t="s">
        <v>587</v>
      </c>
      <c r="C833" s="6">
        <v>0</v>
      </c>
      <c r="D833">
        <f t="shared" si="12"/>
        <v>42</v>
      </c>
      <c r="G833" s="1"/>
    </row>
    <row r="834" spans="1:7" x14ac:dyDescent="0.25">
      <c r="A834" s="4" t="s">
        <v>445</v>
      </c>
      <c r="B834" s="5" t="s">
        <v>588</v>
      </c>
      <c r="C834" s="5">
        <v>77.460800000000006</v>
      </c>
      <c r="D834">
        <f t="shared" si="12"/>
        <v>42</v>
      </c>
      <c r="G834" s="1"/>
    </row>
    <row r="835" spans="1:7" x14ac:dyDescent="0.25">
      <c r="A835" s="3" t="s">
        <v>445</v>
      </c>
      <c r="B835" s="6" t="s">
        <v>590</v>
      </c>
      <c r="C835" s="6">
        <v>1</v>
      </c>
      <c r="D835">
        <f t="shared" si="12"/>
        <v>42</v>
      </c>
      <c r="G835" s="1"/>
    </row>
    <row r="836" spans="1:7" x14ac:dyDescent="0.25">
      <c r="A836" s="4" t="s">
        <v>445</v>
      </c>
      <c r="B836" s="5" t="s">
        <v>591</v>
      </c>
      <c r="C836" s="5">
        <v>1</v>
      </c>
      <c r="D836">
        <f t="shared" ref="D836:D899" si="13">IF(B836="CCM", D835+1, D835)</f>
        <v>42</v>
      </c>
      <c r="G836" s="1"/>
    </row>
    <row r="837" spans="1:7" x14ac:dyDescent="0.25">
      <c r="A837" s="3" t="s">
        <v>445</v>
      </c>
      <c r="B837" s="6" t="s">
        <v>592</v>
      </c>
      <c r="C837" s="6">
        <v>0</v>
      </c>
      <c r="D837">
        <f t="shared" si="13"/>
        <v>42</v>
      </c>
      <c r="G837" s="1"/>
    </row>
    <row r="838" spans="1:7" x14ac:dyDescent="0.25">
      <c r="A838" s="4" t="s">
        <v>469</v>
      </c>
      <c r="B838" s="5" t="s">
        <v>574</v>
      </c>
      <c r="C838" s="5">
        <v>2</v>
      </c>
      <c r="D838">
        <f t="shared" si="13"/>
        <v>43</v>
      </c>
      <c r="G838" s="1"/>
    </row>
    <row r="839" spans="1:7" x14ac:dyDescent="0.25">
      <c r="A839" s="3" t="s">
        <v>469</v>
      </c>
      <c r="B839" s="6" t="s">
        <v>575</v>
      </c>
      <c r="C839" s="6">
        <v>0</v>
      </c>
      <c r="D839">
        <f t="shared" si="13"/>
        <v>43</v>
      </c>
      <c r="G839" s="1"/>
    </row>
    <row r="840" spans="1:7" x14ac:dyDescent="0.25">
      <c r="A840" s="4" t="s">
        <v>469</v>
      </c>
      <c r="B840" s="5" t="s">
        <v>576</v>
      </c>
      <c r="C840" s="5">
        <v>0.66669999999999996</v>
      </c>
      <c r="D840">
        <f t="shared" si="13"/>
        <v>43</v>
      </c>
      <c r="G840" s="1"/>
    </row>
    <row r="841" spans="1:7" x14ac:dyDescent="0.25">
      <c r="A841" s="3" t="s">
        <v>469</v>
      </c>
      <c r="B841" s="6" t="s">
        <v>577</v>
      </c>
      <c r="C841" s="6">
        <v>9</v>
      </c>
      <c r="D841">
        <f t="shared" si="13"/>
        <v>43</v>
      </c>
      <c r="G841" s="1"/>
    </row>
    <row r="842" spans="1:7" x14ac:dyDescent="0.25">
      <c r="A842" s="4" t="s">
        <v>469</v>
      </c>
      <c r="B842" s="5" t="s">
        <v>578</v>
      </c>
      <c r="C842" s="5">
        <v>2</v>
      </c>
      <c r="D842">
        <f t="shared" si="13"/>
        <v>43</v>
      </c>
      <c r="G842" s="1"/>
    </row>
    <row r="843" spans="1:7" x14ac:dyDescent="0.25">
      <c r="A843" s="3" t="s">
        <v>469</v>
      </c>
      <c r="B843" s="6" t="s">
        <v>579</v>
      </c>
      <c r="C843" s="6">
        <v>16.807700000000001</v>
      </c>
      <c r="D843">
        <f t="shared" si="13"/>
        <v>43</v>
      </c>
      <c r="G843" s="1"/>
    </row>
    <row r="844" spans="1:7" x14ac:dyDescent="0.25">
      <c r="A844" s="4" t="s">
        <v>469</v>
      </c>
      <c r="B844" s="5" t="s">
        <v>580</v>
      </c>
      <c r="C844" s="5">
        <v>3865.7692000000002</v>
      </c>
      <c r="D844">
        <f t="shared" si="13"/>
        <v>43</v>
      </c>
      <c r="G844" s="1"/>
    </row>
    <row r="845" spans="1:7" x14ac:dyDescent="0.25">
      <c r="A845" s="3" t="s">
        <v>469</v>
      </c>
      <c r="B845" s="6" t="s">
        <v>581</v>
      </c>
      <c r="C845" s="6">
        <v>8.2100000000000006E-2</v>
      </c>
      <c r="D845">
        <f t="shared" si="13"/>
        <v>43</v>
      </c>
      <c r="G845" s="1"/>
    </row>
    <row r="846" spans="1:7" x14ac:dyDescent="0.25">
      <c r="A846" s="4" t="s">
        <v>469</v>
      </c>
      <c r="B846" s="5" t="s">
        <v>582</v>
      </c>
      <c r="C846" s="5">
        <v>46</v>
      </c>
      <c r="D846">
        <f t="shared" si="13"/>
        <v>43</v>
      </c>
      <c r="G846" s="1"/>
    </row>
    <row r="847" spans="1:7" x14ac:dyDescent="0.25">
      <c r="A847" s="3" t="s">
        <v>469</v>
      </c>
      <c r="B847" s="6" t="s">
        <v>583</v>
      </c>
      <c r="C847" s="6">
        <v>32</v>
      </c>
      <c r="D847">
        <f t="shared" si="13"/>
        <v>43</v>
      </c>
      <c r="G847" s="1"/>
    </row>
    <row r="848" spans="1:7" x14ac:dyDescent="0.25">
      <c r="A848" s="4" t="s">
        <v>469</v>
      </c>
      <c r="B848" s="5" t="s">
        <v>584</v>
      </c>
      <c r="C848" s="5">
        <v>230</v>
      </c>
      <c r="D848">
        <f t="shared" si="13"/>
        <v>43</v>
      </c>
      <c r="G848" s="1"/>
    </row>
    <row r="849" spans="1:7" x14ac:dyDescent="0.25">
      <c r="A849" s="3" t="s">
        <v>469</v>
      </c>
      <c r="B849" s="6" t="s">
        <v>585</v>
      </c>
      <c r="C849" s="6">
        <v>38</v>
      </c>
      <c r="D849">
        <f t="shared" si="13"/>
        <v>43</v>
      </c>
      <c r="G849" s="1"/>
    </row>
    <row r="850" spans="1:7" x14ac:dyDescent="0.25">
      <c r="A850" s="4" t="s">
        <v>469</v>
      </c>
      <c r="B850" s="5" t="s">
        <v>586</v>
      </c>
      <c r="C850" s="5">
        <v>0</v>
      </c>
      <c r="D850">
        <f t="shared" si="13"/>
        <v>43</v>
      </c>
      <c r="G850" s="1"/>
    </row>
    <row r="851" spans="1:7" x14ac:dyDescent="0.25">
      <c r="A851" s="3" t="s">
        <v>469</v>
      </c>
      <c r="B851" s="6" t="s">
        <v>587</v>
      </c>
      <c r="C851" s="6">
        <v>1</v>
      </c>
      <c r="D851">
        <f t="shared" si="13"/>
        <v>43</v>
      </c>
      <c r="G851" s="1"/>
    </row>
    <row r="852" spans="1:7" x14ac:dyDescent="0.25">
      <c r="A852" s="4" t="s">
        <v>469</v>
      </c>
      <c r="B852" s="5" t="s">
        <v>588</v>
      </c>
      <c r="C852" s="5">
        <v>48.853999999999999</v>
      </c>
      <c r="D852">
        <f t="shared" si="13"/>
        <v>43</v>
      </c>
      <c r="G852" s="1"/>
    </row>
    <row r="853" spans="1:7" x14ac:dyDescent="0.25">
      <c r="A853" s="3" t="s">
        <v>469</v>
      </c>
      <c r="B853" s="6" t="s">
        <v>589</v>
      </c>
      <c r="C853" s="6">
        <v>1</v>
      </c>
      <c r="D853">
        <f t="shared" si="13"/>
        <v>43</v>
      </c>
      <c r="G853" s="1"/>
    </row>
    <row r="854" spans="1:7" x14ac:dyDescent="0.25">
      <c r="A854" s="4" t="s">
        <v>469</v>
      </c>
      <c r="B854" s="5" t="s">
        <v>590</v>
      </c>
      <c r="C854" s="5">
        <v>3</v>
      </c>
      <c r="D854">
        <f t="shared" si="13"/>
        <v>43</v>
      </c>
      <c r="G854" s="1"/>
    </row>
    <row r="855" spans="1:7" x14ac:dyDescent="0.25">
      <c r="A855" s="3" t="s">
        <v>469</v>
      </c>
      <c r="B855" s="6" t="s">
        <v>591</v>
      </c>
      <c r="C855" s="6">
        <v>9</v>
      </c>
      <c r="D855">
        <f t="shared" si="13"/>
        <v>43</v>
      </c>
      <c r="G855" s="1"/>
    </row>
    <row r="856" spans="1:7" x14ac:dyDescent="0.25">
      <c r="A856" s="4" t="s">
        <v>469</v>
      </c>
      <c r="B856" s="5" t="s">
        <v>592</v>
      </c>
      <c r="C856" s="5">
        <v>1</v>
      </c>
      <c r="D856">
        <f t="shared" si="13"/>
        <v>43</v>
      </c>
      <c r="G856" s="1"/>
    </row>
    <row r="857" spans="1:7" x14ac:dyDescent="0.25">
      <c r="A857" s="3" t="s">
        <v>469</v>
      </c>
      <c r="B857" s="6" t="s">
        <v>593</v>
      </c>
      <c r="C857" s="6">
        <v>1</v>
      </c>
      <c r="D857">
        <f t="shared" si="13"/>
        <v>43</v>
      </c>
      <c r="G857" s="1"/>
    </row>
    <row r="858" spans="1:7" x14ac:dyDescent="0.25">
      <c r="A858" s="4" t="s">
        <v>470</v>
      </c>
      <c r="B858" s="5" t="s">
        <v>574</v>
      </c>
      <c r="C858" s="5">
        <v>0</v>
      </c>
      <c r="D858">
        <f t="shared" si="13"/>
        <v>44</v>
      </c>
      <c r="G858" s="1"/>
    </row>
    <row r="859" spans="1:7" x14ac:dyDescent="0.25">
      <c r="A859" s="3" t="s">
        <v>470</v>
      </c>
      <c r="B859" s="6" t="s">
        <v>575</v>
      </c>
      <c r="C859" s="6">
        <v>0</v>
      </c>
      <c r="D859">
        <f t="shared" si="13"/>
        <v>44</v>
      </c>
      <c r="G859" s="1"/>
    </row>
    <row r="860" spans="1:7" x14ac:dyDescent="0.25">
      <c r="A860" s="4" t="s">
        <v>470</v>
      </c>
      <c r="B860" s="5" t="s">
        <v>576</v>
      </c>
      <c r="C860" s="5">
        <v>0.5</v>
      </c>
      <c r="D860">
        <f t="shared" si="13"/>
        <v>44</v>
      </c>
      <c r="G860" s="1"/>
    </row>
    <row r="861" spans="1:7" x14ac:dyDescent="0.25">
      <c r="A861" s="3" t="s">
        <v>470</v>
      </c>
      <c r="B861" s="6" t="s">
        <v>577</v>
      </c>
      <c r="C861" s="6">
        <v>2</v>
      </c>
      <c r="D861">
        <f t="shared" si="13"/>
        <v>44</v>
      </c>
      <c r="G861" s="1"/>
    </row>
    <row r="862" spans="1:7" x14ac:dyDescent="0.25">
      <c r="A862" s="4" t="s">
        <v>470</v>
      </c>
      <c r="B862" s="5" t="s">
        <v>578</v>
      </c>
      <c r="C862" s="5">
        <v>1</v>
      </c>
      <c r="D862">
        <f t="shared" si="13"/>
        <v>44</v>
      </c>
      <c r="G862" s="1"/>
    </row>
    <row r="863" spans="1:7" x14ac:dyDescent="0.25">
      <c r="A863" s="3" t="s">
        <v>470</v>
      </c>
      <c r="B863" s="6" t="s">
        <v>579</v>
      </c>
      <c r="C863" s="6">
        <v>4.6666999999999996</v>
      </c>
      <c r="D863">
        <f t="shared" si="13"/>
        <v>44</v>
      </c>
      <c r="G863" s="1"/>
    </row>
    <row r="864" spans="1:7" x14ac:dyDescent="0.25">
      <c r="A864" s="4" t="s">
        <v>470</v>
      </c>
      <c r="B864" s="5" t="s">
        <v>580</v>
      </c>
      <c r="C864" s="5">
        <v>170.31290000000001</v>
      </c>
      <c r="D864">
        <f t="shared" si="13"/>
        <v>44</v>
      </c>
      <c r="G864" s="1"/>
    </row>
    <row r="865" spans="1:7" x14ac:dyDescent="0.25">
      <c r="A865" s="3" t="s">
        <v>470</v>
      </c>
      <c r="B865" s="6" t="s">
        <v>581</v>
      </c>
      <c r="C865" s="6">
        <v>1.0200000000000001E-2</v>
      </c>
      <c r="D865">
        <f t="shared" si="13"/>
        <v>44</v>
      </c>
      <c r="G865" s="1"/>
    </row>
    <row r="866" spans="1:7" x14ac:dyDescent="0.25">
      <c r="A866" s="4" t="s">
        <v>470</v>
      </c>
      <c r="B866" s="5" t="s">
        <v>582</v>
      </c>
      <c r="C866" s="5">
        <v>13</v>
      </c>
      <c r="D866">
        <f t="shared" si="13"/>
        <v>44</v>
      </c>
      <c r="G866" s="1"/>
    </row>
    <row r="867" spans="1:7" x14ac:dyDescent="0.25">
      <c r="A867" s="3" t="s">
        <v>470</v>
      </c>
      <c r="B867" s="6" t="s">
        <v>583</v>
      </c>
      <c r="C867" s="6">
        <v>7</v>
      </c>
      <c r="D867">
        <f t="shared" si="13"/>
        <v>44</v>
      </c>
      <c r="G867" s="1"/>
    </row>
    <row r="868" spans="1:7" x14ac:dyDescent="0.25">
      <c r="A868" s="4" t="s">
        <v>470</v>
      </c>
      <c r="B868" s="5" t="s">
        <v>584</v>
      </c>
      <c r="C868" s="5">
        <v>36.495600000000003</v>
      </c>
      <c r="D868">
        <f t="shared" si="13"/>
        <v>44</v>
      </c>
      <c r="G868" s="1"/>
    </row>
    <row r="869" spans="1:7" x14ac:dyDescent="0.25">
      <c r="A869" s="3" t="s">
        <v>470</v>
      </c>
      <c r="B869" s="6" t="s">
        <v>585</v>
      </c>
      <c r="C869" s="6">
        <v>6</v>
      </c>
      <c r="D869">
        <f t="shared" si="13"/>
        <v>44</v>
      </c>
      <c r="G869" s="1"/>
    </row>
    <row r="870" spans="1:7" x14ac:dyDescent="0.25">
      <c r="A870" s="4" t="s">
        <v>470</v>
      </c>
      <c r="B870" s="5" t="s">
        <v>586</v>
      </c>
      <c r="C870" s="5">
        <v>0</v>
      </c>
      <c r="D870">
        <f t="shared" si="13"/>
        <v>44</v>
      </c>
      <c r="G870" s="1"/>
    </row>
    <row r="871" spans="1:7" x14ac:dyDescent="0.25">
      <c r="A871" s="3" t="s">
        <v>470</v>
      </c>
      <c r="B871" s="6" t="s">
        <v>587</v>
      </c>
      <c r="C871" s="6">
        <v>0</v>
      </c>
      <c r="D871">
        <f t="shared" si="13"/>
        <v>44</v>
      </c>
      <c r="G871" s="1"/>
    </row>
    <row r="872" spans="1:7" x14ac:dyDescent="0.25">
      <c r="A872" s="4" t="s">
        <v>470</v>
      </c>
      <c r="B872" s="5" t="s">
        <v>588</v>
      </c>
      <c r="C872" s="5">
        <v>72.128200000000007</v>
      </c>
      <c r="D872">
        <f t="shared" si="13"/>
        <v>44</v>
      </c>
      <c r="G872" s="1"/>
    </row>
    <row r="873" spans="1:7" x14ac:dyDescent="0.25">
      <c r="A873" s="3" t="s">
        <v>470</v>
      </c>
      <c r="B873" s="6" t="s">
        <v>589</v>
      </c>
      <c r="C873" s="6">
        <v>0</v>
      </c>
      <c r="D873">
        <f t="shared" si="13"/>
        <v>44</v>
      </c>
      <c r="G873" s="1"/>
    </row>
    <row r="874" spans="1:7" x14ac:dyDescent="0.25">
      <c r="A874" s="4" t="s">
        <v>470</v>
      </c>
      <c r="B874" s="5" t="s">
        <v>590</v>
      </c>
      <c r="C874" s="5">
        <v>1</v>
      </c>
      <c r="D874">
        <f t="shared" si="13"/>
        <v>44</v>
      </c>
      <c r="G874" s="1"/>
    </row>
    <row r="875" spans="1:7" x14ac:dyDescent="0.25">
      <c r="A875" s="3" t="s">
        <v>470</v>
      </c>
      <c r="B875" s="6" t="s">
        <v>591</v>
      </c>
      <c r="C875" s="6">
        <v>1</v>
      </c>
      <c r="D875">
        <f t="shared" si="13"/>
        <v>44</v>
      </c>
      <c r="G875" s="1"/>
    </row>
    <row r="876" spans="1:7" x14ac:dyDescent="0.25">
      <c r="A876" s="4" t="s">
        <v>470</v>
      </c>
      <c r="B876" s="5" t="s">
        <v>592</v>
      </c>
      <c r="C876" s="5">
        <v>0</v>
      </c>
      <c r="D876">
        <f t="shared" si="13"/>
        <v>44</v>
      </c>
      <c r="G876" s="1"/>
    </row>
    <row r="877" spans="1:7" x14ac:dyDescent="0.25">
      <c r="A877" s="3" t="s">
        <v>470</v>
      </c>
      <c r="B877" s="6" t="s">
        <v>593</v>
      </c>
      <c r="C877" s="6">
        <v>0</v>
      </c>
      <c r="D877">
        <f t="shared" si="13"/>
        <v>44</v>
      </c>
      <c r="G877" s="1"/>
    </row>
    <row r="878" spans="1:7" x14ac:dyDescent="0.25">
      <c r="A878" s="4" t="s">
        <v>471</v>
      </c>
      <c r="B878" s="5" t="s">
        <v>574</v>
      </c>
      <c r="C878" s="5">
        <v>0</v>
      </c>
      <c r="D878">
        <f t="shared" si="13"/>
        <v>45</v>
      </c>
      <c r="G878" s="1"/>
    </row>
    <row r="879" spans="1:7" x14ac:dyDescent="0.25">
      <c r="A879" s="3" t="s">
        <v>471</v>
      </c>
      <c r="B879" s="6" t="s">
        <v>575</v>
      </c>
      <c r="C879" s="6">
        <v>0</v>
      </c>
      <c r="D879">
        <f t="shared" si="13"/>
        <v>45</v>
      </c>
      <c r="G879" s="1"/>
    </row>
    <row r="880" spans="1:7" x14ac:dyDescent="0.25">
      <c r="A880" s="4" t="s">
        <v>471</v>
      </c>
      <c r="B880" s="5" t="s">
        <v>576</v>
      </c>
      <c r="C880" s="5">
        <v>0</v>
      </c>
      <c r="D880">
        <f t="shared" si="13"/>
        <v>45</v>
      </c>
      <c r="G880" s="1"/>
    </row>
    <row r="881" spans="1:7" x14ac:dyDescent="0.25">
      <c r="A881" s="3" t="s">
        <v>471</v>
      </c>
      <c r="B881" s="6" t="s">
        <v>577</v>
      </c>
      <c r="C881" s="6">
        <v>0</v>
      </c>
      <c r="D881">
        <f t="shared" si="13"/>
        <v>45</v>
      </c>
      <c r="G881" s="1"/>
    </row>
    <row r="882" spans="1:7" x14ac:dyDescent="0.25">
      <c r="A882" s="4" t="s">
        <v>471</v>
      </c>
      <c r="B882" s="5" t="s">
        <v>578</v>
      </c>
      <c r="C882" s="5">
        <v>0</v>
      </c>
      <c r="D882">
        <f t="shared" si="13"/>
        <v>45</v>
      </c>
      <c r="G882" s="1"/>
    </row>
    <row r="883" spans="1:7" x14ac:dyDescent="0.25">
      <c r="A883" s="3" t="s">
        <v>471</v>
      </c>
      <c r="B883" s="6" t="s">
        <v>579</v>
      </c>
      <c r="C883" s="6">
        <v>2.5</v>
      </c>
      <c r="D883">
        <f t="shared" si="13"/>
        <v>45</v>
      </c>
      <c r="G883" s="1"/>
    </row>
    <row r="884" spans="1:7" x14ac:dyDescent="0.25">
      <c r="A884" s="4" t="s">
        <v>471</v>
      </c>
      <c r="B884" s="5" t="s">
        <v>580</v>
      </c>
      <c r="C884" s="5">
        <v>87.172899999999998</v>
      </c>
      <c r="D884">
        <f t="shared" si="13"/>
        <v>45</v>
      </c>
      <c r="G884" s="1"/>
    </row>
    <row r="885" spans="1:7" x14ac:dyDescent="0.25">
      <c r="A885" s="3" t="s">
        <v>471</v>
      </c>
      <c r="B885" s="6" t="s">
        <v>581</v>
      </c>
      <c r="C885" s="6">
        <v>6.6E-3</v>
      </c>
      <c r="D885">
        <f t="shared" si="13"/>
        <v>45</v>
      </c>
      <c r="G885" s="1"/>
    </row>
    <row r="886" spans="1:7" x14ac:dyDescent="0.25">
      <c r="A886" s="4" t="s">
        <v>471</v>
      </c>
      <c r="B886" s="5" t="s">
        <v>582</v>
      </c>
      <c r="C886" s="5">
        <v>11</v>
      </c>
      <c r="D886">
        <f t="shared" si="13"/>
        <v>45</v>
      </c>
      <c r="G886" s="1"/>
    </row>
    <row r="887" spans="1:7" x14ac:dyDescent="0.25">
      <c r="A887" s="3" t="s">
        <v>471</v>
      </c>
      <c r="B887" s="6" t="s">
        <v>583</v>
      </c>
      <c r="C887" s="6">
        <v>9</v>
      </c>
      <c r="D887">
        <f t="shared" si="13"/>
        <v>45</v>
      </c>
      <c r="G887" s="1"/>
    </row>
    <row r="888" spans="1:7" x14ac:dyDescent="0.25">
      <c r="A888" s="4" t="s">
        <v>471</v>
      </c>
      <c r="B888" s="5" t="s">
        <v>584</v>
      </c>
      <c r="C888" s="5">
        <v>34.869199999999999</v>
      </c>
      <c r="D888">
        <f t="shared" si="13"/>
        <v>45</v>
      </c>
      <c r="G888" s="1"/>
    </row>
    <row r="889" spans="1:7" x14ac:dyDescent="0.25">
      <c r="A889" s="3" t="s">
        <v>471</v>
      </c>
      <c r="B889" s="6" t="s">
        <v>585</v>
      </c>
      <c r="C889" s="6">
        <v>4</v>
      </c>
      <c r="D889">
        <f t="shared" si="13"/>
        <v>45</v>
      </c>
      <c r="G889" s="1"/>
    </row>
    <row r="890" spans="1:7" x14ac:dyDescent="0.25">
      <c r="A890" s="4" t="s">
        <v>471</v>
      </c>
      <c r="B890" s="5" t="s">
        <v>586</v>
      </c>
      <c r="C890" s="5">
        <v>1</v>
      </c>
      <c r="D890">
        <f t="shared" si="13"/>
        <v>45</v>
      </c>
      <c r="G890" s="1"/>
    </row>
    <row r="891" spans="1:7" x14ac:dyDescent="0.25">
      <c r="A891" s="3" t="s">
        <v>471</v>
      </c>
      <c r="B891" s="6" t="s">
        <v>587</v>
      </c>
      <c r="C891" s="6">
        <v>0</v>
      </c>
      <c r="D891">
        <f t="shared" si="13"/>
        <v>45</v>
      </c>
      <c r="G891" s="1"/>
    </row>
    <row r="892" spans="1:7" x14ac:dyDescent="0.25">
      <c r="A892" s="4" t="s">
        <v>471</v>
      </c>
      <c r="B892" s="5" t="s">
        <v>588</v>
      </c>
      <c r="C892" s="5">
        <v>76.143199999999993</v>
      </c>
      <c r="D892">
        <f t="shared" si="13"/>
        <v>45</v>
      </c>
      <c r="G892" s="1"/>
    </row>
    <row r="893" spans="1:7" x14ac:dyDescent="0.25">
      <c r="A893" s="3" t="s">
        <v>471</v>
      </c>
      <c r="B893" s="6" t="s">
        <v>589</v>
      </c>
      <c r="C893" s="6">
        <v>0</v>
      </c>
      <c r="D893">
        <f t="shared" si="13"/>
        <v>45</v>
      </c>
      <c r="G893" s="1"/>
    </row>
    <row r="894" spans="1:7" x14ac:dyDescent="0.25">
      <c r="A894" s="4" t="s">
        <v>471</v>
      </c>
      <c r="B894" s="5" t="s">
        <v>590</v>
      </c>
      <c r="C894" s="5">
        <v>1</v>
      </c>
      <c r="D894">
        <f t="shared" si="13"/>
        <v>45</v>
      </c>
      <c r="G894" s="1"/>
    </row>
    <row r="895" spans="1:7" x14ac:dyDescent="0.25">
      <c r="A895" s="3" t="s">
        <v>471</v>
      </c>
      <c r="B895" s="6" t="s">
        <v>591</v>
      </c>
      <c r="C895" s="6">
        <v>4</v>
      </c>
      <c r="D895">
        <f t="shared" si="13"/>
        <v>45</v>
      </c>
      <c r="G895" s="1"/>
    </row>
    <row r="896" spans="1:7" x14ac:dyDescent="0.25">
      <c r="A896" s="4" t="s">
        <v>471</v>
      </c>
      <c r="B896" s="5" t="s">
        <v>592</v>
      </c>
      <c r="C896" s="5">
        <v>0</v>
      </c>
      <c r="D896">
        <f t="shared" si="13"/>
        <v>45</v>
      </c>
      <c r="G896" s="1"/>
    </row>
    <row r="897" spans="1:7" x14ac:dyDescent="0.25">
      <c r="A897" s="3" t="s">
        <v>471</v>
      </c>
      <c r="B897" s="6" t="s">
        <v>593</v>
      </c>
      <c r="C897" s="6">
        <v>2</v>
      </c>
      <c r="D897">
        <f t="shared" si="13"/>
        <v>45</v>
      </c>
      <c r="G897" s="1"/>
    </row>
    <row r="898" spans="1:7" x14ac:dyDescent="0.25">
      <c r="A898" s="4" t="s">
        <v>472</v>
      </c>
      <c r="B898" s="5" t="s">
        <v>574</v>
      </c>
      <c r="C898" s="5">
        <v>4</v>
      </c>
      <c r="D898">
        <f t="shared" si="13"/>
        <v>46</v>
      </c>
      <c r="G898" s="1"/>
    </row>
    <row r="899" spans="1:7" x14ac:dyDescent="0.25">
      <c r="A899" s="3" t="s">
        <v>472</v>
      </c>
      <c r="B899" s="6" t="s">
        <v>575</v>
      </c>
      <c r="C899" s="6">
        <v>1</v>
      </c>
      <c r="D899">
        <f t="shared" si="13"/>
        <v>46</v>
      </c>
      <c r="G899" s="1"/>
    </row>
    <row r="900" spans="1:7" x14ac:dyDescent="0.25">
      <c r="A900" s="4" t="s">
        <v>472</v>
      </c>
      <c r="B900" s="5" t="s">
        <v>576</v>
      </c>
      <c r="C900" s="5">
        <v>0.2</v>
      </c>
      <c r="D900">
        <f t="shared" ref="D900:D963" si="14">IF(B900="CCM", D899+1, D899)</f>
        <v>46</v>
      </c>
      <c r="G900" s="1"/>
    </row>
    <row r="901" spans="1:7" x14ac:dyDescent="0.25">
      <c r="A901" s="3" t="s">
        <v>472</v>
      </c>
      <c r="B901" s="6" t="s">
        <v>577</v>
      </c>
      <c r="C901" s="6">
        <v>2</v>
      </c>
      <c r="D901">
        <f t="shared" si="14"/>
        <v>46</v>
      </c>
      <c r="G901" s="1"/>
    </row>
    <row r="902" spans="1:7" x14ac:dyDescent="0.25">
      <c r="A902" s="4" t="s">
        <v>472</v>
      </c>
      <c r="B902" s="5" t="s">
        <v>578</v>
      </c>
      <c r="C902" s="5">
        <v>1</v>
      </c>
      <c r="D902">
        <f t="shared" si="14"/>
        <v>46</v>
      </c>
      <c r="G902" s="1"/>
    </row>
    <row r="903" spans="1:7" x14ac:dyDescent="0.25">
      <c r="A903" s="3" t="s">
        <v>472</v>
      </c>
      <c r="B903" s="6" t="s">
        <v>579</v>
      </c>
      <c r="C903" s="6">
        <v>16.434799999999999</v>
      </c>
      <c r="D903">
        <f t="shared" si="14"/>
        <v>46</v>
      </c>
      <c r="G903" s="1"/>
    </row>
    <row r="904" spans="1:7" x14ac:dyDescent="0.25">
      <c r="A904" s="4" t="s">
        <v>472</v>
      </c>
      <c r="B904" s="5" t="s">
        <v>580</v>
      </c>
      <c r="C904" s="5">
        <v>6251.5644000000002</v>
      </c>
      <c r="D904">
        <f t="shared" si="14"/>
        <v>46</v>
      </c>
      <c r="G904" s="1"/>
    </row>
    <row r="905" spans="1:7" x14ac:dyDescent="0.25">
      <c r="A905" s="3" t="s">
        <v>472</v>
      </c>
      <c r="B905" s="6" t="s">
        <v>581</v>
      </c>
      <c r="C905" s="6">
        <v>0.11310000000000001</v>
      </c>
      <c r="D905">
        <f t="shared" si="14"/>
        <v>46</v>
      </c>
      <c r="G905" s="1"/>
    </row>
    <row r="906" spans="1:7" x14ac:dyDescent="0.25">
      <c r="A906" s="4" t="s">
        <v>472</v>
      </c>
      <c r="B906" s="5" t="s">
        <v>582</v>
      </c>
      <c r="C906" s="5">
        <v>71</v>
      </c>
      <c r="D906">
        <f t="shared" si="14"/>
        <v>46</v>
      </c>
      <c r="G906" s="1"/>
    </row>
    <row r="907" spans="1:7" x14ac:dyDescent="0.25">
      <c r="A907" s="3" t="s">
        <v>472</v>
      </c>
      <c r="B907" s="6" t="s">
        <v>583</v>
      </c>
      <c r="C907" s="6">
        <v>41</v>
      </c>
      <c r="D907">
        <f t="shared" si="14"/>
        <v>46</v>
      </c>
      <c r="G907" s="1"/>
    </row>
    <row r="908" spans="1:7" x14ac:dyDescent="0.25">
      <c r="A908" s="4" t="s">
        <v>472</v>
      </c>
      <c r="B908" s="5" t="s">
        <v>584</v>
      </c>
      <c r="C908" s="5">
        <v>380.38619999999997</v>
      </c>
      <c r="D908">
        <f t="shared" si="14"/>
        <v>46</v>
      </c>
      <c r="G908" s="1"/>
    </row>
    <row r="909" spans="1:7" x14ac:dyDescent="0.25">
      <c r="A909" s="3" t="s">
        <v>472</v>
      </c>
      <c r="B909" s="6" t="s">
        <v>585</v>
      </c>
      <c r="C909" s="6">
        <v>32</v>
      </c>
      <c r="D909">
        <f t="shared" si="14"/>
        <v>46</v>
      </c>
      <c r="G909" s="1"/>
    </row>
    <row r="910" spans="1:7" x14ac:dyDescent="0.25">
      <c r="A910" s="4" t="s">
        <v>472</v>
      </c>
      <c r="B910" s="5" t="s">
        <v>586</v>
      </c>
      <c r="C910" s="5">
        <v>0.85709999999999997</v>
      </c>
      <c r="D910">
        <f t="shared" si="14"/>
        <v>46</v>
      </c>
      <c r="G910" s="1"/>
    </row>
    <row r="911" spans="1:7" x14ac:dyDescent="0.25">
      <c r="A911" s="3" t="s">
        <v>472</v>
      </c>
      <c r="B911" s="6" t="s">
        <v>587</v>
      </c>
      <c r="C911" s="6">
        <v>2</v>
      </c>
      <c r="D911">
        <f t="shared" si="14"/>
        <v>46</v>
      </c>
      <c r="G911" s="1"/>
    </row>
    <row r="912" spans="1:7" x14ac:dyDescent="0.25">
      <c r="A912" s="4" t="s">
        <v>472</v>
      </c>
      <c r="B912" s="5" t="s">
        <v>588</v>
      </c>
      <c r="C912" s="5">
        <v>48.886600000000001</v>
      </c>
      <c r="D912">
        <f t="shared" si="14"/>
        <v>46</v>
      </c>
      <c r="G912" s="1"/>
    </row>
    <row r="913" spans="1:7" x14ac:dyDescent="0.25">
      <c r="A913" s="3" t="s">
        <v>472</v>
      </c>
      <c r="B913" s="6" t="s">
        <v>589</v>
      </c>
      <c r="C913" s="6">
        <v>1</v>
      </c>
      <c r="D913">
        <f t="shared" si="14"/>
        <v>46</v>
      </c>
      <c r="G913" s="1"/>
    </row>
    <row r="914" spans="1:7" x14ac:dyDescent="0.25">
      <c r="A914" s="4" t="s">
        <v>472</v>
      </c>
      <c r="B914" s="5" t="s">
        <v>590</v>
      </c>
      <c r="C914" s="5">
        <v>5</v>
      </c>
      <c r="D914">
        <f t="shared" si="14"/>
        <v>46</v>
      </c>
      <c r="G914" s="1"/>
    </row>
    <row r="915" spans="1:7" x14ac:dyDescent="0.25">
      <c r="A915" s="3" t="s">
        <v>472</v>
      </c>
      <c r="B915" s="6" t="s">
        <v>591</v>
      </c>
      <c r="C915" s="6">
        <v>14</v>
      </c>
      <c r="D915">
        <f t="shared" si="14"/>
        <v>46</v>
      </c>
      <c r="G915" s="1"/>
    </row>
    <row r="916" spans="1:7" x14ac:dyDescent="0.25">
      <c r="A916" s="4" t="s">
        <v>472</v>
      </c>
      <c r="B916" s="5" t="s">
        <v>592</v>
      </c>
      <c r="C916" s="5">
        <v>2</v>
      </c>
      <c r="D916">
        <f t="shared" si="14"/>
        <v>46</v>
      </c>
      <c r="G916" s="1"/>
    </row>
    <row r="917" spans="1:7" x14ac:dyDescent="0.25">
      <c r="A917" s="3" t="s">
        <v>472</v>
      </c>
      <c r="B917" s="6" t="s">
        <v>593</v>
      </c>
      <c r="C917" s="6">
        <v>4</v>
      </c>
      <c r="D917">
        <f t="shared" si="14"/>
        <v>46</v>
      </c>
      <c r="G917" s="1"/>
    </row>
    <row r="918" spans="1:7" x14ac:dyDescent="0.25">
      <c r="A918" s="4" t="s">
        <v>473</v>
      </c>
      <c r="B918" s="5" t="s">
        <v>574</v>
      </c>
      <c r="C918" s="5">
        <v>5</v>
      </c>
      <c r="D918">
        <f t="shared" si="14"/>
        <v>47</v>
      </c>
      <c r="G918" s="1"/>
    </row>
    <row r="919" spans="1:7" x14ac:dyDescent="0.25">
      <c r="A919" s="3" t="s">
        <v>473</v>
      </c>
      <c r="B919" s="6" t="s">
        <v>575</v>
      </c>
      <c r="C919" s="6">
        <v>0</v>
      </c>
      <c r="D919">
        <f t="shared" si="14"/>
        <v>47</v>
      </c>
      <c r="G919" s="1"/>
    </row>
    <row r="920" spans="1:7" x14ac:dyDescent="0.25">
      <c r="A920" s="4" t="s">
        <v>473</v>
      </c>
      <c r="B920" s="5" t="s">
        <v>576</v>
      </c>
      <c r="C920" s="5">
        <v>0.5</v>
      </c>
      <c r="D920">
        <f t="shared" si="14"/>
        <v>47</v>
      </c>
      <c r="G920" s="1"/>
    </row>
    <row r="921" spans="1:7" x14ac:dyDescent="0.25">
      <c r="A921" s="3" t="s">
        <v>473</v>
      </c>
      <c r="B921" s="6" t="s">
        <v>577</v>
      </c>
      <c r="C921" s="6">
        <v>4</v>
      </c>
      <c r="D921">
        <f t="shared" si="14"/>
        <v>47</v>
      </c>
      <c r="G921" s="1"/>
    </row>
    <row r="922" spans="1:7" x14ac:dyDescent="0.25">
      <c r="A922" s="4" t="s">
        <v>473</v>
      </c>
      <c r="B922" s="5" t="s">
        <v>578</v>
      </c>
      <c r="C922" s="5">
        <v>1</v>
      </c>
      <c r="D922">
        <f t="shared" si="14"/>
        <v>47</v>
      </c>
      <c r="G922" s="1"/>
    </row>
    <row r="923" spans="1:7" x14ac:dyDescent="0.25">
      <c r="A923" s="3" t="s">
        <v>473</v>
      </c>
      <c r="B923" s="6" t="s">
        <v>579</v>
      </c>
      <c r="C923" s="6">
        <v>22.235299999999999</v>
      </c>
      <c r="D923">
        <f t="shared" si="14"/>
        <v>47</v>
      </c>
      <c r="G923" s="1"/>
    </row>
    <row r="924" spans="1:7" x14ac:dyDescent="0.25">
      <c r="A924" s="4" t="s">
        <v>473</v>
      </c>
      <c r="B924" s="5" t="s">
        <v>580</v>
      </c>
      <c r="C924" s="5">
        <v>10685.3272</v>
      </c>
      <c r="D924">
        <f t="shared" si="14"/>
        <v>47</v>
      </c>
      <c r="G924" s="1"/>
    </row>
    <row r="925" spans="1:7" x14ac:dyDescent="0.25">
      <c r="A925" s="3" t="s">
        <v>473</v>
      </c>
      <c r="B925" s="6" t="s">
        <v>581</v>
      </c>
      <c r="C925" s="6">
        <v>0.16170000000000001</v>
      </c>
      <c r="D925">
        <f t="shared" si="14"/>
        <v>47</v>
      </c>
      <c r="G925" s="1"/>
    </row>
    <row r="926" spans="1:7" x14ac:dyDescent="0.25">
      <c r="A926" s="4" t="s">
        <v>473</v>
      </c>
      <c r="B926" s="5" t="s">
        <v>582</v>
      </c>
      <c r="C926" s="5">
        <v>97</v>
      </c>
      <c r="D926">
        <f t="shared" si="14"/>
        <v>47</v>
      </c>
      <c r="G926" s="1"/>
    </row>
    <row r="927" spans="1:7" x14ac:dyDescent="0.25">
      <c r="A927" s="3" t="s">
        <v>473</v>
      </c>
      <c r="B927" s="6" t="s">
        <v>583</v>
      </c>
      <c r="C927" s="6">
        <v>31</v>
      </c>
      <c r="D927">
        <f t="shared" si="14"/>
        <v>47</v>
      </c>
      <c r="G927" s="1"/>
    </row>
    <row r="928" spans="1:7" x14ac:dyDescent="0.25">
      <c r="A928" s="4" t="s">
        <v>473</v>
      </c>
      <c r="B928" s="5" t="s">
        <v>584</v>
      </c>
      <c r="C928" s="5">
        <v>480.55700000000002</v>
      </c>
      <c r="D928">
        <f t="shared" si="14"/>
        <v>47</v>
      </c>
      <c r="G928" s="1"/>
    </row>
    <row r="929" spans="1:7" x14ac:dyDescent="0.25">
      <c r="A929" s="3" t="s">
        <v>473</v>
      </c>
      <c r="B929" s="6" t="s">
        <v>585</v>
      </c>
      <c r="C929" s="6">
        <v>25</v>
      </c>
      <c r="D929">
        <f t="shared" si="14"/>
        <v>47</v>
      </c>
      <c r="G929" s="1"/>
    </row>
    <row r="930" spans="1:7" x14ac:dyDescent="0.25">
      <c r="A930" s="4" t="s">
        <v>473</v>
      </c>
      <c r="B930" s="5" t="s">
        <v>586</v>
      </c>
      <c r="C930" s="5">
        <v>0.5</v>
      </c>
      <c r="D930">
        <f t="shared" si="14"/>
        <v>47</v>
      </c>
      <c r="G930" s="1"/>
    </row>
    <row r="931" spans="1:7" x14ac:dyDescent="0.25">
      <c r="A931" s="3" t="s">
        <v>473</v>
      </c>
      <c r="B931" s="6" t="s">
        <v>587</v>
      </c>
      <c r="C931" s="6">
        <v>2</v>
      </c>
      <c r="D931">
        <f t="shared" si="14"/>
        <v>47</v>
      </c>
      <c r="G931" s="1"/>
    </row>
    <row r="932" spans="1:7" x14ac:dyDescent="0.25">
      <c r="A932" s="4" t="s">
        <v>473</v>
      </c>
      <c r="B932" s="5" t="s">
        <v>588</v>
      </c>
      <c r="C932" s="5">
        <v>50.490299999999998</v>
      </c>
      <c r="D932">
        <f t="shared" si="14"/>
        <v>47</v>
      </c>
      <c r="G932" s="1"/>
    </row>
    <row r="933" spans="1:7" x14ac:dyDescent="0.25">
      <c r="A933" s="3" t="s">
        <v>473</v>
      </c>
      <c r="B933" s="6" t="s">
        <v>589</v>
      </c>
      <c r="C933" s="6">
        <v>1</v>
      </c>
      <c r="D933">
        <f t="shared" si="14"/>
        <v>47</v>
      </c>
      <c r="G933" s="1"/>
    </row>
    <row r="934" spans="1:7" x14ac:dyDescent="0.25">
      <c r="A934" s="4" t="s">
        <v>473</v>
      </c>
      <c r="B934" s="5" t="s">
        <v>590</v>
      </c>
      <c r="C934" s="5">
        <v>6</v>
      </c>
      <c r="D934">
        <f t="shared" si="14"/>
        <v>47</v>
      </c>
      <c r="G934" s="1"/>
    </row>
    <row r="935" spans="1:7" x14ac:dyDescent="0.25">
      <c r="A935" s="3" t="s">
        <v>473</v>
      </c>
      <c r="B935" s="6" t="s">
        <v>591</v>
      </c>
      <c r="C935" s="6">
        <v>10</v>
      </c>
      <c r="D935">
        <f t="shared" si="14"/>
        <v>47</v>
      </c>
      <c r="G935" s="1"/>
    </row>
    <row r="936" spans="1:7" x14ac:dyDescent="0.25">
      <c r="A936" s="4" t="s">
        <v>473</v>
      </c>
      <c r="B936" s="5" t="s">
        <v>592</v>
      </c>
      <c r="C936" s="5">
        <v>5</v>
      </c>
      <c r="D936">
        <f t="shared" si="14"/>
        <v>47</v>
      </c>
      <c r="G936" s="1"/>
    </row>
    <row r="937" spans="1:7" x14ac:dyDescent="0.25">
      <c r="A937" s="3" t="s">
        <v>473</v>
      </c>
      <c r="B937" s="6" t="s">
        <v>593</v>
      </c>
      <c r="C937" s="6">
        <v>1</v>
      </c>
      <c r="D937">
        <f t="shared" si="14"/>
        <v>47</v>
      </c>
      <c r="G937" s="1"/>
    </row>
    <row r="938" spans="1:7" x14ac:dyDescent="0.25">
      <c r="A938" s="4" t="s">
        <v>474</v>
      </c>
      <c r="B938" s="5" t="s">
        <v>574</v>
      </c>
      <c r="C938" s="5">
        <v>6</v>
      </c>
      <c r="D938">
        <f t="shared" si="14"/>
        <v>48</v>
      </c>
      <c r="G938" s="1"/>
    </row>
    <row r="939" spans="1:7" x14ac:dyDescent="0.25">
      <c r="A939" s="3" t="s">
        <v>474</v>
      </c>
      <c r="B939" s="6" t="s">
        <v>575</v>
      </c>
      <c r="C939" s="6">
        <v>2</v>
      </c>
      <c r="D939">
        <f t="shared" si="14"/>
        <v>48</v>
      </c>
      <c r="G939" s="1"/>
    </row>
    <row r="940" spans="1:7" x14ac:dyDescent="0.25">
      <c r="A940" s="4" t="s">
        <v>474</v>
      </c>
      <c r="B940" s="5" t="s">
        <v>576</v>
      </c>
      <c r="C940" s="5">
        <v>0.5</v>
      </c>
      <c r="D940">
        <f t="shared" si="14"/>
        <v>48</v>
      </c>
      <c r="G940" s="1"/>
    </row>
    <row r="941" spans="1:7" x14ac:dyDescent="0.25">
      <c r="A941" s="3" t="s">
        <v>474</v>
      </c>
      <c r="B941" s="6" t="s">
        <v>577</v>
      </c>
      <c r="C941" s="6">
        <v>4</v>
      </c>
      <c r="D941">
        <f t="shared" si="14"/>
        <v>48</v>
      </c>
      <c r="G941" s="1"/>
    </row>
    <row r="942" spans="1:7" x14ac:dyDescent="0.25">
      <c r="A942" s="4" t="s">
        <v>474</v>
      </c>
      <c r="B942" s="5" t="s">
        <v>578</v>
      </c>
      <c r="C942" s="5">
        <v>0</v>
      </c>
      <c r="D942">
        <f t="shared" si="14"/>
        <v>48</v>
      </c>
      <c r="G942" s="1"/>
    </row>
    <row r="943" spans="1:7" x14ac:dyDescent="0.25">
      <c r="A943" s="3" t="s">
        <v>474</v>
      </c>
      <c r="B943" s="6" t="s">
        <v>579</v>
      </c>
      <c r="C943" s="6">
        <v>14.7727</v>
      </c>
      <c r="D943">
        <f t="shared" si="14"/>
        <v>48</v>
      </c>
      <c r="G943" s="1"/>
    </row>
    <row r="944" spans="1:7" x14ac:dyDescent="0.25">
      <c r="A944" s="4" t="s">
        <v>474</v>
      </c>
      <c r="B944" s="5" t="s">
        <v>580</v>
      </c>
      <c r="C944" s="5">
        <v>2980.2256000000002</v>
      </c>
      <c r="D944">
        <f t="shared" si="14"/>
        <v>48</v>
      </c>
      <c r="G944" s="1"/>
    </row>
    <row r="945" spans="1:7" x14ac:dyDescent="0.25">
      <c r="A945" s="3" t="s">
        <v>474</v>
      </c>
      <c r="B945" s="6" t="s">
        <v>581</v>
      </c>
      <c r="C945" s="6">
        <v>6.9000000000000006E-2</v>
      </c>
      <c r="D945">
        <f t="shared" si="14"/>
        <v>48</v>
      </c>
      <c r="G945" s="1"/>
    </row>
    <row r="946" spans="1:7" x14ac:dyDescent="0.25">
      <c r="A946" s="4" t="s">
        <v>474</v>
      </c>
      <c r="B946" s="5" t="s">
        <v>582</v>
      </c>
      <c r="C946" s="5">
        <v>44</v>
      </c>
      <c r="D946">
        <f t="shared" si="14"/>
        <v>48</v>
      </c>
      <c r="G946" s="1"/>
    </row>
    <row r="947" spans="1:7" x14ac:dyDescent="0.25">
      <c r="A947" s="3" t="s">
        <v>474</v>
      </c>
      <c r="B947" s="6" t="s">
        <v>583</v>
      </c>
      <c r="C947" s="6">
        <v>24</v>
      </c>
      <c r="D947">
        <f t="shared" si="14"/>
        <v>48</v>
      </c>
      <c r="G947" s="1"/>
    </row>
    <row r="948" spans="1:7" x14ac:dyDescent="0.25">
      <c r="A948" s="4" t="s">
        <v>474</v>
      </c>
      <c r="B948" s="5" t="s">
        <v>584</v>
      </c>
      <c r="C948" s="5">
        <v>201.73840000000001</v>
      </c>
      <c r="D948">
        <f t="shared" si="14"/>
        <v>48</v>
      </c>
      <c r="G948" s="1"/>
    </row>
    <row r="949" spans="1:7" x14ac:dyDescent="0.25">
      <c r="A949" s="3" t="s">
        <v>474</v>
      </c>
      <c r="B949" s="6" t="s">
        <v>585</v>
      </c>
      <c r="C949" s="6">
        <v>13</v>
      </c>
      <c r="D949">
        <f t="shared" si="14"/>
        <v>48</v>
      </c>
      <c r="G949" s="1"/>
    </row>
    <row r="950" spans="1:7" x14ac:dyDescent="0.25">
      <c r="A950" s="4" t="s">
        <v>474</v>
      </c>
      <c r="B950" s="5" t="s">
        <v>586</v>
      </c>
      <c r="C950" s="5">
        <v>1</v>
      </c>
      <c r="D950">
        <f t="shared" si="14"/>
        <v>48</v>
      </c>
      <c r="G950" s="1"/>
    </row>
    <row r="951" spans="1:7" x14ac:dyDescent="0.25">
      <c r="A951" s="3" t="s">
        <v>474</v>
      </c>
      <c r="B951" s="6" t="s">
        <v>587</v>
      </c>
      <c r="C951" s="6">
        <v>2</v>
      </c>
      <c r="D951">
        <f t="shared" si="14"/>
        <v>48</v>
      </c>
      <c r="G951" s="1"/>
    </row>
    <row r="952" spans="1:7" x14ac:dyDescent="0.25">
      <c r="A952" s="4" t="s">
        <v>474</v>
      </c>
      <c r="B952" s="5" t="s">
        <v>588</v>
      </c>
      <c r="C952" s="5">
        <v>59.311700000000002</v>
      </c>
      <c r="D952">
        <f t="shared" si="14"/>
        <v>48</v>
      </c>
      <c r="G952" s="1"/>
    </row>
    <row r="953" spans="1:7" x14ac:dyDescent="0.25">
      <c r="A953" s="3" t="s">
        <v>474</v>
      </c>
      <c r="B953" s="6" t="s">
        <v>589</v>
      </c>
      <c r="C953" s="6">
        <v>2</v>
      </c>
      <c r="D953">
        <f t="shared" si="14"/>
        <v>48</v>
      </c>
      <c r="G953" s="1"/>
    </row>
    <row r="954" spans="1:7" x14ac:dyDescent="0.25">
      <c r="A954" s="4" t="s">
        <v>474</v>
      </c>
      <c r="B954" s="5" t="s">
        <v>590</v>
      </c>
      <c r="C954" s="5">
        <v>7</v>
      </c>
      <c r="D954">
        <f t="shared" si="14"/>
        <v>48</v>
      </c>
      <c r="G954" s="1"/>
    </row>
    <row r="955" spans="1:7" x14ac:dyDescent="0.25">
      <c r="A955" s="3" t="s">
        <v>474</v>
      </c>
      <c r="B955" s="6" t="s">
        <v>591</v>
      </c>
      <c r="C955" s="6">
        <v>11</v>
      </c>
      <c r="D955">
        <f t="shared" si="14"/>
        <v>48</v>
      </c>
      <c r="G955" s="1"/>
    </row>
    <row r="956" spans="1:7" x14ac:dyDescent="0.25">
      <c r="A956" s="4" t="s">
        <v>474</v>
      </c>
      <c r="B956" s="5" t="s">
        <v>592</v>
      </c>
      <c r="C956" s="5">
        <v>2</v>
      </c>
      <c r="D956">
        <f t="shared" si="14"/>
        <v>48</v>
      </c>
      <c r="G956" s="1"/>
    </row>
    <row r="957" spans="1:7" x14ac:dyDescent="0.25">
      <c r="A957" s="3" t="s">
        <v>474</v>
      </c>
      <c r="B957" s="6" t="s">
        <v>593</v>
      </c>
      <c r="C957" s="6">
        <v>2</v>
      </c>
      <c r="D957">
        <f t="shared" si="14"/>
        <v>48</v>
      </c>
      <c r="G957" s="1"/>
    </row>
    <row r="958" spans="1:7" x14ac:dyDescent="0.25">
      <c r="A958" s="4" t="s">
        <v>475</v>
      </c>
      <c r="B958" s="5" t="s">
        <v>574</v>
      </c>
      <c r="C958" s="5">
        <v>0</v>
      </c>
      <c r="D958">
        <f t="shared" si="14"/>
        <v>49</v>
      </c>
      <c r="G958" s="1"/>
    </row>
    <row r="959" spans="1:7" x14ac:dyDescent="0.25">
      <c r="A959" s="3" t="s">
        <v>475</v>
      </c>
      <c r="B959" s="6" t="s">
        <v>575</v>
      </c>
      <c r="C959" s="6">
        <v>0</v>
      </c>
      <c r="D959">
        <f t="shared" si="14"/>
        <v>49</v>
      </c>
      <c r="G959" s="1"/>
    </row>
    <row r="960" spans="1:7" x14ac:dyDescent="0.25">
      <c r="A960" s="4" t="s">
        <v>475</v>
      </c>
      <c r="B960" s="5" t="s">
        <v>576</v>
      </c>
      <c r="C960" s="5">
        <v>0</v>
      </c>
      <c r="D960">
        <f t="shared" si="14"/>
        <v>49</v>
      </c>
      <c r="G960" s="1"/>
    </row>
    <row r="961" spans="1:7" x14ac:dyDescent="0.25">
      <c r="A961" s="3" t="s">
        <v>475</v>
      </c>
      <c r="B961" s="6" t="s">
        <v>577</v>
      </c>
      <c r="C961" s="6">
        <v>0</v>
      </c>
      <c r="D961">
        <f t="shared" si="14"/>
        <v>49</v>
      </c>
      <c r="G961" s="1"/>
    </row>
    <row r="962" spans="1:7" x14ac:dyDescent="0.25">
      <c r="A962" s="4" t="s">
        <v>475</v>
      </c>
      <c r="B962" s="5" t="s">
        <v>578</v>
      </c>
      <c r="C962" s="5">
        <v>0</v>
      </c>
      <c r="D962">
        <f t="shared" si="14"/>
        <v>49</v>
      </c>
      <c r="G962" s="1"/>
    </row>
    <row r="963" spans="1:7" x14ac:dyDescent="0.25">
      <c r="A963" s="3" t="s">
        <v>475</v>
      </c>
      <c r="B963" s="6" t="s">
        <v>579</v>
      </c>
      <c r="C963" s="6">
        <v>2.5</v>
      </c>
      <c r="D963">
        <f t="shared" si="14"/>
        <v>49</v>
      </c>
      <c r="G963" s="1"/>
    </row>
    <row r="964" spans="1:7" x14ac:dyDescent="0.25">
      <c r="A964" s="4" t="s">
        <v>475</v>
      </c>
      <c r="B964" s="5" t="s">
        <v>580</v>
      </c>
      <c r="C964" s="5">
        <v>87.172899999999998</v>
      </c>
      <c r="D964">
        <f t="shared" ref="D964:D1027" si="15">IF(B964="CCM", D963+1, D963)</f>
        <v>49</v>
      </c>
      <c r="G964" s="1"/>
    </row>
    <row r="965" spans="1:7" x14ac:dyDescent="0.25">
      <c r="A965" s="3" t="s">
        <v>475</v>
      </c>
      <c r="B965" s="6" t="s">
        <v>581</v>
      </c>
      <c r="C965" s="6">
        <v>6.6E-3</v>
      </c>
      <c r="D965">
        <f t="shared" si="15"/>
        <v>49</v>
      </c>
      <c r="G965" s="1"/>
    </row>
    <row r="966" spans="1:7" x14ac:dyDescent="0.25">
      <c r="A966" s="4" t="s">
        <v>475</v>
      </c>
      <c r="B966" s="5" t="s">
        <v>582</v>
      </c>
      <c r="C966" s="5">
        <v>11</v>
      </c>
      <c r="D966">
        <f t="shared" si="15"/>
        <v>49</v>
      </c>
      <c r="G966" s="1"/>
    </row>
    <row r="967" spans="1:7" x14ac:dyDescent="0.25">
      <c r="A967" s="3" t="s">
        <v>475</v>
      </c>
      <c r="B967" s="6" t="s">
        <v>583</v>
      </c>
      <c r="C967" s="6">
        <v>9</v>
      </c>
      <c r="D967">
        <f t="shared" si="15"/>
        <v>49</v>
      </c>
      <c r="G967" s="1"/>
    </row>
    <row r="968" spans="1:7" x14ac:dyDescent="0.25">
      <c r="A968" s="4" t="s">
        <v>475</v>
      </c>
      <c r="B968" s="5" t="s">
        <v>584</v>
      </c>
      <c r="C968" s="5">
        <v>34.869199999999999</v>
      </c>
      <c r="D968">
        <f t="shared" si="15"/>
        <v>49</v>
      </c>
      <c r="G968" s="1"/>
    </row>
    <row r="969" spans="1:7" x14ac:dyDescent="0.25">
      <c r="A969" s="3" t="s">
        <v>475</v>
      </c>
      <c r="B969" s="6" t="s">
        <v>585</v>
      </c>
      <c r="C969" s="6">
        <v>4</v>
      </c>
      <c r="D969">
        <f t="shared" si="15"/>
        <v>49</v>
      </c>
      <c r="G969" s="1"/>
    </row>
    <row r="970" spans="1:7" x14ac:dyDescent="0.25">
      <c r="A970" s="4" t="s">
        <v>475</v>
      </c>
      <c r="B970" s="5" t="s">
        <v>586</v>
      </c>
      <c r="C970" s="5">
        <v>1</v>
      </c>
      <c r="D970">
        <f t="shared" si="15"/>
        <v>49</v>
      </c>
      <c r="G970" s="1"/>
    </row>
    <row r="971" spans="1:7" x14ac:dyDescent="0.25">
      <c r="A971" s="3" t="s">
        <v>475</v>
      </c>
      <c r="B971" s="6" t="s">
        <v>587</v>
      </c>
      <c r="C971" s="6">
        <v>0</v>
      </c>
      <c r="D971">
        <f t="shared" si="15"/>
        <v>49</v>
      </c>
      <c r="G971" s="1"/>
    </row>
    <row r="972" spans="1:7" x14ac:dyDescent="0.25">
      <c r="A972" s="4" t="s">
        <v>475</v>
      </c>
      <c r="B972" s="5" t="s">
        <v>588</v>
      </c>
      <c r="C972" s="5">
        <v>76.143199999999993</v>
      </c>
      <c r="D972">
        <f t="shared" si="15"/>
        <v>49</v>
      </c>
      <c r="G972" s="1"/>
    </row>
    <row r="973" spans="1:7" x14ac:dyDescent="0.25">
      <c r="A973" s="3" t="s">
        <v>475</v>
      </c>
      <c r="B973" s="6" t="s">
        <v>589</v>
      </c>
      <c r="C973" s="6">
        <v>0</v>
      </c>
      <c r="D973">
        <f t="shared" si="15"/>
        <v>49</v>
      </c>
      <c r="G973" s="1"/>
    </row>
    <row r="974" spans="1:7" x14ac:dyDescent="0.25">
      <c r="A974" s="4" t="s">
        <v>475</v>
      </c>
      <c r="B974" s="5" t="s">
        <v>590</v>
      </c>
      <c r="C974" s="5">
        <v>1</v>
      </c>
      <c r="D974">
        <f t="shared" si="15"/>
        <v>49</v>
      </c>
      <c r="G974" s="1"/>
    </row>
    <row r="975" spans="1:7" x14ac:dyDescent="0.25">
      <c r="A975" s="3" t="s">
        <v>475</v>
      </c>
      <c r="B975" s="6" t="s">
        <v>591</v>
      </c>
      <c r="C975" s="6">
        <v>4</v>
      </c>
      <c r="D975">
        <f t="shared" si="15"/>
        <v>49</v>
      </c>
      <c r="G975" s="1"/>
    </row>
    <row r="976" spans="1:7" x14ac:dyDescent="0.25">
      <c r="A976" s="4" t="s">
        <v>475</v>
      </c>
      <c r="B976" s="5" t="s">
        <v>592</v>
      </c>
      <c r="C976" s="5">
        <v>0</v>
      </c>
      <c r="D976">
        <f t="shared" si="15"/>
        <v>49</v>
      </c>
      <c r="G976" s="1"/>
    </row>
    <row r="977" spans="1:7" x14ac:dyDescent="0.25">
      <c r="A977" s="3" t="s">
        <v>475</v>
      </c>
      <c r="B977" s="6" t="s">
        <v>593</v>
      </c>
      <c r="C977" s="6">
        <v>2</v>
      </c>
      <c r="D977">
        <f t="shared" si="15"/>
        <v>49</v>
      </c>
      <c r="G977" s="1"/>
    </row>
    <row r="978" spans="1:7" x14ac:dyDescent="0.25">
      <c r="A978" s="4" t="s">
        <v>476</v>
      </c>
      <c r="B978" s="5" t="s">
        <v>574</v>
      </c>
      <c r="C978" s="5">
        <v>4</v>
      </c>
      <c r="D978">
        <f t="shared" si="15"/>
        <v>50</v>
      </c>
      <c r="G978" s="1"/>
    </row>
    <row r="979" spans="1:7" x14ac:dyDescent="0.25">
      <c r="A979" s="3" t="s">
        <v>476</v>
      </c>
      <c r="B979" s="6" t="s">
        <v>575</v>
      </c>
      <c r="C979" s="6">
        <v>1</v>
      </c>
      <c r="D979">
        <f t="shared" si="15"/>
        <v>50</v>
      </c>
      <c r="G979" s="1"/>
    </row>
    <row r="980" spans="1:7" x14ac:dyDescent="0.25">
      <c r="A980" s="4" t="s">
        <v>476</v>
      </c>
      <c r="B980" s="5" t="s">
        <v>576</v>
      </c>
      <c r="C980" s="5">
        <v>0.5</v>
      </c>
      <c r="D980">
        <f t="shared" si="15"/>
        <v>50</v>
      </c>
      <c r="G980" s="1"/>
    </row>
    <row r="981" spans="1:7" x14ac:dyDescent="0.25">
      <c r="A981" s="3" t="s">
        <v>476</v>
      </c>
      <c r="B981" s="6" t="s">
        <v>577</v>
      </c>
      <c r="C981" s="6">
        <v>6</v>
      </c>
      <c r="D981">
        <f t="shared" si="15"/>
        <v>50</v>
      </c>
      <c r="G981" s="1"/>
    </row>
    <row r="982" spans="1:7" x14ac:dyDescent="0.25">
      <c r="A982" s="4" t="s">
        <v>476</v>
      </c>
      <c r="B982" s="5" t="s">
        <v>578</v>
      </c>
      <c r="C982" s="5">
        <v>0</v>
      </c>
      <c r="D982">
        <f t="shared" si="15"/>
        <v>50</v>
      </c>
      <c r="G982" s="1"/>
    </row>
    <row r="983" spans="1:7" x14ac:dyDescent="0.25">
      <c r="A983" s="3" t="s">
        <v>476</v>
      </c>
      <c r="B983" s="6" t="s">
        <v>579</v>
      </c>
      <c r="C983" s="6">
        <v>11.142899999999999</v>
      </c>
      <c r="D983">
        <f t="shared" si="15"/>
        <v>50</v>
      </c>
      <c r="G983" s="1"/>
    </row>
    <row r="984" spans="1:7" x14ac:dyDescent="0.25">
      <c r="A984" s="4" t="s">
        <v>476</v>
      </c>
      <c r="B984" s="5" t="s">
        <v>580</v>
      </c>
      <c r="C984" s="5">
        <v>1396.6002000000001</v>
      </c>
      <c r="D984">
        <f t="shared" si="15"/>
        <v>50</v>
      </c>
      <c r="G984" s="1"/>
    </row>
    <row r="985" spans="1:7" x14ac:dyDescent="0.25">
      <c r="A985" s="3" t="s">
        <v>476</v>
      </c>
      <c r="B985" s="6" t="s">
        <v>581</v>
      </c>
      <c r="C985" s="6">
        <v>4.1599999999999998E-2</v>
      </c>
      <c r="D985">
        <f t="shared" si="15"/>
        <v>50</v>
      </c>
      <c r="G985" s="1"/>
    </row>
    <row r="986" spans="1:7" x14ac:dyDescent="0.25">
      <c r="A986" s="4" t="s">
        <v>476</v>
      </c>
      <c r="B986" s="5" t="s">
        <v>582</v>
      </c>
      <c r="C986" s="5">
        <v>29</v>
      </c>
      <c r="D986">
        <f t="shared" si="15"/>
        <v>50</v>
      </c>
      <c r="G986" s="1"/>
    </row>
    <row r="987" spans="1:7" x14ac:dyDescent="0.25">
      <c r="A987" s="3" t="s">
        <v>476</v>
      </c>
      <c r="B987" s="6" t="s">
        <v>583</v>
      </c>
      <c r="C987" s="6">
        <v>20</v>
      </c>
      <c r="D987">
        <f t="shared" si="15"/>
        <v>50</v>
      </c>
      <c r="G987" s="1"/>
    </row>
    <row r="988" spans="1:7" x14ac:dyDescent="0.25">
      <c r="A988" s="4" t="s">
        <v>476</v>
      </c>
      <c r="B988" s="5" t="s">
        <v>584</v>
      </c>
      <c r="C988" s="5">
        <v>125.3359</v>
      </c>
      <c r="D988">
        <f t="shared" si="15"/>
        <v>50</v>
      </c>
      <c r="G988" s="1"/>
    </row>
    <row r="989" spans="1:7" x14ac:dyDescent="0.25">
      <c r="A989" s="3" t="s">
        <v>476</v>
      </c>
      <c r="B989" s="6" t="s">
        <v>585</v>
      </c>
      <c r="C989" s="6">
        <v>9</v>
      </c>
      <c r="D989">
        <f t="shared" si="15"/>
        <v>50</v>
      </c>
      <c r="G989" s="1"/>
    </row>
    <row r="990" spans="1:7" x14ac:dyDescent="0.25">
      <c r="A990" s="4" t="s">
        <v>476</v>
      </c>
      <c r="B990" s="5" t="s">
        <v>586</v>
      </c>
      <c r="C990" s="5">
        <v>1</v>
      </c>
      <c r="D990">
        <f t="shared" si="15"/>
        <v>50</v>
      </c>
      <c r="G990" s="1"/>
    </row>
    <row r="991" spans="1:7" x14ac:dyDescent="0.25">
      <c r="A991" s="3" t="s">
        <v>476</v>
      </c>
      <c r="B991" s="6" t="s">
        <v>587</v>
      </c>
      <c r="C991" s="6">
        <v>2</v>
      </c>
      <c r="D991">
        <f t="shared" si="15"/>
        <v>50</v>
      </c>
      <c r="G991" s="1"/>
    </row>
    <row r="992" spans="1:7" x14ac:dyDescent="0.25">
      <c r="A992" s="4" t="s">
        <v>476</v>
      </c>
      <c r="B992" s="5" t="s">
        <v>588</v>
      </c>
      <c r="C992" s="5">
        <v>64.2851</v>
      </c>
      <c r="D992">
        <f t="shared" si="15"/>
        <v>50</v>
      </c>
      <c r="G992" s="1"/>
    </row>
    <row r="993" spans="1:7" x14ac:dyDescent="0.25">
      <c r="A993" s="3" t="s">
        <v>476</v>
      </c>
      <c r="B993" s="6" t="s">
        <v>589</v>
      </c>
      <c r="C993" s="6">
        <v>1</v>
      </c>
      <c r="D993">
        <f t="shared" si="15"/>
        <v>50</v>
      </c>
      <c r="G993" s="1"/>
    </row>
    <row r="994" spans="1:7" x14ac:dyDescent="0.25">
      <c r="A994" s="4" t="s">
        <v>476</v>
      </c>
      <c r="B994" s="5" t="s">
        <v>590</v>
      </c>
      <c r="C994" s="5">
        <v>5</v>
      </c>
      <c r="D994">
        <f t="shared" si="15"/>
        <v>50</v>
      </c>
      <c r="G994" s="1"/>
    </row>
    <row r="995" spans="1:7" x14ac:dyDescent="0.25">
      <c r="A995" s="3" t="s">
        <v>476</v>
      </c>
      <c r="B995" s="6" t="s">
        <v>591</v>
      </c>
      <c r="C995" s="6">
        <v>7</v>
      </c>
      <c r="D995">
        <f t="shared" si="15"/>
        <v>50</v>
      </c>
      <c r="G995" s="1"/>
    </row>
    <row r="996" spans="1:7" x14ac:dyDescent="0.25">
      <c r="A996" s="4" t="s">
        <v>476</v>
      </c>
      <c r="B996" s="5" t="s">
        <v>592</v>
      </c>
      <c r="C996" s="5">
        <v>3</v>
      </c>
      <c r="D996">
        <f t="shared" si="15"/>
        <v>50</v>
      </c>
      <c r="G996" s="1"/>
    </row>
    <row r="997" spans="1:7" x14ac:dyDescent="0.25">
      <c r="A997" s="3" t="s">
        <v>476</v>
      </c>
      <c r="B997" s="6" t="s">
        <v>593</v>
      </c>
      <c r="C997" s="6">
        <v>2</v>
      </c>
      <c r="D997">
        <f t="shared" si="15"/>
        <v>50</v>
      </c>
      <c r="G997" s="1"/>
    </row>
    <row r="998" spans="1:7" x14ac:dyDescent="0.25">
      <c r="A998" s="4" t="s">
        <v>477</v>
      </c>
      <c r="B998" s="5" t="s">
        <v>574</v>
      </c>
      <c r="C998" s="5">
        <v>10</v>
      </c>
      <c r="D998">
        <f t="shared" si="15"/>
        <v>51</v>
      </c>
      <c r="G998" s="1"/>
    </row>
    <row r="999" spans="1:7" x14ac:dyDescent="0.25">
      <c r="A999" s="3" t="s">
        <v>477</v>
      </c>
      <c r="B999" s="6" t="s">
        <v>575</v>
      </c>
      <c r="C999" s="6">
        <v>2</v>
      </c>
      <c r="D999">
        <f t="shared" si="15"/>
        <v>51</v>
      </c>
      <c r="G999" s="1"/>
    </row>
    <row r="1000" spans="1:7" x14ac:dyDescent="0.25">
      <c r="A1000" s="4" t="s">
        <v>477</v>
      </c>
      <c r="B1000" s="5" t="s">
        <v>576</v>
      </c>
      <c r="C1000" s="5">
        <v>0.52939999999999998</v>
      </c>
      <c r="D1000">
        <f t="shared" si="15"/>
        <v>51</v>
      </c>
      <c r="G1000" s="1"/>
    </row>
    <row r="1001" spans="1:7" x14ac:dyDescent="0.25">
      <c r="A1001" s="3" t="s">
        <v>477</v>
      </c>
      <c r="B1001" s="6" t="s">
        <v>577</v>
      </c>
      <c r="C1001" s="6">
        <v>15</v>
      </c>
      <c r="D1001">
        <f t="shared" si="15"/>
        <v>51</v>
      </c>
      <c r="G1001" s="1"/>
    </row>
    <row r="1002" spans="1:7" x14ac:dyDescent="0.25">
      <c r="A1002" s="4" t="s">
        <v>477</v>
      </c>
      <c r="B1002" s="5" t="s">
        <v>578</v>
      </c>
      <c r="C1002" s="5">
        <v>1</v>
      </c>
      <c r="D1002">
        <f t="shared" si="15"/>
        <v>51</v>
      </c>
      <c r="G1002" s="1"/>
    </row>
    <row r="1003" spans="1:7" x14ac:dyDescent="0.25">
      <c r="A1003" s="3" t="s">
        <v>477</v>
      </c>
      <c r="B1003" s="6" t="s">
        <v>579</v>
      </c>
      <c r="C1003" s="6">
        <v>44.174999999999997</v>
      </c>
      <c r="D1003">
        <f t="shared" si="15"/>
        <v>51</v>
      </c>
      <c r="G1003" s="1"/>
    </row>
    <row r="1004" spans="1:7" x14ac:dyDescent="0.25">
      <c r="A1004" s="4" t="s">
        <v>477</v>
      </c>
      <c r="B1004" s="5" t="s">
        <v>580</v>
      </c>
      <c r="C1004" s="5">
        <v>30570.6855</v>
      </c>
      <c r="D1004">
        <f t="shared" si="15"/>
        <v>51</v>
      </c>
      <c r="G1004" s="1"/>
    </row>
    <row r="1005" spans="1:7" x14ac:dyDescent="0.25">
      <c r="A1005" s="3" t="s">
        <v>477</v>
      </c>
      <c r="B1005" s="6" t="s">
        <v>581</v>
      </c>
      <c r="C1005" s="6">
        <v>0.32590000000000002</v>
      </c>
      <c r="D1005">
        <f t="shared" si="15"/>
        <v>51</v>
      </c>
      <c r="G1005" s="1"/>
    </row>
    <row r="1006" spans="1:7" x14ac:dyDescent="0.25">
      <c r="A1006" s="4" t="s">
        <v>477</v>
      </c>
      <c r="B1006" s="5" t="s">
        <v>582</v>
      </c>
      <c r="C1006" s="5">
        <v>122</v>
      </c>
      <c r="D1006">
        <f t="shared" si="15"/>
        <v>51</v>
      </c>
      <c r="G1006" s="1"/>
    </row>
    <row r="1007" spans="1:7" x14ac:dyDescent="0.25">
      <c r="A1007" s="3" t="s">
        <v>477</v>
      </c>
      <c r="B1007" s="6" t="s">
        <v>583</v>
      </c>
      <c r="C1007" s="6">
        <v>51</v>
      </c>
      <c r="D1007">
        <f t="shared" si="15"/>
        <v>51</v>
      </c>
      <c r="G1007" s="1"/>
    </row>
    <row r="1008" spans="1:7" x14ac:dyDescent="0.25">
      <c r="A1008" s="4" t="s">
        <v>477</v>
      </c>
      <c r="B1008" s="5" t="s">
        <v>584</v>
      </c>
      <c r="C1008" s="5">
        <v>692.03589999999997</v>
      </c>
      <c r="D1008">
        <f t="shared" si="15"/>
        <v>51</v>
      </c>
      <c r="G1008" s="1"/>
    </row>
    <row r="1009" spans="1:7" x14ac:dyDescent="0.25">
      <c r="A1009" s="3" t="s">
        <v>477</v>
      </c>
      <c r="B1009" s="6" t="s">
        <v>585</v>
      </c>
      <c r="C1009" s="6">
        <v>47</v>
      </c>
      <c r="D1009">
        <f t="shared" si="15"/>
        <v>51</v>
      </c>
      <c r="G1009" s="1"/>
    </row>
    <row r="1010" spans="1:7" x14ac:dyDescent="0.25">
      <c r="A1010" s="4" t="s">
        <v>477</v>
      </c>
      <c r="B1010" s="5" t="s">
        <v>586</v>
      </c>
      <c r="C1010" s="5">
        <v>0.8</v>
      </c>
      <c r="D1010">
        <f t="shared" si="15"/>
        <v>51</v>
      </c>
      <c r="G1010" s="1"/>
    </row>
    <row r="1011" spans="1:7" x14ac:dyDescent="0.25">
      <c r="A1011" s="3" t="s">
        <v>477</v>
      </c>
      <c r="B1011" s="6" t="s">
        <v>587</v>
      </c>
      <c r="C1011" s="6">
        <v>2</v>
      </c>
      <c r="D1011">
        <f t="shared" si="15"/>
        <v>51</v>
      </c>
      <c r="G1011" s="1"/>
    </row>
    <row r="1012" spans="1:7" x14ac:dyDescent="0.25">
      <c r="A1012" s="4" t="s">
        <v>477</v>
      </c>
      <c r="B1012" s="5" t="s">
        <v>588</v>
      </c>
      <c r="C1012" s="5">
        <v>43.328800000000001</v>
      </c>
      <c r="D1012">
        <f t="shared" si="15"/>
        <v>51</v>
      </c>
      <c r="G1012" s="1"/>
    </row>
    <row r="1013" spans="1:7" x14ac:dyDescent="0.25">
      <c r="A1013" s="3" t="s">
        <v>477</v>
      </c>
      <c r="B1013" s="6" t="s">
        <v>589</v>
      </c>
      <c r="C1013" s="6">
        <v>2</v>
      </c>
      <c r="D1013">
        <f t="shared" si="15"/>
        <v>51</v>
      </c>
      <c r="G1013" s="1"/>
    </row>
    <row r="1014" spans="1:7" x14ac:dyDescent="0.25">
      <c r="A1014" s="4" t="s">
        <v>477</v>
      </c>
      <c r="B1014" s="5" t="s">
        <v>590</v>
      </c>
      <c r="C1014" s="5">
        <v>10</v>
      </c>
      <c r="D1014">
        <f t="shared" si="15"/>
        <v>51</v>
      </c>
      <c r="G1014" s="1"/>
    </row>
    <row r="1015" spans="1:7" x14ac:dyDescent="0.25">
      <c r="A1015" s="3" t="s">
        <v>477</v>
      </c>
      <c r="B1015" s="6" t="s">
        <v>591</v>
      </c>
      <c r="C1015" s="6">
        <v>15</v>
      </c>
      <c r="D1015">
        <f t="shared" si="15"/>
        <v>51</v>
      </c>
      <c r="G1015" s="1"/>
    </row>
    <row r="1016" spans="1:7" x14ac:dyDescent="0.25">
      <c r="A1016" s="4" t="s">
        <v>477</v>
      </c>
      <c r="B1016" s="5" t="s">
        <v>592</v>
      </c>
      <c r="C1016" s="5">
        <v>6</v>
      </c>
      <c r="D1016">
        <f t="shared" si="15"/>
        <v>51</v>
      </c>
      <c r="G1016" s="1"/>
    </row>
    <row r="1017" spans="1:7" x14ac:dyDescent="0.25">
      <c r="A1017" s="3" t="s">
        <v>477</v>
      </c>
      <c r="B1017" s="6" t="s">
        <v>593</v>
      </c>
      <c r="C1017" s="6">
        <v>0</v>
      </c>
      <c r="D1017">
        <f t="shared" si="15"/>
        <v>51</v>
      </c>
      <c r="G1017" s="1"/>
    </row>
    <row r="1018" spans="1:7" x14ac:dyDescent="0.25">
      <c r="A1018" s="4" t="s">
        <v>478</v>
      </c>
      <c r="B1018" s="5" t="s">
        <v>574</v>
      </c>
      <c r="C1018" s="5">
        <v>7</v>
      </c>
      <c r="D1018">
        <f t="shared" si="15"/>
        <v>52</v>
      </c>
      <c r="G1018" s="1"/>
    </row>
    <row r="1019" spans="1:7" x14ac:dyDescent="0.25">
      <c r="A1019" s="3" t="s">
        <v>478</v>
      </c>
      <c r="B1019" s="6" t="s">
        <v>575</v>
      </c>
      <c r="C1019" s="6">
        <v>2</v>
      </c>
      <c r="D1019">
        <f t="shared" si="15"/>
        <v>52</v>
      </c>
      <c r="G1019" s="1"/>
    </row>
    <row r="1020" spans="1:7" x14ac:dyDescent="0.25">
      <c r="A1020" s="4" t="s">
        <v>478</v>
      </c>
      <c r="B1020" s="5" t="s">
        <v>576</v>
      </c>
      <c r="C1020" s="5">
        <v>0.28570000000000001</v>
      </c>
      <c r="D1020">
        <f t="shared" si="15"/>
        <v>52</v>
      </c>
      <c r="G1020" s="1"/>
    </row>
    <row r="1021" spans="1:7" x14ac:dyDescent="0.25">
      <c r="A1021" s="3" t="s">
        <v>478</v>
      </c>
      <c r="B1021" s="6" t="s">
        <v>577</v>
      </c>
      <c r="C1021" s="6">
        <v>12</v>
      </c>
      <c r="D1021">
        <f t="shared" si="15"/>
        <v>52</v>
      </c>
      <c r="G1021" s="1"/>
    </row>
    <row r="1022" spans="1:7" x14ac:dyDescent="0.25">
      <c r="A1022" s="4" t="s">
        <v>478</v>
      </c>
      <c r="B1022" s="5" t="s">
        <v>578</v>
      </c>
      <c r="C1022" s="5">
        <v>0</v>
      </c>
      <c r="D1022">
        <f t="shared" si="15"/>
        <v>52</v>
      </c>
      <c r="G1022" s="1"/>
    </row>
    <row r="1023" spans="1:7" x14ac:dyDescent="0.25">
      <c r="A1023" s="3" t="s">
        <v>478</v>
      </c>
      <c r="B1023" s="6" t="s">
        <v>579</v>
      </c>
      <c r="C1023" s="6">
        <v>26.1</v>
      </c>
      <c r="D1023">
        <f t="shared" si="15"/>
        <v>52</v>
      </c>
      <c r="G1023" s="1"/>
    </row>
    <row r="1024" spans="1:7" x14ac:dyDescent="0.25">
      <c r="A1024" s="4" t="s">
        <v>478</v>
      </c>
      <c r="B1024" s="5" t="s">
        <v>580</v>
      </c>
      <c r="C1024" s="5">
        <v>9570.2849999999999</v>
      </c>
      <c r="D1024">
        <f t="shared" si="15"/>
        <v>52</v>
      </c>
      <c r="G1024" s="1"/>
    </row>
    <row r="1025" spans="1:7" x14ac:dyDescent="0.25">
      <c r="A1025" s="3" t="s">
        <v>478</v>
      </c>
      <c r="B1025" s="6" t="s">
        <v>581</v>
      </c>
      <c r="C1025" s="6">
        <v>0.15029999999999999</v>
      </c>
      <c r="D1025">
        <f t="shared" si="15"/>
        <v>52</v>
      </c>
      <c r="G1025" s="1"/>
    </row>
    <row r="1026" spans="1:7" x14ac:dyDescent="0.25">
      <c r="A1026" s="4" t="s">
        <v>478</v>
      </c>
      <c r="B1026" s="5" t="s">
        <v>582</v>
      </c>
      <c r="C1026" s="5">
        <v>68</v>
      </c>
      <c r="D1026">
        <f t="shared" si="15"/>
        <v>52</v>
      </c>
      <c r="G1026" s="1"/>
    </row>
    <row r="1027" spans="1:7" x14ac:dyDescent="0.25">
      <c r="A1027" s="3" t="s">
        <v>478</v>
      </c>
      <c r="B1027" s="6" t="s">
        <v>583</v>
      </c>
      <c r="C1027" s="6">
        <v>42</v>
      </c>
      <c r="D1027">
        <f t="shared" si="15"/>
        <v>52</v>
      </c>
      <c r="G1027" s="1"/>
    </row>
    <row r="1028" spans="1:7" x14ac:dyDescent="0.25">
      <c r="A1028" s="4" t="s">
        <v>478</v>
      </c>
      <c r="B1028" s="5" t="s">
        <v>584</v>
      </c>
      <c r="C1028" s="5">
        <v>366.67759999999998</v>
      </c>
      <c r="D1028">
        <f t="shared" ref="D1028:D1091" si="16">IF(B1028="CCM", D1027+1, D1027)</f>
        <v>52</v>
      </c>
      <c r="G1028" s="1"/>
    </row>
    <row r="1029" spans="1:7" x14ac:dyDescent="0.25">
      <c r="A1029" s="3" t="s">
        <v>478</v>
      </c>
      <c r="B1029" s="6" t="s">
        <v>585</v>
      </c>
      <c r="C1029" s="6">
        <v>42</v>
      </c>
      <c r="D1029">
        <f t="shared" si="16"/>
        <v>52</v>
      </c>
      <c r="G1029" s="1"/>
    </row>
    <row r="1030" spans="1:7" x14ac:dyDescent="0.25">
      <c r="A1030" s="4" t="s">
        <v>478</v>
      </c>
      <c r="B1030" s="5" t="s">
        <v>586</v>
      </c>
      <c r="C1030" s="5">
        <v>1</v>
      </c>
      <c r="D1030">
        <f t="shared" si="16"/>
        <v>52</v>
      </c>
      <c r="G1030" s="1"/>
    </row>
    <row r="1031" spans="1:7" x14ac:dyDescent="0.25">
      <c r="A1031" s="3" t="s">
        <v>478</v>
      </c>
      <c r="B1031" s="6" t="s">
        <v>587</v>
      </c>
      <c r="C1031" s="6">
        <v>1</v>
      </c>
      <c r="D1031">
        <f t="shared" si="16"/>
        <v>52</v>
      </c>
      <c r="G1031" s="1"/>
    </row>
    <row r="1032" spans="1:7" x14ac:dyDescent="0.25">
      <c r="A1032" s="4" t="s">
        <v>478</v>
      </c>
      <c r="B1032" s="5" t="s">
        <v>588</v>
      </c>
      <c r="C1032" s="5">
        <v>46.4</v>
      </c>
      <c r="D1032">
        <f t="shared" si="16"/>
        <v>52</v>
      </c>
      <c r="G1032" s="1"/>
    </row>
    <row r="1033" spans="1:7" x14ac:dyDescent="0.25">
      <c r="A1033" s="3" t="s">
        <v>478</v>
      </c>
      <c r="B1033" s="6" t="s">
        <v>589</v>
      </c>
      <c r="C1033" s="6">
        <v>3</v>
      </c>
      <c r="D1033">
        <f t="shared" si="16"/>
        <v>52</v>
      </c>
      <c r="G1033" s="1"/>
    </row>
    <row r="1034" spans="1:7" x14ac:dyDescent="0.25">
      <c r="A1034" s="4" t="s">
        <v>478</v>
      </c>
      <c r="B1034" s="5" t="s">
        <v>590</v>
      </c>
      <c r="C1034" s="5">
        <v>6</v>
      </c>
      <c r="D1034">
        <f t="shared" si="16"/>
        <v>52</v>
      </c>
      <c r="G1034" s="1"/>
    </row>
    <row r="1035" spans="1:7" x14ac:dyDescent="0.25">
      <c r="A1035" s="3" t="s">
        <v>478</v>
      </c>
      <c r="B1035" s="6" t="s">
        <v>591</v>
      </c>
      <c r="C1035" s="6">
        <v>8</v>
      </c>
      <c r="D1035">
        <f t="shared" si="16"/>
        <v>52</v>
      </c>
      <c r="G1035" s="1"/>
    </row>
    <row r="1036" spans="1:7" x14ac:dyDescent="0.25">
      <c r="A1036" s="4" t="s">
        <v>478</v>
      </c>
      <c r="B1036" s="5" t="s">
        <v>592</v>
      </c>
      <c r="C1036" s="5">
        <v>1</v>
      </c>
      <c r="D1036">
        <f t="shared" si="16"/>
        <v>52</v>
      </c>
      <c r="G1036" s="1"/>
    </row>
    <row r="1037" spans="1:7" x14ac:dyDescent="0.25">
      <c r="A1037" s="3" t="s">
        <v>478</v>
      </c>
      <c r="B1037" s="6" t="s">
        <v>593</v>
      </c>
      <c r="C1037" s="6">
        <v>1</v>
      </c>
      <c r="D1037">
        <f t="shared" si="16"/>
        <v>52</v>
      </c>
      <c r="G1037" s="1"/>
    </row>
    <row r="1038" spans="1:7" x14ac:dyDescent="0.25">
      <c r="A1038" s="4" t="s">
        <v>479</v>
      </c>
      <c r="B1038" s="5" t="s">
        <v>574</v>
      </c>
      <c r="C1038" s="5">
        <v>2</v>
      </c>
      <c r="D1038">
        <f t="shared" si="16"/>
        <v>53</v>
      </c>
      <c r="G1038" s="1"/>
    </row>
    <row r="1039" spans="1:7" x14ac:dyDescent="0.25">
      <c r="A1039" s="3" t="s">
        <v>479</v>
      </c>
      <c r="B1039" s="6" t="s">
        <v>575</v>
      </c>
      <c r="C1039" s="6">
        <v>1</v>
      </c>
      <c r="D1039">
        <f t="shared" si="16"/>
        <v>53</v>
      </c>
      <c r="G1039" s="1"/>
    </row>
    <row r="1040" spans="1:7" x14ac:dyDescent="0.25">
      <c r="A1040" s="4" t="s">
        <v>479</v>
      </c>
      <c r="B1040" s="5" t="s">
        <v>576</v>
      </c>
      <c r="C1040" s="5">
        <v>1</v>
      </c>
      <c r="D1040">
        <f t="shared" si="16"/>
        <v>53</v>
      </c>
      <c r="G1040" s="1"/>
    </row>
    <row r="1041" spans="1:7" x14ac:dyDescent="0.25">
      <c r="A1041" s="3" t="s">
        <v>479</v>
      </c>
      <c r="B1041" s="6" t="s">
        <v>577</v>
      </c>
      <c r="C1041" s="6">
        <v>2</v>
      </c>
      <c r="D1041">
        <f t="shared" si="16"/>
        <v>53</v>
      </c>
      <c r="G1041" s="1"/>
    </row>
    <row r="1042" spans="1:7" x14ac:dyDescent="0.25">
      <c r="A1042" s="4" t="s">
        <v>479</v>
      </c>
      <c r="B1042" s="5" t="s">
        <v>578</v>
      </c>
      <c r="C1042" s="5">
        <v>0</v>
      </c>
      <c r="D1042">
        <f t="shared" si="16"/>
        <v>53</v>
      </c>
      <c r="G1042" s="1"/>
    </row>
    <row r="1043" spans="1:7" x14ac:dyDescent="0.25">
      <c r="A1043" s="3" t="s">
        <v>479</v>
      </c>
      <c r="B1043" s="6" t="s">
        <v>579</v>
      </c>
      <c r="C1043" s="6">
        <v>5.25</v>
      </c>
      <c r="D1043">
        <f t="shared" si="16"/>
        <v>53</v>
      </c>
      <c r="G1043" s="1"/>
    </row>
    <row r="1044" spans="1:7" x14ac:dyDescent="0.25">
      <c r="A1044" s="4" t="s">
        <v>479</v>
      </c>
      <c r="B1044" s="5" t="s">
        <v>580</v>
      </c>
      <c r="C1044" s="5">
        <v>348.69</v>
      </c>
      <c r="D1044">
        <f t="shared" si="16"/>
        <v>53</v>
      </c>
      <c r="G1044" s="1"/>
    </row>
    <row r="1045" spans="1:7" x14ac:dyDescent="0.25">
      <c r="A1045" s="3" t="s">
        <v>479</v>
      </c>
      <c r="B1045" s="6" t="s">
        <v>581</v>
      </c>
      <c r="C1045" s="6">
        <v>1.6500000000000001E-2</v>
      </c>
      <c r="D1045">
        <f t="shared" si="16"/>
        <v>53</v>
      </c>
      <c r="G1045" s="1"/>
    </row>
    <row r="1046" spans="1:7" x14ac:dyDescent="0.25">
      <c r="A1046" s="4" t="s">
        <v>479</v>
      </c>
      <c r="B1046" s="5" t="s">
        <v>582</v>
      </c>
      <c r="C1046" s="5">
        <v>17</v>
      </c>
      <c r="D1046">
        <f t="shared" si="16"/>
        <v>53</v>
      </c>
      <c r="G1046" s="1"/>
    </row>
    <row r="1047" spans="1:7" x14ac:dyDescent="0.25">
      <c r="A1047" s="3" t="s">
        <v>479</v>
      </c>
      <c r="B1047" s="6" t="s">
        <v>583</v>
      </c>
      <c r="C1047" s="6">
        <v>15</v>
      </c>
      <c r="D1047">
        <f t="shared" si="16"/>
        <v>53</v>
      </c>
      <c r="G1047" s="1"/>
    </row>
    <row r="1048" spans="1:7" x14ac:dyDescent="0.25">
      <c r="A1048" s="4" t="s">
        <v>479</v>
      </c>
      <c r="B1048" s="5" t="s">
        <v>584</v>
      </c>
      <c r="C1048" s="5">
        <v>66.417100000000005</v>
      </c>
      <c r="D1048">
        <f t="shared" si="16"/>
        <v>53</v>
      </c>
      <c r="G1048" s="1"/>
    </row>
    <row r="1049" spans="1:7" x14ac:dyDescent="0.25">
      <c r="A1049" s="3" t="s">
        <v>479</v>
      </c>
      <c r="B1049" s="6" t="s">
        <v>585</v>
      </c>
      <c r="C1049" s="6">
        <v>8</v>
      </c>
      <c r="D1049">
        <f t="shared" si="16"/>
        <v>53</v>
      </c>
      <c r="G1049" s="1"/>
    </row>
    <row r="1050" spans="1:7" x14ac:dyDescent="0.25">
      <c r="A1050" s="4" t="s">
        <v>479</v>
      </c>
      <c r="B1050" s="5" t="s">
        <v>586</v>
      </c>
      <c r="C1050" s="5">
        <v>1</v>
      </c>
      <c r="D1050">
        <f t="shared" si="16"/>
        <v>53</v>
      </c>
      <c r="G1050" s="1"/>
    </row>
    <row r="1051" spans="1:7" x14ac:dyDescent="0.25">
      <c r="A1051" s="3" t="s">
        <v>479</v>
      </c>
      <c r="B1051" s="6" t="s">
        <v>587</v>
      </c>
      <c r="C1051" s="6">
        <v>1</v>
      </c>
      <c r="D1051">
        <f t="shared" si="16"/>
        <v>53</v>
      </c>
      <c r="G1051" s="1"/>
    </row>
    <row r="1052" spans="1:7" x14ac:dyDescent="0.25">
      <c r="A1052" s="4" t="s">
        <v>479</v>
      </c>
      <c r="B1052" s="5" t="s">
        <v>588</v>
      </c>
      <c r="C1052" s="5">
        <v>67.411799999999999</v>
      </c>
      <c r="D1052">
        <f t="shared" si="16"/>
        <v>53</v>
      </c>
      <c r="G1052" s="1"/>
    </row>
    <row r="1053" spans="1:7" x14ac:dyDescent="0.25">
      <c r="A1053" s="3" t="s">
        <v>479</v>
      </c>
      <c r="B1053" s="6" t="s">
        <v>589</v>
      </c>
      <c r="C1053" s="6">
        <v>0</v>
      </c>
      <c r="D1053">
        <f t="shared" si="16"/>
        <v>53</v>
      </c>
      <c r="G1053" s="1"/>
    </row>
    <row r="1054" spans="1:7" x14ac:dyDescent="0.25">
      <c r="A1054" s="4" t="s">
        <v>479</v>
      </c>
      <c r="B1054" s="5" t="s">
        <v>590</v>
      </c>
      <c r="C1054" s="5">
        <v>3</v>
      </c>
      <c r="D1054">
        <f t="shared" si="16"/>
        <v>53</v>
      </c>
      <c r="G1054" s="1"/>
    </row>
    <row r="1055" spans="1:7" x14ac:dyDescent="0.25">
      <c r="A1055" s="3" t="s">
        <v>479</v>
      </c>
      <c r="B1055" s="6" t="s">
        <v>591</v>
      </c>
      <c r="C1055" s="6">
        <v>3</v>
      </c>
      <c r="D1055">
        <f t="shared" si="16"/>
        <v>53</v>
      </c>
      <c r="G1055" s="1"/>
    </row>
    <row r="1056" spans="1:7" x14ac:dyDescent="0.25">
      <c r="A1056" s="4" t="s">
        <v>479</v>
      </c>
      <c r="B1056" s="5" t="s">
        <v>592</v>
      </c>
      <c r="C1056" s="5">
        <v>1</v>
      </c>
      <c r="D1056">
        <f t="shared" si="16"/>
        <v>53</v>
      </c>
      <c r="G1056" s="1"/>
    </row>
    <row r="1057" spans="1:7" x14ac:dyDescent="0.25">
      <c r="A1057" s="3" t="s">
        <v>479</v>
      </c>
      <c r="B1057" s="6" t="s">
        <v>593</v>
      </c>
      <c r="C1057" s="6">
        <v>1</v>
      </c>
      <c r="D1057">
        <f t="shared" si="16"/>
        <v>53</v>
      </c>
      <c r="G1057" s="1"/>
    </row>
    <row r="1058" spans="1:7" x14ac:dyDescent="0.25">
      <c r="A1058" s="4" t="s">
        <v>480</v>
      </c>
      <c r="B1058" s="5" t="s">
        <v>574</v>
      </c>
      <c r="C1058" s="5">
        <v>0</v>
      </c>
      <c r="D1058">
        <f t="shared" si="16"/>
        <v>54</v>
      </c>
      <c r="G1058" s="1"/>
    </row>
    <row r="1059" spans="1:7" x14ac:dyDescent="0.25">
      <c r="A1059" s="3" t="s">
        <v>480</v>
      </c>
      <c r="B1059" s="6" t="s">
        <v>575</v>
      </c>
      <c r="C1059" s="6">
        <v>0</v>
      </c>
      <c r="D1059">
        <f t="shared" si="16"/>
        <v>54</v>
      </c>
      <c r="G1059" s="1"/>
    </row>
    <row r="1060" spans="1:7" x14ac:dyDescent="0.25">
      <c r="A1060" s="4" t="s">
        <v>480</v>
      </c>
      <c r="B1060" s="5" t="s">
        <v>576</v>
      </c>
      <c r="C1060" s="5">
        <v>0.61539999999999995</v>
      </c>
      <c r="D1060">
        <f t="shared" si="16"/>
        <v>54</v>
      </c>
      <c r="G1060" s="1"/>
    </row>
    <row r="1061" spans="1:7" x14ac:dyDescent="0.25">
      <c r="A1061" s="3" t="s">
        <v>480</v>
      </c>
      <c r="B1061" s="6" t="s">
        <v>577</v>
      </c>
      <c r="C1061" s="6">
        <v>11</v>
      </c>
      <c r="D1061">
        <f t="shared" si="16"/>
        <v>54</v>
      </c>
      <c r="G1061" s="1"/>
    </row>
    <row r="1062" spans="1:7" x14ac:dyDescent="0.25">
      <c r="A1062" s="4" t="s">
        <v>480</v>
      </c>
      <c r="B1062" s="5" t="s">
        <v>578</v>
      </c>
      <c r="C1062" s="5">
        <v>5</v>
      </c>
      <c r="D1062">
        <f t="shared" si="16"/>
        <v>54</v>
      </c>
      <c r="G1062" s="1"/>
    </row>
    <row r="1063" spans="1:7" x14ac:dyDescent="0.25">
      <c r="A1063" s="3" t="s">
        <v>480</v>
      </c>
      <c r="B1063" s="6" t="s">
        <v>579</v>
      </c>
      <c r="C1063" s="6">
        <v>12.321400000000001</v>
      </c>
      <c r="D1063">
        <f t="shared" si="16"/>
        <v>54</v>
      </c>
      <c r="G1063" s="1"/>
    </row>
    <row r="1064" spans="1:7" x14ac:dyDescent="0.25">
      <c r="A1064" s="4" t="s">
        <v>480</v>
      </c>
      <c r="B1064" s="5" t="s">
        <v>580</v>
      </c>
      <c r="C1064" s="5">
        <v>5215.0280000000002</v>
      </c>
      <c r="D1064">
        <f t="shared" si="16"/>
        <v>54</v>
      </c>
      <c r="G1064" s="1"/>
    </row>
    <row r="1065" spans="1:7" x14ac:dyDescent="0.25">
      <c r="A1065" s="3" t="s">
        <v>480</v>
      </c>
      <c r="B1065" s="6" t="s">
        <v>581</v>
      </c>
      <c r="C1065" s="6">
        <v>0.1002</v>
      </c>
      <c r="D1065">
        <f t="shared" si="16"/>
        <v>54</v>
      </c>
      <c r="G1065" s="1"/>
    </row>
    <row r="1066" spans="1:7" x14ac:dyDescent="0.25">
      <c r="A1066" s="4" t="s">
        <v>480</v>
      </c>
      <c r="B1066" s="5" t="s">
        <v>582</v>
      </c>
      <c r="C1066" s="5">
        <v>78</v>
      </c>
      <c r="D1066">
        <f t="shared" si="16"/>
        <v>54</v>
      </c>
      <c r="G1066" s="1"/>
    </row>
    <row r="1067" spans="1:7" x14ac:dyDescent="0.25">
      <c r="A1067" s="3" t="s">
        <v>480</v>
      </c>
      <c r="B1067" s="6" t="s">
        <v>583</v>
      </c>
      <c r="C1067" s="6">
        <v>43</v>
      </c>
      <c r="D1067">
        <f t="shared" si="16"/>
        <v>54</v>
      </c>
      <c r="G1067" s="1"/>
    </row>
    <row r="1068" spans="1:7" x14ac:dyDescent="0.25">
      <c r="A1068" s="4" t="s">
        <v>480</v>
      </c>
      <c r="B1068" s="5" t="s">
        <v>584</v>
      </c>
      <c r="C1068" s="5">
        <v>423.24869999999999</v>
      </c>
      <c r="D1068">
        <f t="shared" si="16"/>
        <v>54</v>
      </c>
      <c r="G1068" s="1"/>
    </row>
    <row r="1069" spans="1:7" x14ac:dyDescent="0.25">
      <c r="A1069" s="3" t="s">
        <v>480</v>
      </c>
      <c r="B1069" s="6" t="s">
        <v>585</v>
      </c>
      <c r="C1069" s="6">
        <v>24</v>
      </c>
      <c r="D1069">
        <f t="shared" si="16"/>
        <v>54</v>
      </c>
      <c r="G1069" s="1"/>
    </row>
    <row r="1070" spans="1:7" x14ac:dyDescent="0.25">
      <c r="A1070" s="4" t="s">
        <v>480</v>
      </c>
      <c r="B1070" s="5" t="s">
        <v>586</v>
      </c>
      <c r="C1070" s="5">
        <v>0.33329999999999999</v>
      </c>
      <c r="D1070">
        <f t="shared" si="16"/>
        <v>54</v>
      </c>
      <c r="G1070" s="1"/>
    </row>
    <row r="1071" spans="1:7" x14ac:dyDescent="0.25">
      <c r="A1071" s="3" t="s">
        <v>480</v>
      </c>
      <c r="B1071" s="6" t="s">
        <v>587</v>
      </c>
      <c r="C1071" s="6">
        <v>0</v>
      </c>
      <c r="D1071">
        <f t="shared" si="16"/>
        <v>54</v>
      </c>
      <c r="G1071" s="1"/>
    </row>
    <row r="1072" spans="1:7" x14ac:dyDescent="0.25">
      <c r="A1072" s="4" t="s">
        <v>480</v>
      </c>
      <c r="B1072" s="5" t="s">
        <v>588</v>
      </c>
      <c r="C1072" s="5">
        <v>51.502499999999998</v>
      </c>
      <c r="D1072">
        <f t="shared" si="16"/>
        <v>54</v>
      </c>
      <c r="G1072" s="1"/>
    </row>
    <row r="1073" spans="1:7" x14ac:dyDescent="0.25">
      <c r="A1073" s="3" t="s">
        <v>480</v>
      </c>
      <c r="B1073" s="6" t="s">
        <v>589</v>
      </c>
      <c r="C1073" s="6">
        <v>0</v>
      </c>
      <c r="D1073">
        <f t="shared" si="16"/>
        <v>54</v>
      </c>
      <c r="G1073" s="1"/>
    </row>
    <row r="1074" spans="1:7" x14ac:dyDescent="0.25">
      <c r="A1074" s="4" t="s">
        <v>480</v>
      </c>
      <c r="B1074" s="5" t="s">
        <v>590</v>
      </c>
      <c r="C1074" s="5">
        <v>1</v>
      </c>
      <c r="D1074">
        <f t="shared" si="16"/>
        <v>54</v>
      </c>
      <c r="G1074" s="1"/>
    </row>
    <row r="1075" spans="1:7" x14ac:dyDescent="0.25">
      <c r="A1075" s="3" t="s">
        <v>480</v>
      </c>
      <c r="B1075" s="6" t="s">
        <v>591</v>
      </c>
      <c r="C1075" s="6">
        <v>9</v>
      </c>
      <c r="D1075">
        <f t="shared" si="16"/>
        <v>54</v>
      </c>
      <c r="G1075" s="1"/>
    </row>
    <row r="1076" spans="1:7" x14ac:dyDescent="0.25">
      <c r="A1076" s="4" t="s">
        <v>480</v>
      </c>
      <c r="B1076" s="5" t="s">
        <v>592</v>
      </c>
      <c r="C1076" s="5">
        <v>0</v>
      </c>
      <c r="D1076">
        <f t="shared" si="16"/>
        <v>54</v>
      </c>
      <c r="G1076" s="1"/>
    </row>
    <row r="1077" spans="1:7" x14ac:dyDescent="0.25">
      <c r="A1077" s="3" t="s">
        <v>480</v>
      </c>
      <c r="B1077" s="6" t="s">
        <v>593</v>
      </c>
      <c r="C1077" s="6">
        <v>0</v>
      </c>
      <c r="D1077">
        <f t="shared" si="16"/>
        <v>54</v>
      </c>
      <c r="G1077" s="1"/>
    </row>
    <row r="1078" spans="1:7" x14ac:dyDescent="0.25">
      <c r="A1078" s="4" t="s">
        <v>481</v>
      </c>
      <c r="B1078" s="5" t="s">
        <v>574</v>
      </c>
      <c r="C1078" s="5">
        <v>14</v>
      </c>
      <c r="D1078">
        <f t="shared" si="16"/>
        <v>55</v>
      </c>
      <c r="G1078" s="1"/>
    </row>
    <row r="1079" spans="1:7" x14ac:dyDescent="0.25">
      <c r="A1079" s="3" t="s">
        <v>481</v>
      </c>
      <c r="B1079" s="6" t="s">
        <v>575</v>
      </c>
      <c r="C1079" s="6">
        <v>1</v>
      </c>
      <c r="D1079">
        <f t="shared" si="16"/>
        <v>55</v>
      </c>
      <c r="G1079" s="1"/>
    </row>
    <row r="1080" spans="1:7" x14ac:dyDescent="0.25">
      <c r="A1080" s="4" t="s">
        <v>481</v>
      </c>
      <c r="B1080" s="5" t="s">
        <v>576</v>
      </c>
      <c r="C1080" s="5">
        <v>0.64</v>
      </c>
      <c r="D1080">
        <f t="shared" si="16"/>
        <v>55</v>
      </c>
      <c r="G1080" s="1"/>
    </row>
    <row r="1081" spans="1:7" x14ac:dyDescent="0.25">
      <c r="A1081" s="3" t="s">
        <v>481</v>
      </c>
      <c r="B1081" s="6" t="s">
        <v>577</v>
      </c>
      <c r="C1081" s="6">
        <v>22</v>
      </c>
      <c r="D1081">
        <f t="shared" si="16"/>
        <v>55</v>
      </c>
      <c r="G1081" s="1"/>
    </row>
    <row r="1082" spans="1:7" x14ac:dyDescent="0.25">
      <c r="A1082" s="4" t="s">
        <v>481</v>
      </c>
      <c r="B1082" s="5" t="s">
        <v>578</v>
      </c>
      <c r="C1082" s="5">
        <v>6</v>
      </c>
      <c r="D1082">
        <f t="shared" si="16"/>
        <v>55</v>
      </c>
      <c r="G1082" s="1"/>
    </row>
    <row r="1083" spans="1:7" x14ac:dyDescent="0.25">
      <c r="A1083" s="3" t="s">
        <v>481</v>
      </c>
      <c r="B1083" s="6" t="s">
        <v>579</v>
      </c>
      <c r="C1083" s="6">
        <v>41.6</v>
      </c>
      <c r="D1083">
        <f t="shared" si="16"/>
        <v>55</v>
      </c>
      <c r="G1083" s="1"/>
    </row>
    <row r="1084" spans="1:7" x14ac:dyDescent="0.25">
      <c r="A1084" s="4" t="s">
        <v>481</v>
      </c>
      <c r="B1084" s="5" t="s">
        <v>580</v>
      </c>
      <c r="C1084" s="5">
        <v>59017.184399999998</v>
      </c>
      <c r="D1084">
        <f t="shared" si="16"/>
        <v>55</v>
      </c>
      <c r="G1084" s="1"/>
    </row>
    <row r="1085" spans="1:7" x14ac:dyDescent="0.25">
      <c r="A1085" s="3" t="s">
        <v>481</v>
      </c>
      <c r="B1085" s="6" t="s">
        <v>581</v>
      </c>
      <c r="C1085" s="6">
        <v>0.50529999999999997</v>
      </c>
      <c r="D1085">
        <f t="shared" si="16"/>
        <v>55</v>
      </c>
      <c r="G1085" s="1"/>
    </row>
    <row r="1086" spans="1:7" x14ac:dyDescent="0.25">
      <c r="A1086" s="4" t="s">
        <v>481</v>
      </c>
      <c r="B1086" s="5" t="s">
        <v>582</v>
      </c>
      <c r="C1086" s="5">
        <v>214</v>
      </c>
      <c r="D1086">
        <f t="shared" si="16"/>
        <v>55</v>
      </c>
      <c r="G1086" s="1"/>
    </row>
    <row r="1087" spans="1:7" x14ac:dyDescent="0.25">
      <c r="A1087" s="3" t="s">
        <v>481</v>
      </c>
      <c r="B1087" s="6" t="s">
        <v>583</v>
      </c>
      <c r="C1087" s="6">
        <v>99</v>
      </c>
      <c r="D1087">
        <f t="shared" si="16"/>
        <v>55</v>
      </c>
      <c r="G1087" s="1"/>
    </row>
    <row r="1088" spans="1:7" x14ac:dyDescent="0.25">
      <c r="A1088" s="4" t="s">
        <v>481</v>
      </c>
      <c r="B1088" s="5" t="s">
        <v>584</v>
      </c>
      <c r="C1088" s="5">
        <v>1418.6822999999999</v>
      </c>
      <c r="D1088">
        <f t="shared" si="16"/>
        <v>55</v>
      </c>
      <c r="G1088" s="1"/>
    </row>
    <row r="1089" spans="1:7" x14ac:dyDescent="0.25">
      <c r="A1089" s="3" t="s">
        <v>481</v>
      </c>
      <c r="B1089" s="6" t="s">
        <v>585</v>
      </c>
      <c r="C1089" s="6">
        <v>84</v>
      </c>
      <c r="D1089">
        <f t="shared" si="16"/>
        <v>55</v>
      </c>
      <c r="G1089" s="1"/>
    </row>
    <row r="1090" spans="1:7" x14ac:dyDescent="0.25">
      <c r="A1090" s="4" t="s">
        <v>481</v>
      </c>
      <c r="B1090" s="5" t="s">
        <v>586</v>
      </c>
      <c r="C1090" s="5">
        <v>0.52629999999999999</v>
      </c>
      <c r="D1090">
        <f t="shared" si="16"/>
        <v>55</v>
      </c>
      <c r="G1090" s="1"/>
    </row>
    <row r="1091" spans="1:7" x14ac:dyDescent="0.25">
      <c r="A1091" s="3" t="s">
        <v>481</v>
      </c>
      <c r="B1091" s="6" t="s">
        <v>587</v>
      </c>
      <c r="C1091" s="6">
        <v>2</v>
      </c>
      <c r="D1091">
        <f t="shared" si="16"/>
        <v>55</v>
      </c>
      <c r="G1091" s="1"/>
    </row>
    <row r="1092" spans="1:7" x14ac:dyDescent="0.25">
      <c r="A1092" s="4" t="s">
        <v>481</v>
      </c>
      <c r="B1092" s="5" t="s">
        <v>588</v>
      </c>
      <c r="C1092" s="5">
        <v>35.6008</v>
      </c>
      <c r="D1092">
        <f t="shared" ref="D1092:D1155" si="17">IF(B1092="CCM", D1091+1, D1091)</f>
        <v>55</v>
      </c>
      <c r="G1092" s="1"/>
    </row>
    <row r="1093" spans="1:7" x14ac:dyDescent="0.25">
      <c r="A1093" s="3" t="s">
        <v>481</v>
      </c>
      <c r="B1093" s="6" t="s">
        <v>589</v>
      </c>
      <c r="C1093" s="6">
        <v>4</v>
      </c>
      <c r="D1093">
        <f t="shared" si="17"/>
        <v>55</v>
      </c>
      <c r="G1093" s="1"/>
    </row>
    <row r="1094" spans="1:7" x14ac:dyDescent="0.25">
      <c r="A1094" s="4" t="s">
        <v>481</v>
      </c>
      <c r="B1094" s="5" t="s">
        <v>590</v>
      </c>
      <c r="C1094" s="5">
        <v>14</v>
      </c>
      <c r="D1094">
        <f t="shared" si="17"/>
        <v>55</v>
      </c>
      <c r="G1094" s="1"/>
    </row>
    <row r="1095" spans="1:7" x14ac:dyDescent="0.25">
      <c r="A1095" s="3" t="s">
        <v>481</v>
      </c>
      <c r="B1095" s="6" t="s">
        <v>591</v>
      </c>
      <c r="C1095" s="6">
        <v>31</v>
      </c>
      <c r="D1095">
        <f t="shared" si="17"/>
        <v>55</v>
      </c>
      <c r="G1095" s="1"/>
    </row>
    <row r="1096" spans="1:7" x14ac:dyDescent="0.25">
      <c r="A1096" s="4" t="s">
        <v>481</v>
      </c>
      <c r="B1096" s="5" t="s">
        <v>592</v>
      </c>
      <c r="C1096" s="5">
        <v>6</v>
      </c>
      <c r="D1096">
        <f t="shared" si="17"/>
        <v>55</v>
      </c>
      <c r="G1096" s="1"/>
    </row>
    <row r="1097" spans="1:7" x14ac:dyDescent="0.25">
      <c r="A1097" s="3" t="s">
        <v>481</v>
      </c>
      <c r="B1097" s="6" t="s">
        <v>593</v>
      </c>
      <c r="C1097" s="6">
        <v>0</v>
      </c>
      <c r="D1097">
        <f t="shared" si="17"/>
        <v>55</v>
      </c>
      <c r="G1097" s="1"/>
    </row>
    <row r="1098" spans="1:7" x14ac:dyDescent="0.25">
      <c r="A1098" s="4" t="s">
        <v>482</v>
      </c>
      <c r="B1098" s="5" t="s">
        <v>574</v>
      </c>
      <c r="C1098" s="5">
        <v>1</v>
      </c>
      <c r="D1098">
        <f t="shared" si="17"/>
        <v>56</v>
      </c>
      <c r="G1098" s="1"/>
    </row>
    <row r="1099" spans="1:7" x14ac:dyDescent="0.25">
      <c r="A1099" s="3" t="s">
        <v>482</v>
      </c>
      <c r="B1099" s="6" t="s">
        <v>575</v>
      </c>
      <c r="C1099" s="6">
        <v>0</v>
      </c>
      <c r="D1099">
        <f t="shared" si="17"/>
        <v>56</v>
      </c>
      <c r="G1099" s="1"/>
    </row>
    <row r="1100" spans="1:7" x14ac:dyDescent="0.25">
      <c r="A1100" s="4" t="s">
        <v>482</v>
      </c>
      <c r="B1100" s="5" t="s">
        <v>576</v>
      </c>
      <c r="C1100" s="5">
        <v>0.66669999999999996</v>
      </c>
      <c r="D1100">
        <f t="shared" si="17"/>
        <v>56</v>
      </c>
      <c r="G1100" s="1"/>
    </row>
    <row r="1101" spans="1:7" x14ac:dyDescent="0.25">
      <c r="A1101" s="3" t="s">
        <v>482</v>
      </c>
      <c r="B1101" s="6" t="s">
        <v>577</v>
      </c>
      <c r="C1101" s="6">
        <v>3</v>
      </c>
      <c r="D1101">
        <f t="shared" si="17"/>
        <v>56</v>
      </c>
      <c r="G1101" s="1"/>
    </row>
    <row r="1102" spans="1:7" x14ac:dyDescent="0.25">
      <c r="A1102" s="4" t="s">
        <v>482</v>
      </c>
      <c r="B1102" s="5" t="s">
        <v>578</v>
      </c>
      <c r="C1102" s="5">
        <v>0</v>
      </c>
      <c r="D1102">
        <f t="shared" si="17"/>
        <v>56</v>
      </c>
      <c r="G1102" s="1"/>
    </row>
    <row r="1103" spans="1:7" x14ac:dyDescent="0.25">
      <c r="A1103" s="3" t="s">
        <v>482</v>
      </c>
      <c r="B1103" s="6" t="s">
        <v>579</v>
      </c>
      <c r="C1103" s="6">
        <v>9.5</v>
      </c>
      <c r="D1103">
        <f t="shared" si="17"/>
        <v>56</v>
      </c>
      <c r="G1103" s="1"/>
    </row>
    <row r="1104" spans="1:7" x14ac:dyDescent="0.25">
      <c r="A1104" s="4" t="s">
        <v>482</v>
      </c>
      <c r="B1104" s="5" t="s">
        <v>580</v>
      </c>
      <c r="C1104" s="5">
        <v>1393.8286000000001</v>
      </c>
      <c r="D1104">
        <f t="shared" si="17"/>
        <v>56</v>
      </c>
      <c r="G1104" s="1"/>
    </row>
    <row r="1105" spans="1:7" x14ac:dyDescent="0.25">
      <c r="A1105" s="3" t="s">
        <v>482</v>
      </c>
      <c r="B1105" s="6" t="s">
        <v>581</v>
      </c>
      <c r="C1105" s="6">
        <v>4.1599999999999998E-2</v>
      </c>
      <c r="D1105">
        <f t="shared" si="17"/>
        <v>56</v>
      </c>
      <c r="G1105" s="1"/>
    </row>
    <row r="1106" spans="1:7" x14ac:dyDescent="0.25">
      <c r="A1106" s="4" t="s">
        <v>482</v>
      </c>
      <c r="B1106" s="5" t="s">
        <v>582</v>
      </c>
      <c r="C1106" s="5">
        <v>32</v>
      </c>
      <c r="D1106">
        <f t="shared" si="17"/>
        <v>56</v>
      </c>
      <c r="G1106" s="1"/>
    </row>
    <row r="1107" spans="1:7" x14ac:dyDescent="0.25">
      <c r="A1107" s="3" t="s">
        <v>482</v>
      </c>
      <c r="B1107" s="6" t="s">
        <v>583</v>
      </c>
      <c r="C1107" s="6">
        <v>24</v>
      </c>
      <c r="D1107">
        <f t="shared" si="17"/>
        <v>56</v>
      </c>
      <c r="G1107" s="1"/>
    </row>
    <row r="1108" spans="1:7" x14ac:dyDescent="0.25">
      <c r="A1108" s="4" t="s">
        <v>482</v>
      </c>
      <c r="B1108" s="5" t="s">
        <v>584</v>
      </c>
      <c r="C1108" s="5">
        <v>146.71879999999999</v>
      </c>
      <c r="D1108">
        <f t="shared" si="17"/>
        <v>56</v>
      </c>
      <c r="G1108" s="1"/>
    </row>
    <row r="1109" spans="1:7" x14ac:dyDescent="0.25">
      <c r="A1109" s="3" t="s">
        <v>482</v>
      </c>
      <c r="B1109" s="6" t="s">
        <v>585</v>
      </c>
      <c r="C1109" s="6">
        <v>9</v>
      </c>
      <c r="D1109">
        <f t="shared" si="17"/>
        <v>56</v>
      </c>
      <c r="G1109" s="1"/>
    </row>
    <row r="1110" spans="1:7" x14ac:dyDescent="0.25">
      <c r="A1110" s="4" t="s">
        <v>482</v>
      </c>
      <c r="B1110" s="5" t="s">
        <v>586</v>
      </c>
      <c r="C1110" s="5">
        <v>1</v>
      </c>
      <c r="D1110">
        <f t="shared" si="17"/>
        <v>56</v>
      </c>
      <c r="G1110" s="1"/>
    </row>
    <row r="1111" spans="1:7" x14ac:dyDescent="0.25">
      <c r="A1111" s="3" t="s">
        <v>482</v>
      </c>
      <c r="B1111" s="6" t="s">
        <v>587</v>
      </c>
      <c r="C1111" s="6">
        <v>1</v>
      </c>
      <c r="D1111">
        <f t="shared" si="17"/>
        <v>56</v>
      </c>
      <c r="G1111" s="1"/>
    </row>
    <row r="1112" spans="1:7" x14ac:dyDescent="0.25">
      <c r="A1112" s="4" t="s">
        <v>482</v>
      </c>
      <c r="B1112" s="5" t="s">
        <v>588</v>
      </c>
      <c r="C1112" s="5">
        <v>63.936100000000003</v>
      </c>
      <c r="D1112">
        <f t="shared" si="17"/>
        <v>56</v>
      </c>
      <c r="G1112" s="1"/>
    </row>
    <row r="1113" spans="1:7" x14ac:dyDescent="0.25">
      <c r="A1113" s="3" t="s">
        <v>482</v>
      </c>
      <c r="B1113" s="6" t="s">
        <v>589</v>
      </c>
      <c r="C1113" s="6">
        <v>1</v>
      </c>
      <c r="D1113">
        <f t="shared" si="17"/>
        <v>56</v>
      </c>
      <c r="G1113" s="1"/>
    </row>
    <row r="1114" spans="1:7" x14ac:dyDescent="0.25">
      <c r="A1114" s="4" t="s">
        <v>482</v>
      </c>
      <c r="B1114" s="5" t="s">
        <v>590</v>
      </c>
      <c r="C1114" s="5">
        <v>2</v>
      </c>
      <c r="D1114">
        <f t="shared" si="17"/>
        <v>56</v>
      </c>
      <c r="G1114" s="1"/>
    </row>
    <row r="1115" spans="1:7" x14ac:dyDescent="0.25">
      <c r="A1115" s="3" t="s">
        <v>482</v>
      </c>
      <c r="B1115" s="6" t="s">
        <v>591</v>
      </c>
      <c r="C1115" s="6">
        <v>4</v>
      </c>
      <c r="D1115">
        <f t="shared" si="17"/>
        <v>56</v>
      </c>
      <c r="G1115" s="1"/>
    </row>
    <row r="1116" spans="1:7" x14ac:dyDescent="0.25">
      <c r="A1116" s="4" t="s">
        <v>482</v>
      </c>
      <c r="B1116" s="5" t="s">
        <v>592</v>
      </c>
      <c r="C1116" s="5">
        <v>1</v>
      </c>
      <c r="D1116">
        <f t="shared" si="17"/>
        <v>56</v>
      </c>
      <c r="G1116" s="1"/>
    </row>
    <row r="1117" spans="1:7" x14ac:dyDescent="0.25">
      <c r="A1117" s="3" t="s">
        <v>482</v>
      </c>
      <c r="B1117" s="6" t="s">
        <v>593</v>
      </c>
      <c r="C1117" s="6">
        <v>0</v>
      </c>
      <c r="D1117">
        <f t="shared" si="17"/>
        <v>56</v>
      </c>
      <c r="G1117" s="1"/>
    </row>
    <row r="1118" spans="1:7" x14ac:dyDescent="0.25">
      <c r="A1118" s="4" t="s">
        <v>483</v>
      </c>
      <c r="B1118" s="5" t="s">
        <v>574</v>
      </c>
      <c r="C1118" s="5">
        <v>0</v>
      </c>
      <c r="D1118">
        <f t="shared" si="17"/>
        <v>57</v>
      </c>
      <c r="G1118" s="1"/>
    </row>
    <row r="1119" spans="1:7" x14ac:dyDescent="0.25">
      <c r="A1119" s="3" t="s">
        <v>483</v>
      </c>
      <c r="B1119" s="6" t="s">
        <v>575</v>
      </c>
      <c r="C1119" s="6">
        <v>0</v>
      </c>
      <c r="D1119">
        <f t="shared" si="17"/>
        <v>57</v>
      </c>
      <c r="G1119" s="1"/>
    </row>
    <row r="1120" spans="1:7" x14ac:dyDescent="0.25">
      <c r="A1120" s="4" t="s">
        <v>483</v>
      </c>
      <c r="B1120" s="5" t="s">
        <v>576</v>
      </c>
      <c r="C1120" s="5">
        <v>0.8</v>
      </c>
      <c r="D1120">
        <f t="shared" si="17"/>
        <v>57</v>
      </c>
      <c r="G1120" s="1"/>
    </row>
    <row r="1121" spans="1:7" x14ac:dyDescent="0.25">
      <c r="A1121" s="3" t="s">
        <v>483</v>
      </c>
      <c r="B1121" s="6" t="s">
        <v>577</v>
      </c>
      <c r="C1121" s="6">
        <v>5</v>
      </c>
      <c r="D1121">
        <f t="shared" si="17"/>
        <v>57</v>
      </c>
      <c r="G1121" s="1"/>
    </row>
    <row r="1122" spans="1:7" x14ac:dyDescent="0.25">
      <c r="A1122" s="4" t="s">
        <v>483</v>
      </c>
      <c r="B1122" s="5" t="s">
        <v>578</v>
      </c>
      <c r="C1122" s="5">
        <v>4</v>
      </c>
      <c r="D1122">
        <f t="shared" si="17"/>
        <v>57</v>
      </c>
      <c r="G1122" s="1"/>
    </row>
    <row r="1123" spans="1:7" x14ac:dyDescent="0.25">
      <c r="A1123" s="3" t="s">
        <v>483</v>
      </c>
      <c r="B1123" s="6" t="s">
        <v>579</v>
      </c>
      <c r="C1123" s="6">
        <v>6.0952000000000002</v>
      </c>
      <c r="D1123">
        <f t="shared" si="17"/>
        <v>57</v>
      </c>
      <c r="G1123" s="1"/>
    </row>
    <row r="1124" spans="1:7" x14ac:dyDescent="0.25">
      <c r="A1124" s="4" t="s">
        <v>483</v>
      </c>
      <c r="B1124" s="5" t="s">
        <v>580</v>
      </c>
      <c r="C1124" s="5">
        <v>1214.0326</v>
      </c>
      <c r="D1124">
        <f t="shared" si="17"/>
        <v>57</v>
      </c>
      <c r="G1124" s="1"/>
    </row>
    <row r="1125" spans="1:7" x14ac:dyDescent="0.25">
      <c r="A1125" s="3" t="s">
        <v>483</v>
      </c>
      <c r="B1125" s="6" t="s">
        <v>581</v>
      </c>
      <c r="C1125" s="6">
        <v>3.7900000000000003E-2</v>
      </c>
      <c r="D1125">
        <f t="shared" si="17"/>
        <v>57</v>
      </c>
      <c r="G1125" s="1"/>
    </row>
    <row r="1126" spans="1:7" x14ac:dyDescent="0.25">
      <c r="A1126" s="4" t="s">
        <v>483</v>
      </c>
      <c r="B1126" s="5" t="s">
        <v>582</v>
      </c>
      <c r="C1126" s="5">
        <v>41</v>
      </c>
      <c r="D1126">
        <f t="shared" si="17"/>
        <v>57</v>
      </c>
      <c r="G1126" s="1"/>
    </row>
    <row r="1127" spans="1:7" x14ac:dyDescent="0.25">
      <c r="A1127" s="3" t="s">
        <v>483</v>
      </c>
      <c r="B1127" s="6" t="s">
        <v>583</v>
      </c>
      <c r="C1127" s="6">
        <v>29</v>
      </c>
      <c r="D1127">
        <f t="shared" si="17"/>
        <v>57</v>
      </c>
      <c r="G1127" s="1"/>
    </row>
    <row r="1128" spans="1:7" x14ac:dyDescent="0.25">
      <c r="A1128" s="4" t="s">
        <v>483</v>
      </c>
      <c r="B1128" s="5" t="s">
        <v>584</v>
      </c>
      <c r="C1128" s="5">
        <v>199.1772</v>
      </c>
      <c r="D1128">
        <f t="shared" si="17"/>
        <v>57</v>
      </c>
      <c r="G1128" s="1"/>
    </row>
    <row r="1129" spans="1:7" x14ac:dyDescent="0.25">
      <c r="A1129" s="3" t="s">
        <v>483</v>
      </c>
      <c r="B1129" s="6" t="s">
        <v>585</v>
      </c>
      <c r="C1129" s="6">
        <v>18</v>
      </c>
      <c r="D1129">
        <f t="shared" si="17"/>
        <v>57</v>
      </c>
      <c r="G1129" s="1"/>
    </row>
    <row r="1130" spans="1:7" x14ac:dyDescent="0.25">
      <c r="A1130" s="4" t="s">
        <v>483</v>
      </c>
      <c r="B1130" s="5" t="s">
        <v>586</v>
      </c>
      <c r="C1130" s="5">
        <v>0</v>
      </c>
      <c r="D1130">
        <f t="shared" si="17"/>
        <v>57</v>
      </c>
      <c r="G1130" s="1"/>
    </row>
    <row r="1131" spans="1:7" x14ac:dyDescent="0.25">
      <c r="A1131" s="3" t="s">
        <v>483</v>
      </c>
      <c r="B1131" s="6" t="s">
        <v>587</v>
      </c>
      <c r="C1131" s="6">
        <v>0</v>
      </c>
      <c r="D1131">
        <f t="shared" si="17"/>
        <v>57</v>
      </c>
      <c r="G1131" s="1"/>
    </row>
    <row r="1132" spans="1:7" x14ac:dyDescent="0.25">
      <c r="A1132" s="4" t="s">
        <v>483</v>
      </c>
      <c r="B1132" s="5" t="s">
        <v>588</v>
      </c>
      <c r="C1132" s="5">
        <v>56.520899999999997</v>
      </c>
      <c r="D1132">
        <f t="shared" si="17"/>
        <v>57</v>
      </c>
      <c r="G1132" s="1"/>
    </row>
    <row r="1133" spans="1:7" x14ac:dyDescent="0.25">
      <c r="A1133" s="3" t="s">
        <v>483</v>
      </c>
      <c r="B1133" s="6" t="s">
        <v>589</v>
      </c>
      <c r="C1133" s="6">
        <v>0</v>
      </c>
      <c r="D1133">
        <f t="shared" si="17"/>
        <v>57</v>
      </c>
      <c r="G1133" s="1"/>
    </row>
    <row r="1134" spans="1:7" x14ac:dyDescent="0.25">
      <c r="A1134" s="4" t="s">
        <v>483</v>
      </c>
      <c r="B1134" s="5" t="s">
        <v>590</v>
      </c>
      <c r="C1134" s="5">
        <v>1</v>
      </c>
      <c r="D1134">
        <f t="shared" si="17"/>
        <v>57</v>
      </c>
      <c r="G1134" s="1"/>
    </row>
    <row r="1135" spans="1:7" x14ac:dyDescent="0.25">
      <c r="A1135" s="3" t="s">
        <v>483</v>
      </c>
      <c r="B1135" s="6" t="s">
        <v>591</v>
      </c>
      <c r="C1135" s="6">
        <v>8</v>
      </c>
      <c r="D1135">
        <f t="shared" si="17"/>
        <v>57</v>
      </c>
      <c r="G1135" s="1"/>
    </row>
    <row r="1136" spans="1:7" x14ac:dyDescent="0.25">
      <c r="A1136" s="4" t="s">
        <v>483</v>
      </c>
      <c r="B1136" s="5" t="s">
        <v>592</v>
      </c>
      <c r="C1136" s="5">
        <v>0</v>
      </c>
      <c r="D1136">
        <f t="shared" si="17"/>
        <v>57</v>
      </c>
      <c r="G1136" s="1"/>
    </row>
    <row r="1137" spans="1:7" x14ac:dyDescent="0.25">
      <c r="A1137" s="3" t="s">
        <v>483</v>
      </c>
      <c r="B1137" s="6" t="s">
        <v>593</v>
      </c>
      <c r="C1137" s="6">
        <v>3</v>
      </c>
      <c r="D1137">
        <f t="shared" si="17"/>
        <v>57</v>
      </c>
      <c r="G1137" s="1"/>
    </row>
    <row r="1138" spans="1:7" x14ac:dyDescent="0.25">
      <c r="A1138" s="4" t="s">
        <v>484</v>
      </c>
      <c r="B1138" s="5" t="s">
        <v>574</v>
      </c>
      <c r="C1138" s="5">
        <v>5</v>
      </c>
      <c r="D1138">
        <f t="shared" si="17"/>
        <v>58</v>
      </c>
      <c r="G1138" s="1"/>
    </row>
    <row r="1139" spans="1:7" x14ac:dyDescent="0.25">
      <c r="A1139" s="3" t="s">
        <v>484</v>
      </c>
      <c r="B1139" s="6" t="s">
        <v>575</v>
      </c>
      <c r="C1139" s="6">
        <v>1</v>
      </c>
      <c r="D1139">
        <f t="shared" si="17"/>
        <v>58</v>
      </c>
      <c r="G1139" s="1"/>
    </row>
    <row r="1140" spans="1:7" x14ac:dyDescent="0.25">
      <c r="A1140" s="4" t="s">
        <v>484</v>
      </c>
      <c r="B1140" s="5" t="s">
        <v>576</v>
      </c>
      <c r="C1140" s="5">
        <v>0.66669999999999996</v>
      </c>
      <c r="D1140">
        <f t="shared" si="17"/>
        <v>58</v>
      </c>
      <c r="G1140" s="1"/>
    </row>
    <row r="1141" spans="1:7" x14ac:dyDescent="0.25">
      <c r="A1141" s="3" t="s">
        <v>484</v>
      </c>
      <c r="B1141" s="6" t="s">
        <v>577</v>
      </c>
      <c r="C1141" s="6">
        <v>5</v>
      </c>
      <c r="D1141">
        <f t="shared" si="17"/>
        <v>58</v>
      </c>
      <c r="G1141" s="1"/>
    </row>
    <row r="1142" spans="1:7" x14ac:dyDescent="0.25">
      <c r="A1142" s="4" t="s">
        <v>484</v>
      </c>
      <c r="B1142" s="5" t="s">
        <v>578</v>
      </c>
      <c r="C1142" s="5">
        <v>1</v>
      </c>
      <c r="D1142">
        <f t="shared" si="17"/>
        <v>58</v>
      </c>
      <c r="G1142" s="1"/>
    </row>
    <row r="1143" spans="1:7" x14ac:dyDescent="0.25">
      <c r="A1143" s="3" t="s">
        <v>484</v>
      </c>
      <c r="B1143" s="6" t="s">
        <v>579</v>
      </c>
      <c r="C1143" s="6">
        <v>15</v>
      </c>
      <c r="D1143">
        <f t="shared" si="17"/>
        <v>58</v>
      </c>
      <c r="G1143" s="1"/>
    </row>
    <row r="1144" spans="1:7" x14ac:dyDescent="0.25">
      <c r="A1144" s="4" t="s">
        <v>484</v>
      </c>
      <c r="B1144" s="5" t="s">
        <v>580</v>
      </c>
      <c r="C1144" s="5">
        <v>4677.5810000000001</v>
      </c>
      <c r="D1144">
        <f t="shared" si="17"/>
        <v>58</v>
      </c>
      <c r="G1144" s="1"/>
    </row>
    <row r="1145" spans="1:7" x14ac:dyDescent="0.25">
      <c r="A1145" s="3" t="s">
        <v>484</v>
      </c>
      <c r="B1145" s="6" t="s">
        <v>581</v>
      </c>
      <c r="C1145" s="6">
        <v>9.3200000000000005E-2</v>
      </c>
      <c r="D1145">
        <f t="shared" si="17"/>
        <v>58</v>
      </c>
      <c r="G1145" s="1"/>
    </row>
    <row r="1146" spans="1:7" x14ac:dyDescent="0.25">
      <c r="A1146" s="4" t="s">
        <v>484</v>
      </c>
      <c r="B1146" s="5" t="s">
        <v>582</v>
      </c>
      <c r="C1146" s="5">
        <v>59</v>
      </c>
      <c r="D1146">
        <f t="shared" si="17"/>
        <v>58</v>
      </c>
      <c r="G1146" s="1"/>
    </row>
    <row r="1147" spans="1:7" x14ac:dyDescent="0.25">
      <c r="A1147" s="3" t="s">
        <v>484</v>
      </c>
      <c r="B1147" s="6" t="s">
        <v>583</v>
      </c>
      <c r="C1147" s="6">
        <v>39</v>
      </c>
      <c r="D1147">
        <f t="shared" si="17"/>
        <v>58</v>
      </c>
      <c r="G1147" s="1"/>
    </row>
    <row r="1148" spans="1:7" x14ac:dyDescent="0.25">
      <c r="A1148" s="4" t="s">
        <v>484</v>
      </c>
      <c r="B1148" s="5" t="s">
        <v>584</v>
      </c>
      <c r="C1148" s="5">
        <v>311.83870000000002</v>
      </c>
      <c r="D1148">
        <f t="shared" si="17"/>
        <v>58</v>
      </c>
      <c r="G1148" s="1"/>
    </row>
    <row r="1149" spans="1:7" x14ac:dyDescent="0.25">
      <c r="A1149" s="3" t="s">
        <v>484</v>
      </c>
      <c r="B1149" s="6" t="s">
        <v>585</v>
      </c>
      <c r="C1149" s="6">
        <v>20</v>
      </c>
      <c r="D1149">
        <f t="shared" si="17"/>
        <v>58</v>
      </c>
      <c r="G1149" s="1"/>
    </row>
    <row r="1150" spans="1:7" x14ac:dyDescent="0.25">
      <c r="A1150" s="4" t="s">
        <v>484</v>
      </c>
      <c r="B1150" s="5" t="s">
        <v>586</v>
      </c>
      <c r="C1150" s="5">
        <v>0.75</v>
      </c>
      <c r="D1150">
        <f t="shared" si="17"/>
        <v>58</v>
      </c>
      <c r="G1150" s="1"/>
    </row>
    <row r="1151" spans="1:7" x14ac:dyDescent="0.25">
      <c r="A1151" s="3" t="s">
        <v>484</v>
      </c>
      <c r="B1151" s="6" t="s">
        <v>587</v>
      </c>
      <c r="C1151" s="6">
        <v>2</v>
      </c>
      <c r="D1151">
        <f t="shared" si="17"/>
        <v>58</v>
      </c>
      <c r="G1151" s="1"/>
    </row>
    <row r="1152" spans="1:7" x14ac:dyDescent="0.25">
      <c r="A1152" s="4" t="s">
        <v>484</v>
      </c>
      <c r="B1152" s="5" t="s">
        <v>588</v>
      </c>
      <c r="C1152" s="5">
        <v>53.948599999999999</v>
      </c>
      <c r="D1152">
        <f t="shared" si="17"/>
        <v>58</v>
      </c>
      <c r="G1152" s="1"/>
    </row>
    <row r="1153" spans="1:7" x14ac:dyDescent="0.25">
      <c r="A1153" s="3" t="s">
        <v>484</v>
      </c>
      <c r="B1153" s="6" t="s">
        <v>589</v>
      </c>
      <c r="C1153" s="6">
        <v>3</v>
      </c>
      <c r="D1153">
        <f t="shared" si="17"/>
        <v>58</v>
      </c>
      <c r="G1153" s="1"/>
    </row>
    <row r="1154" spans="1:7" x14ac:dyDescent="0.25">
      <c r="A1154" s="4" t="s">
        <v>484</v>
      </c>
      <c r="B1154" s="5" t="s">
        <v>590</v>
      </c>
      <c r="C1154" s="5">
        <v>5</v>
      </c>
      <c r="D1154">
        <f t="shared" si="17"/>
        <v>58</v>
      </c>
      <c r="G1154" s="1"/>
    </row>
    <row r="1155" spans="1:7" x14ac:dyDescent="0.25">
      <c r="A1155" s="3" t="s">
        <v>484</v>
      </c>
      <c r="B1155" s="6" t="s">
        <v>591</v>
      </c>
      <c r="C1155" s="6">
        <v>12</v>
      </c>
      <c r="D1155">
        <f t="shared" si="17"/>
        <v>58</v>
      </c>
      <c r="G1155" s="1"/>
    </row>
    <row r="1156" spans="1:7" x14ac:dyDescent="0.25">
      <c r="A1156" s="4" t="s">
        <v>484</v>
      </c>
      <c r="B1156" s="5" t="s">
        <v>592</v>
      </c>
      <c r="C1156" s="5">
        <v>2</v>
      </c>
      <c r="D1156">
        <f t="shared" ref="D1156:D1219" si="18">IF(B1156="CCM", D1155+1, D1155)</f>
        <v>58</v>
      </c>
      <c r="G1156" s="1"/>
    </row>
    <row r="1157" spans="1:7" x14ac:dyDescent="0.25">
      <c r="A1157" s="3" t="s">
        <v>484</v>
      </c>
      <c r="B1157" s="6" t="s">
        <v>593</v>
      </c>
      <c r="C1157" s="6">
        <v>0</v>
      </c>
      <c r="D1157">
        <f t="shared" si="18"/>
        <v>58</v>
      </c>
      <c r="G1157" s="1"/>
    </row>
    <row r="1158" spans="1:7" x14ac:dyDescent="0.25">
      <c r="A1158" s="4" t="s">
        <v>485</v>
      </c>
      <c r="B1158" s="5" t="s">
        <v>574</v>
      </c>
      <c r="C1158" s="5">
        <v>0</v>
      </c>
      <c r="D1158">
        <f t="shared" si="18"/>
        <v>59</v>
      </c>
      <c r="G1158" s="1"/>
    </row>
    <row r="1159" spans="1:7" x14ac:dyDescent="0.25">
      <c r="A1159" s="3" t="s">
        <v>485</v>
      </c>
      <c r="B1159" s="6" t="s">
        <v>575</v>
      </c>
      <c r="C1159" s="6">
        <v>0</v>
      </c>
      <c r="D1159">
        <f t="shared" si="18"/>
        <v>59</v>
      </c>
      <c r="G1159" s="1"/>
    </row>
    <row r="1160" spans="1:7" x14ac:dyDescent="0.25">
      <c r="A1160" s="4" t="s">
        <v>485</v>
      </c>
      <c r="B1160" s="5" t="s">
        <v>576</v>
      </c>
      <c r="C1160" s="5">
        <v>0</v>
      </c>
      <c r="D1160">
        <f t="shared" si="18"/>
        <v>59</v>
      </c>
      <c r="G1160" s="1"/>
    </row>
    <row r="1161" spans="1:7" x14ac:dyDescent="0.25">
      <c r="A1161" s="3" t="s">
        <v>485</v>
      </c>
      <c r="B1161" s="6" t="s">
        <v>577</v>
      </c>
      <c r="C1161" s="6">
        <v>0</v>
      </c>
      <c r="D1161">
        <f t="shared" si="18"/>
        <v>59</v>
      </c>
      <c r="G1161" s="1"/>
    </row>
    <row r="1162" spans="1:7" x14ac:dyDescent="0.25">
      <c r="A1162" s="4" t="s">
        <v>485</v>
      </c>
      <c r="B1162" s="5" t="s">
        <v>578</v>
      </c>
      <c r="C1162" s="5">
        <v>0</v>
      </c>
      <c r="D1162">
        <f t="shared" si="18"/>
        <v>59</v>
      </c>
      <c r="G1162" s="1"/>
    </row>
    <row r="1163" spans="1:7" x14ac:dyDescent="0.25">
      <c r="A1163" s="3" t="s">
        <v>485</v>
      </c>
      <c r="B1163" s="6" t="s">
        <v>579</v>
      </c>
      <c r="C1163" s="6">
        <v>1</v>
      </c>
      <c r="D1163">
        <f t="shared" si="18"/>
        <v>59</v>
      </c>
      <c r="G1163" s="1"/>
    </row>
    <row r="1164" spans="1:7" x14ac:dyDescent="0.25">
      <c r="A1164" s="4" t="s">
        <v>485</v>
      </c>
      <c r="B1164" s="5" t="s">
        <v>580</v>
      </c>
      <c r="C1164" s="5">
        <v>4.7549000000000001</v>
      </c>
      <c r="D1164">
        <f t="shared" si="18"/>
        <v>59</v>
      </c>
      <c r="G1164" s="1"/>
    </row>
    <row r="1165" spans="1:7" x14ac:dyDescent="0.25">
      <c r="A1165" s="3" t="s">
        <v>485</v>
      </c>
      <c r="B1165" s="6" t="s">
        <v>581</v>
      </c>
      <c r="C1165" s="6">
        <v>8.9999999999999998E-4</v>
      </c>
      <c r="D1165">
        <f t="shared" si="18"/>
        <v>59</v>
      </c>
      <c r="G1165" s="1"/>
    </row>
    <row r="1166" spans="1:7" x14ac:dyDescent="0.25">
      <c r="A1166" s="4" t="s">
        <v>485</v>
      </c>
      <c r="B1166" s="5" t="s">
        <v>582</v>
      </c>
      <c r="C1166" s="5">
        <v>3</v>
      </c>
      <c r="D1166">
        <f t="shared" si="18"/>
        <v>59</v>
      </c>
      <c r="G1166" s="1"/>
    </row>
    <row r="1167" spans="1:7" x14ac:dyDescent="0.25">
      <c r="A1167" s="3" t="s">
        <v>485</v>
      </c>
      <c r="B1167" s="6" t="s">
        <v>583</v>
      </c>
      <c r="C1167" s="6">
        <v>3</v>
      </c>
      <c r="D1167">
        <f t="shared" si="18"/>
        <v>59</v>
      </c>
      <c r="G1167" s="1"/>
    </row>
    <row r="1168" spans="1:7" x14ac:dyDescent="0.25">
      <c r="A1168" s="4" t="s">
        <v>485</v>
      </c>
      <c r="B1168" s="5" t="s">
        <v>584</v>
      </c>
      <c r="C1168" s="5">
        <v>4.7549000000000001</v>
      </c>
      <c r="D1168">
        <f t="shared" si="18"/>
        <v>59</v>
      </c>
      <c r="G1168" s="1"/>
    </row>
    <row r="1169" spans="1:7" x14ac:dyDescent="0.25">
      <c r="A1169" s="3" t="s">
        <v>485</v>
      </c>
      <c r="B1169" s="6" t="s">
        <v>585</v>
      </c>
      <c r="C1169" s="6">
        <v>3</v>
      </c>
      <c r="D1169">
        <f t="shared" si="18"/>
        <v>59</v>
      </c>
      <c r="G1169" s="1"/>
    </row>
    <row r="1170" spans="1:7" x14ac:dyDescent="0.25">
      <c r="A1170" s="4" t="s">
        <v>485</v>
      </c>
      <c r="B1170" s="5" t="s">
        <v>586</v>
      </c>
      <c r="C1170" s="5">
        <v>1</v>
      </c>
      <c r="D1170">
        <f t="shared" si="18"/>
        <v>59</v>
      </c>
      <c r="G1170" s="1"/>
    </row>
    <row r="1171" spans="1:7" x14ac:dyDescent="0.25">
      <c r="A1171" s="3" t="s">
        <v>485</v>
      </c>
      <c r="B1171" s="6" t="s">
        <v>587</v>
      </c>
      <c r="C1171" s="6">
        <v>0</v>
      </c>
      <c r="D1171">
        <f t="shared" si="18"/>
        <v>59</v>
      </c>
      <c r="G1171" s="1"/>
    </row>
    <row r="1172" spans="1:7" x14ac:dyDescent="0.25">
      <c r="A1172" s="4" t="s">
        <v>485</v>
      </c>
      <c r="B1172" s="5" t="s">
        <v>588</v>
      </c>
      <c r="C1172" s="5">
        <v>85.376499999999993</v>
      </c>
      <c r="D1172">
        <f t="shared" si="18"/>
        <v>59</v>
      </c>
      <c r="G1172" s="1"/>
    </row>
    <row r="1173" spans="1:7" x14ac:dyDescent="0.25">
      <c r="A1173" s="3" t="s">
        <v>485</v>
      </c>
      <c r="B1173" s="6" t="s">
        <v>589</v>
      </c>
      <c r="C1173" s="6">
        <v>0</v>
      </c>
      <c r="D1173">
        <f t="shared" si="18"/>
        <v>59</v>
      </c>
      <c r="G1173" s="1"/>
    </row>
    <row r="1174" spans="1:7" x14ac:dyDescent="0.25">
      <c r="A1174" s="4" t="s">
        <v>485</v>
      </c>
      <c r="B1174" s="5" t="s">
        <v>590</v>
      </c>
      <c r="C1174" s="5">
        <v>1</v>
      </c>
      <c r="D1174">
        <f t="shared" si="18"/>
        <v>59</v>
      </c>
      <c r="G1174" s="1"/>
    </row>
    <row r="1175" spans="1:7" x14ac:dyDescent="0.25">
      <c r="A1175" s="3" t="s">
        <v>485</v>
      </c>
      <c r="B1175" s="6" t="s">
        <v>591</v>
      </c>
      <c r="C1175" s="6">
        <v>1</v>
      </c>
      <c r="D1175">
        <f t="shared" si="18"/>
        <v>59</v>
      </c>
      <c r="G1175" s="1"/>
    </row>
    <row r="1176" spans="1:7" x14ac:dyDescent="0.25">
      <c r="A1176" s="4" t="s">
        <v>485</v>
      </c>
      <c r="B1176" s="5" t="s">
        <v>592</v>
      </c>
      <c r="C1176" s="5">
        <v>0</v>
      </c>
      <c r="D1176">
        <f t="shared" si="18"/>
        <v>59</v>
      </c>
      <c r="G1176" s="1"/>
    </row>
    <row r="1177" spans="1:7" x14ac:dyDescent="0.25">
      <c r="A1177" s="3" t="s">
        <v>485</v>
      </c>
      <c r="B1177" s="6" t="s">
        <v>593</v>
      </c>
      <c r="C1177" s="6">
        <v>0</v>
      </c>
      <c r="D1177">
        <f t="shared" si="18"/>
        <v>59</v>
      </c>
      <c r="G1177" s="1"/>
    </row>
    <row r="1178" spans="1:7" x14ac:dyDescent="0.25">
      <c r="A1178" s="4" t="s">
        <v>486</v>
      </c>
      <c r="B1178" s="5" t="s">
        <v>574</v>
      </c>
      <c r="C1178" s="5">
        <v>0</v>
      </c>
      <c r="D1178">
        <f t="shared" si="18"/>
        <v>60</v>
      </c>
      <c r="G1178" s="1"/>
    </row>
    <row r="1179" spans="1:7" x14ac:dyDescent="0.25">
      <c r="A1179" s="3" t="s">
        <v>486</v>
      </c>
      <c r="B1179" s="6" t="s">
        <v>575</v>
      </c>
      <c r="C1179" s="6">
        <v>0</v>
      </c>
      <c r="D1179">
        <f t="shared" si="18"/>
        <v>60</v>
      </c>
      <c r="G1179" s="1"/>
    </row>
    <row r="1180" spans="1:7" x14ac:dyDescent="0.25">
      <c r="A1180" s="4" t="s">
        <v>486</v>
      </c>
      <c r="B1180" s="5" t="s">
        <v>576</v>
      </c>
      <c r="C1180" s="5">
        <v>0</v>
      </c>
      <c r="D1180">
        <f t="shared" si="18"/>
        <v>60</v>
      </c>
      <c r="G1180" s="1"/>
    </row>
    <row r="1181" spans="1:7" x14ac:dyDescent="0.25">
      <c r="A1181" s="3" t="s">
        <v>486</v>
      </c>
      <c r="B1181" s="6" t="s">
        <v>577</v>
      </c>
      <c r="C1181" s="6">
        <v>0</v>
      </c>
      <c r="D1181">
        <f t="shared" si="18"/>
        <v>60</v>
      </c>
      <c r="G1181" s="1"/>
    </row>
    <row r="1182" spans="1:7" x14ac:dyDescent="0.25">
      <c r="A1182" s="4" t="s">
        <v>486</v>
      </c>
      <c r="B1182" s="5" t="s">
        <v>578</v>
      </c>
      <c r="C1182" s="5">
        <v>0</v>
      </c>
      <c r="D1182">
        <f t="shared" si="18"/>
        <v>60</v>
      </c>
      <c r="G1182" s="1"/>
    </row>
    <row r="1183" spans="1:7" x14ac:dyDescent="0.25">
      <c r="A1183" s="3" t="s">
        <v>486</v>
      </c>
      <c r="B1183" s="6" t="s">
        <v>579</v>
      </c>
      <c r="C1183" s="6">
        <v>1</v>
      </c>
      <c r="D1183">
        <f t="shared" si="18"/>
        <v>60</v>
      </c>
      <c r="G1183" s="1"/>
    </row>
    <row r="1184" spans="1:7" x14ac:dyDescent="0.25">
      <c r="A1184" s="4" t="s">
        <v>486</v>
      </c>
      <c r="B1184" s="5" t="s">
        <v>580</v>
      </c>
      <c r="C1184" s="5">
        <v>4.7549000000000001</v>
      </c>
      <c r="D1184">
        <f t="shared" si="18"/>
        <v>60</v>
      </c>
      <c r="G1184" s="1"/>
    </row>
    <row r="1185" spans="1:7" x14ac:dyDescent="0.25">
      <c r="A1185" s="3" t="s">
        <v>486</v>
      </c>
      <c r="B1185" s="6" t="s">
        <v>581</v>
      </c>
      <c r="C1185" s="6">
        <v>8.9999999999999998E-4</v>
      </c>
      <c r="D1185">
        <f t="shared" si="18"/>
        <v>60</v>
      </c>
      <c r="G1185" s="1"/>
    </row>
    <row r="1186" spans="1:7" x14ac:dyDescent="0.25">
      <c r="A1186" s="4" t="s">
        <v>486</v>
      </c>
      <c r="B1186" s="5" t="s">
        <v>582</v>
      </c>
      <c r="C1186" s="5">
        <v>3</v>
      </c>
      <c r="D1186">
        <f t="shared" si="18"/>
        <v>60</v>
      </c>
      <c r="G1186" s="1"/>
    </row>
    <row r="1187" spans="1:7" x14ac:dyDescent="0.25">
      <c r="A1187" s="3" t="s">
        <v>486</v>
      </c>
      <c r="B1187" s="6" t="s">
        <v>583</v>
      </c>
      <c r="C1187" s="6">
        <v>3</v>
      </c>
      <c r="D1187">
        <f t="shared" si="18"/>
        <v>60</v>
      </c>
      <c r="G1187" s="1"/>
    </row>
    <row r="1188" spans="1:7" x14ac:dyDescent="0.25">
      <c r="A1188" s="4" t="s">
        <v>486</v>
      </c>
      <c r="B1188" s="5" t="s">
        <v>584</v>
      </c>
      <c r="C1188" s="5">
        <v>4.7549000000000001</v>
      </c>
      <c r="D1188">
        <f t="shared" si="18"/>
        <v>60</v>
      </c>
      <c r="G1188" s="1"/>
    </row>
    <row r="1189" spans="1:7" x14ac:dyDescent="0.25">
      <c r="A1189" s="3" t="s">
        <v>486</v>
      </c>
      <c r="B1189" s="6" t="s">
        <v>585</v>
      </c>
      <c r="C1189" s="6">
        <v>3</v>
      </c>
      <c r="D1189">
        <f t="shared" si="18"/>
        <v>60</v>
      </c>
      <c r="G1189" s="1"/>
    </row>
    <row r="1190" spans="1:7" x14ac:dyDescent="0.25">
      <c r="A1190" s="4" t="s">
        <v>486</v>
      </c>
      <c r="B1190" s="5" t="s">
        <v>586</v>
      </c>
      <c r="C1190" s="5">
        <v>1</v>
      </c>
      <c r="D1190">
        <f t="shared" si="18"/>
        <v>60</v>
      </c>
      <c r="G1190" s="1"/>
    </row>
    <row r="1191" spans="1:7" x14ac:dyDescent="0.25">
      <c r="A1191" s="3" t="s">
        <v>486</v>
      </c>
      <c r="B1191" s="6" t="s">
        <v>587</v>
      </c>
      <c r="C1191" s="6">
        <v>0</v>
      </c>
      <c r="D1191">
        <f t="shared" si="18"/>
        <v>60</v>
      </c>
      <c r="G1191" s="1"/>
    </row>
    <row r="1192" spans="1:7" x14ac:dyDescent="0.25">
      <c r="A1192" s="4" t="s">
        <v>486</v>
      </c>
      <c r="B1192" s="5" t="s">
        <v>588</v>
      </c>
      <c r="C1192" s="5">
        <v>85.376499999999993</v>
      </c>
      <c r="D1192">
        <f t="shared" si="18"/>
        <v>60</v>
      </c>
      <c r="G1192" s="1"/>
    </row>
    <row r="1193" spans="1:7" x14ac:dyDescent="0.25">
      <c r="A1193" s="3" t="s">
        <v>486</v>
      </c>
      <c r="B1193" s="6" t="s">
        <v>589</v>
      </c>
      <c r="C1193" s="6">
        <v>0</v>
      </c>
      <c r="D1193">
        <f t="shared" si="18"/>
        <v>60</v>
      </c>
      <c r="G1193" s="1"/>
    </row>
    <row r="1194" spans="1:7" x14ac:dyDescent="0.25">
      <c r="A1194" s="4" t="s">
        <v>486</v>
      </c>
      <c r="B1194" s="5" t="s">
        <v>590</v>
      </c>
      <c r="C1194" s="5">
        <v>1</v>
      </c>
      <c r="D1194">
        <f t="shared" si="18"/>
        <v>60</v>
      </c>
      <c r="G1194" s="1"/>
    </row>
    <row r="1195" spans="1:7" x14ac:dyDescent="0.25">
      <c r="A1195" s="3" t="s">
        <v>486</v>
      </c>
      <c r="B1195" s="6" t="s">
        <v>591</v>
      </c>
      <c r="C1195" s="6">
        <v>1</v>
      </c>
      <c r="D1195">
        <f t="shared" si="18"/>
        <v>60</v>
      </c>
      <c r="G1195" s="1"/>
    </row>
    <row r="1196" spans="1:7" x14ac:dyDescent="0.25">
      <c r="A1196" s="4" t="s">
        <v>486</v>
      </c>
      <c r="B1196" s="5" t="s">
        <v>592</v>
      </c>
      <c r="C1196" s="5">
        <v>0</v>
      </c>
      <c r="D1196">
        <f t="shared" si="18"/>
        <v>60</v>
      </c>
      <c r="G1196" s="1"/>
    </row>
    <row r="1197" spans="1:7" x14ac:dyDescent="0.25">
      <c r="A1197" s="3" t="s">
        <v>486</v>
      </c>
      <c r="B1197" s="6" t="s">
        <v>593</v>
      </c>
      <c r="C1197" s="6">
        <v>0</v>
      </c>
      <c r="D1197">
        <f t="shared" si="18"/>
        <v>60</v>
      </c>
      <c r="G1197" s="1"/>
    </row>
    <row r="1198" spans="1:7" x14ac:dyDescent="0.25">
      <c r="A1198" s="4" t="s">
        <v>487</v>
      </c>
      <c r="B1198" s="5" t="s">
        <v>574</v>
      </c>
      <c r="C1198" s="5">
        <v>0</v>
      </c>
      <c r="D1198">
        <f t="shared" si="18"/>
        <v>61</v>
      </c>
      <c r="G1198" s="1"/>
    </row>
    <row r="1199" spans="1:7" x14ac:dyDescent="0.25">
      <c r="A1199" s="3" t="s">
        <v>487</v>
      </c>
      <c r="B1199" s="6" t="s">
        <v>575</v>
      </c>
      <c r="C1199" s="6">
        <v>0</v>
      </c>
      <c r="D1199">
        <f t="shared" si="18"/>
        <v>61</v>
      </c>
      <c r="G1199" s="1"/>
    </row>
    <row r="1200" spans="1:7" x14ac:dyDescent="0.25">
      <c r="A1200" s="4" t="s">
        <v>487</v>
      </c>
      <c r="B1200" s="5" t="s">
        <v>576</v>
      </c>
      <c r="C1200" s="5">
        <v>0</v>
      </c>
      <c r="D1200">
        <f t="shared" si="18"/>
        <v>61</v>
      </c>
      <c r="G1200" s="1"/>
    </row>
    <row r="1201" spans="1:7" x14ac:dyDescent="0.25">
      <c r="A1201" s="3" t="s">
        <v>487</v>
      </c>
      <c r="B1201" s="6" t="s">
        <v>577</v>
      </c>
      <c r="C1201" s="6">
        <v>0</v>
      </c>
      <c r="D1201">
        <f t="shared" si="18"/>
        <v>61</v>
      </c>
      <c r="G1201" s="1"/>
    </row>
    <row r="1202" spans="1:7" x14ac:dyDescent="0.25">
      <c r="A1202" s="4" t="s">
        <v>487</v>
      </c>
      <c r="B1202" s="5" t="s">
        <v>578</v>
      </c>
      <c r="C1202" s="5">
        <v>0</v>
      </c>
      <c r="D1202">
        <f t="shared" si="18"/>
        <v>61</v>
      </c>
      <c r="G1202" s="1"/>
    </row>
    <row r="1203" spans="1:7" x14ac:dyDescent="0.25">
      <c r="A1203" s="3" t="s">
        <v>487</v>
      </c>
      <c r="B1203" s="6" t="s">
        <v>579</v>
      </c>
      <c r="C1203" s="6">
        <v>2.5</v>
      </c>
      <c r="D1203">
        <f t="shared" si="18"/>
        <v>61</v>
      </c>
      <c r="G1203" s="1"/>
    </row>
    <row r="1204" spans="1:7" x14ac:dyDescent="0.25">
      <c r="A1204" s="4" t="s">
        <v>487</v>
      </c>
      <c r="B1204" s="5" t="s">
        <v>580</v>
      </c>
      <c r="C1204" s="5">
        <v>38.7744</v>
      </c>
      <c r="D1204">
        <f t="shared" si="18"/>
        <v>61</v>
      </c>
      <c r="G1204" s="1"/>
    </row>
    <row r="1205" spans="1:7" x14ac:dyDescent="0.25">
      <c r="A1205" s="3" t="s">
        <v>487</v>
      </c>
      <c r="B1205" s="6" t="s">
        <v>581</v>
      </c>
      <c r="C1205" s="6">
        <v>3.8E-3</v>
      </c>
      <c r="D1205">
        <f t="shared" si="18"/>
        <v>61</v>
      </c>
      <c r="G1205" s="1"/>
    </row>
    <row r="1206" spans="1:7" x14ac:dyDescent="0.25">
      <c r="A1206" s="4" t="s">
        <v>487</v>
      </c>
      <c r="B1206" s="5" t="s">
        <v>582</v>
      </c>
      <c r="C1206" s="5">
        <v>6</v>
      </c>
      <c r="D1206">
        <f t="shared" si="18"/>
        <v>61</v>
      </c>
      <c r="G1206" s="1"/>
    </row>
    <row r="1207" spans="1:7" x14ac:dyDescent="0.25">
      <c r="A1207" s="3" t="s">
        <v>487</v>
      </c>
      <c r="B1207" s="6" t="s">
        <v>583</v>
      </c>
      <c r="C1207" s="6">
        <v>6</v>
      </c>
      <c r="D1207">
        <f t="shared" si="18"/>
        <v>61</v>
      </c>
      <c r="G1207" s="1"/>
    </row>
    <row r="1208" spans="1:7" x14ac:dyDescent="0.25">
      <c r="A1208" s="4" t="s">
        <v>487</v>
      </c>
      <c r="B1208" s="5" t="s">
        <v>584</v>
      </c>
      <c r="C1208" s="5">
        <v>15.5098</v>
      </c>
      <c r="D1208">
        <f t="shared" si="18"/>
        <v>61</v>
      </c>
      <c r="G1208" s="1"/>
    </row>
    <row r="1209" spans="1:7" x14ac:dyDescent="0.25">
      <c r="A1209" s="3" t="s">
        <v>487</v>
      </c>
      <c r="B1209" s="6" t="s">
        <v>585</v>
      </c>
      <c r="C1209" s="6">
        <v>4</v>
      </c>
      <c r="D1209">
        <f t="shared" si="18"/>
        <v>61</v>
      </c>
      <c r="G1209" s="1"/>
    </row>
    <row r="1210" spans="1:7" x14ac:dyDescent="0.25">
      <c r="A1210" s="4" t="s">
        <v>487</v>
      </c>
      <c r="B1210" s="5" t="s">
        <v>586</v>
      </c>
      <c r="C1210" s="5">
        <v>0</v>
      </c>
      <c r="D1210">
        <f t="shared" si="18"/>
        <v>61</v>
      </c>
      <c r="G1210" s="1"/>
    </row>
    <row r="1211" spans="1:7" x14ac:dyDescent="0.25">
      <c r="A1211" s="3" t="s">
        <v>487</v>
      </c>
      <c r="B1211" s="6" t="s">
        <v>587</v>
      </c>
      <c r="C1211" s="6">
        <v>0</v>
      </c>
      <c r="D1211">
        <f t="shared" si="18"/>
        <v>61</v>
      </c>
      <c r="G1211" s="1"/>
    </row>
    <row r="1212" spans="1:7" x14ac:dyDescent="0.25">
      <c r="A1212" s="4" t="s">
        <v>487</v>
      </c>
      <c r="B1212" s="5" t="s">
        <v>588</v>
      </c>
      <c r="C1212" s="5">
        <v>78.631699999999995</v>
      </c>
      <c r="D1212">
        <f t="shared" si="18"/>
        <v>61</v>
      </c>
      <c r="G1212" s="1"/>
    </row>
    <row r="1213" spans="1:7" x14ac:dyDescent="0.25">
      <c r="A1213" s="3" t="s">
        <v>487</v>
      </c>
      <c r="B1213" s="6" t="s">
        <v>589</v>
      </c>
      <c r="C1213" s="6">
        <v>0</v>
      </c>
      <c r="D1213">
        <f t="shared" si="18"/>
        <v>61</v>
      </c>
      <c r="G1213" s="1"/>
    </row>
    <row r="1214" spans="1:7" x14ac:dyDescent="0.25">
      <c r="A1214" s="4" t="s">
        <v>487</v>
      </c>
      <c r="B1214" s="5" t="s">
        <v>590</v>
      </c>
      <c r="C1214" s="5">
        <v>1</v>
      </c>
      <c r="D1214">
        <f t="shared" si="18"/>
        <v>61</v>
      </c>
      <c r="G1214" s="1"/>
    </row>
    <row r="1215" spans="1:7" x14ac:dyDescent="0.25">
      <c r="A1215" s="3" t="s">
        <v>487</v>
      </c>
      <c r="B1215" s="6" t="s">
        <v>591</v>
      </c>
      <c r="C1215" s="6">
        <v>1</v>
      </c>
      <c r="D1215">
        <f t="shared" si="18"/>
        <v>61</v>
      </c>
      <c r="G1215" s="1"/>
    </row>
    <row r="1216" spans="1:7" x14ac:dyDescent="0.25">
      <c r="A1216" s="4" t="s">
        <v>487</v>
      </c>
      <c r="B1216" s="5" t="s">
        <v>592</v>
      </c>
      <c r="C1216" s="5">
        <v>0</v>
      </c>
      <c r="D1216">
        <f t="shared" si="18"/>
        <v>61</v>
      </c>
      <c r="G1216" s="1"/>
    </row>
    <row r="1217" spans="1:7" x14ac:dyDescent="0.25">
      <c r="A1217" s="3" t="s">
        <v>487</v>
      </c>
      <c r="B1217" s="6" t="s">
        <v>593</v>
      </c>
      <c r="C1217" s="6">
        <v>1</v>
      </c>
      <c r="D1217">
        <f t="shared" si="18"/>
        <v>61</v>
      </c>
      <c r="G1217" s="1"/>
    </row>
    <row r="1218" spans="1:7" x14ac:dyDescent="0.25">
      <c r="A1218" s="4" t="s">
        <v>488</v>
      </c>
      <c r="B1218" s="5" t="s">
        <v>574</v>
      </c>
      <c r="C1218" s="5">
        <v>3</v>
      </c>
      <c r="D1218">
        <f t="shared" si="18"/>
        <v>62</v>
      </c>
      <c r="G1218" s="1"/>
    </row>
    <row r="1219" spans="1:7" x14ac:dyDescent="0.25">
      <c r="A1219" s="3" t="s">
        <v>488</v>
      </c>
      <c r="B1219" s="6" t="s">
        <v>575</v>
      </c>
      <c r="C1219" s="6">
        <v>1</v>
      </c>
      <c r="D1219">
        <f t="shared" si="18"/>
        <v>62</v>
      </c>
      <c r="G1219" s="1"/>
    </row>
    <row r="1220" spans="1:7" x14ac:dyDescent="0.25">
      <c r="A1220" s="4" t="s">
        <v>488</v>
      </c>
      <c r="B1220" s="5" t="s">
        <v>576</v>
      </c>
      <c r="C1220" s="5">
        <v>0.58330000000000004</v>
      </c>
      <c r="D1220">
        <f t="shared" ref="D1220:D1283" si="19">IF(B1220="CCM", D1219+1, D1219)</f>
        <v>62</v>
      </c>
      <c r="G1220" s="1"/>
    </row>
    <row r="1221" spans="1:7" x14ac:dyDescent="0.25">
      <c r="A1221" s="3" t="s">
        <v>488</v>
      </c>
      <c r="B1221" s="6" t="s">
        <v>577</v>
      </c>
      <c r="C1221" s="6">
        <v>12</v>
      </c>
      <c r="D1221">
        <f t="shared" si="19"/>
        <v>62</v>
      </c>
      <c r="G1221" s="1"/>
    </row>
    <row r="1222" spans="1:7" x14ac:dyDescent="0.25">
      <c r="A1222" s="4" t="s">
        <v>488</v>
      </c>
      <c r="B1222" s="5" t="s">
        <v>578</v>
      </c>
      <c r="C1222" s="5">
        <v>1</v>
      </c>
      <c r="D1222">
        <f t="shared" si="19"/>
        <v>62</v>
      </c>
      <c r="G1222" s="1"/>
    </row>
    <row r="1223" spans="1:7" x14ac:dyDescent="0.25">
      <c r="A1223" s="3" t="s">
        <v>488</v>
      </c>
      <c r="B1223" s="6" t="s">
        <v>579</v>
      </c>
      <c r="C1223" s="6">
        <v>19.9375</v>
      </c>
      <c r="D1223">
        <f t="shared" si="19"/>
        <v>62</v>
      </c>
      <c r="G1223" s="1"/>
    </row>
    <row r="1224" spans="1:7" x14ac:dyDescent="0.25">
      <c r="A1224" s="4" t="s">
        <v>488</v>
      </c>
      <c r="B1224" s="5" t="s">
        <v>580</v>
      </c>
      <c r="C1224" s="5">
        <v>6905.6166000000003</v>
      </c>
      <c r="D1224">
        <f t="shared" si="19"/>
        <v>62</v>
      </c>
      <c r="G1224" s="1"/>
    </row>
    <row r="1225" spans="1:7" x14ac:dyDescent="0.25">
      <c r="A1225" s="3" t="s">
        <v>488</v>
      </c>
      <c r="B1225" s="6" t="s">
        <v>581</v>
      </c>
      <c r="C1225" s="6">
        <v>0.12089999999999999</v>
      </c>
      <c r="D1225">
        <f t="shared" si="19"/>
        <v>62</v>
      </c>
      <c r="G1225" s="1"/>
    </row>
    <row r="1226" spans="1:7" x14ac:dyDescent="0.25">
      <c r="A1226" s="4" t="s">
        <v>488</v>
      </c>
      <c r="B1226" s="5" t="s">
        <v>582</v>
      </c>
      <c r="C1226" s="5">
        <v>66</v>
      </c>
      <c r="D1226">
        <f t="shared" si="19"/>
        <v>62</v>
      </c>
      <c r="G1226" s="1"/>
    </row>
    <row r="1227" spans="1:7" x14ac:dyDescent="0.25">
      <c r="A1227" s="3" t="s">
        <v>488</v>
      </c>
      <c r="B1227" s="6" t="s">
        <v>583</v>
      </c>
      <c r="C1227" s="6">
        <v>38</v>
      </c>
      <c r="D1227">
        <f t="shared" si="19"/>
        <v>62</v>
      </c>
      <c r="G1227" s="1"/>
    </row>
    <row r="1228" spans="1:7" x14ac:dyDescent="0.25">
      <c r="A1228" s="4" t="s">
        <v>488</v>
      </c>
      <c r="B1228" s="5" t="s">
        <v>584</v>
      </c>
      <c r="C1228" s="5">
        <v>346.36320000000001</v>
      </c>
      <c r="D1228">
        <f t="shared" si="19"/>
        <v>62</v>
      </c>
      <c r="G1228" s="1"/>
    </row>
    <row r="1229" spans="1:7" x14ac:dyDescent="0.25">
      <c r="A1229" s="3" t="s">
        <v>488</v>
      </c>
      <c r="B1229" s="6" t="s">
        <v>585</v>
      </c>
      <c r="C1229" s="6">
        <v>16</v>
      </c>
      <c r="D1229">
        <f t="shared" si="19"/>
        <v>62</v>
      </c>
      <c r="G1229" s="1"/>
    </row>
    <row r="1230" spans="1:7" x14ac:dyDescent="0.25">
      <c r="A1230" s="4" t="s">
        <v>488</v>
      </c>
      <c r="B1230" s="5" t="s">
        <v>586</v>
      </c>
      <c r="C1230" s="5">
        <v>0.33329999999999999</v>
      </c>
      <c r="D1230">
        <f t="shared" si="19"/>
        <v>62</v>
      </c>
      <c r="G1230" s="1"/>
    </row>
    <row r="1231" spans="1:7" x14ac:dyDescent="0.25">
      <c r="A1231" s="3" t="s">
        <v>488</v>
      </c>
      <c r="B1231" s="6" t="s">
        <v>587</v>
      </c>
      <c r="C1231" s="6">
        <v>1</v>
      </c>
      <c r="D1231">
        <f t="shared" si="19"/>
        <v>62</v>
      </c>
      <c r="G1231" s="1"/>
    </row>
    <row r="1232" spans="1:7" x14ac:dyDescent="0.25">
      <c r="A1232" s="4" t="s">
        <v>488</v>
      </c>
      <c r="B1232" s="5" t="s">
        <v>588</v>
      </c>
      <c r="C1232" s="5">
        <v>55.807000000000002</v>
      </c>
      <c r="D1232">
        <f t="shared" si="19"/>
        <v>62</v>
      </c>
      <c r="G1232" s="1"/>
    </row>
    <row r="1233" spans="1:7" x14ac:dyDescent="0.25">
      <c r="A1233" s="3" t="s">
        <v>488</v>
      </c>
      <c r="B1233" s="6" t="s">
        <v>589</v>
      </c>
      <c r="C1233" s="6">
        <v>2</v>
      </c>
      <c r="D1233">
        <f t="shared" si="19"/>
        <v>62</v>
      </c>
      <c r="G1233" s="1"/>
    </row>
    <row r="1234" spans="1:7" x14ac:dyDescent="0.25">
      <c r="A1234" s="4" t="s">
        <v>488</v>
      </c>
      <c r="B1234" s="5" t="s">
        <v>590</v>
      </c>
      <c r="C1234" s="5">
        <v>3</v>
      </c>
      <c r="D1234">
        <f t="shared" si="19"/>
        <v>62</v>
      </c>
      <c r="G1234" s="1"/>
    </row>
    <row r="1235" spans="1:7" x14ac:dyDescent="0.25">
      <c r="A1235" s="3" t="s">
        <v>488</v>
      </c>
      <c r="B1235" s="6" t="s">
        <v>591</v>
      </c>
      <c r="C1235" s="6">
        <v>7</v>
      </c>
      <c r="D1235">
        <f t="shared" si="19"/>
        <v>62</v>
      </c>
      <c r="G1235" s="1"/>
    </row>
    <row r="1236" spans="1:7" x14ac:dyDescent="0.25">
      <c r="A1236" s="4" t="s">
        <v>488</v>
      </c>
      <c r="B1236" s="5" t="s">
        <v>592</v>
      </c>
      <c r="C1236" s="5">
        <v>1</v>
      </c>
      <c r="D1236">
        <f t="shared" si="19"/>
        <v>62</v>
      </c>
      <c r="G1236" s="1"/>
    </row>
    <row r="1237" spans="1:7" x14ac:dyDescent="0.25">
      <c r="A1237" s="3" t="s">
        <v>488</v>
      </c>
      <c r="B1237" s="6" t="s">
        <v>593</v>
      </c>
      <c r="C1237" s="6">
        <v>0</v>
      </c>
      <c r="D1237">
        <f t="shared" si="19"/>
        <v>62</v>
      </c>
      <c r="G1237" s="1"/>
    </row>
    <row r="1238" spans="1:7" x14ac:dyDescent="0.25">
      <c r="A1238" s="4" t="s">
        <v>489</v>
      </c>
      <c r="B1238" s="5" t="s">
        <v>574</v>
      </c>
      <c r="C1238" s="5">
        <v>0</v>
      </c>
      <c r="D1238">
        <f t="shared" si="19"/>
        <v>63</v>
      </c>
      <c r="G1238" s="1"/>
    </row>
    <row r="1239" spans="1:7" x14ac:dyDescent="0.25">
      <c r="A1239" s="3" t="s">
        <v>489</v>
      </c>
      <c r="B1239" s="6" t="s">
        <v>575</v>
      </c>
      <c r="C1239" s="6">
        <v>0</v>
      </c>
      <c r="D1239">
        <f t="shared" si="19"/>
        <v>63</v>
      </c>
      <c r="G1239" s="1"/>
    </row>
    <row r="1240" spans="1:7" x14ac:dyDescent="0.25">
      <c r="A1240" s="4" t="s">
        <v>489</v>
      </c>
      <c r="B1240" s="5" t="s">
        <v>576</v>
      </c>
      <c r="C1240" s="5">
        <v>0.5</v>
      </c>
      <c r="D1240">
        <f t="shared" si="19"/>
        <v>63</v>
      </c>
      <c r="G1240" s="1"/>
    </row>
    <row r="1241" spans="1:7" x14ac:dyDescent="0.25">
      <c r="A1241" s="3" t="s">
        <v>489</v>
      </c>
      <c r="B1241" s="6" t="s">
        <v>577</v>
      </c>
      <c r="C1241" s="6">
        <v>2</v>
      </c>
      <c r="D1241">
        <f t="shared" si="19"/>
        <v>63</v>
      </c>
      <c r="G1241" s="1"/>
    </row>
    <row r="1242" spans="1:7" x14ac:dyDescent="0.25">
      <c r="A1242" s="4" t="s">
        <v>489</v>
      </c>
      <c r="B1242" s="5" t="s">
        <v>578</v>
      </c>
      <c r="C1242" s="5">
        <v>0</v>
      </c>
      <c r="D1242">
        <f t="shared" si="19"/>
        <v>63</v>
      </c>
      <c r="G1242" s="1"/>
    </row>
    <row r="1243" spans="1:7" x14ac:dyDescent="0.25">
      <c r="A1243" s="3" t="s">
        <v>489</v>
      </c>
      <c r="B1243" s="6" t="s">
        <v>579</v>
      </c>
      <c r="C1243" s="6">
        <v>2.6667000000000001</v>
      </c>
      <c r="D1243">
        <f t="shared" si="19"/>
        <v>63</v>
      </c>
      <c r="G1243" s="1"/>
    </row>
    <row r="1244" spans="1:7" x14ac:dyDescent="0.25">
      <c r="A1244" s="4" t="s">
        <v>489</v>
      </c>
      <c r="B1244" s="5" t="s">
        <v>580</v>
      </c>
      <c r="C1244" s="5">
        <v>59.8902</v>
      </c>
      <c r="D1244">
        <f t="shared" si="19"/>
        <v>63</v>
      </c>
      <c r="G1244" s="1"/>
    </row>
    <row r="1245" spans="1:7" x14ac:dyDescent="0.25">
      <c r="A1245" s="3" t="s">
        <v>489</v>
      </c>
      <c r="B1245" s="6" t="s">
        <v>581</v>
      </c>
      <c r="C1245" s="6">
        <v>5.1000000000000004E-3</v>
      </c>
      <c r="D1245">
        <f t="shared" si="19"/>
        <v>63</v>
      </c>
      <c r="G1245" s="1"/>
    </row>
    <row r="1246" spans="1:7" x14ac:dyDescent="0.25">
      <c r="A1246" s="4" t="s">
        <v>489</v>
      </c>
      <c r="B1246" s="5" t="s">
        <v>582</v>
      </c>
      <c r="C1246" s="5">
        <v>8</v>
      </c>
      <c r="D1246">
        <f t="shared" si="19"/>
        <v>63</v>
      </c>
      <c r="G1246" s="1"/>
    </row>
    <row r="1247" spans="1:7" x14ac:dyDescent="0.25">
      <c r="A1247" s="3" t="s">
        <v>489</v>
      </c>
      <c r="B1247" s="6" t="s">
        <v>583</v>
      </c>
      <c r="C1247" s="6">
        <v>7</v>
      </c>
      <c r="D1247">
        <f t="shared" si="19"/>
        <v>63</v>
      </c>
      <c r="G1247" s="1"/>
    </row>
    <row r="1248" spans="1:7" x14ac:dyDescent="0.25">
      <c r="A1248" s="4" t="s">
        <v>489</v>
      </c>
      <c r="B1248" s="5" t="s">
        <v>584</v>
      </c>
      <c r="C1248" s="5">
        <v>22.4588</v>
      </c>
      <c r="D1248">
        <f t="shared" si="19"/>
        <v>63</v>
      </c>
      <c r="G1248" s="1"/>
    </row>
    <row r="1249" spans="1:7" x14ac:dyDescent="0.25">
      <c r="A1249" s="3" t="s">
        <v>489</v>
      </c>
      <c r="B1249" s="6" t="s">
        <v>585</v>
      </c>
      <c r="C1249" s="6">
        <v>4</v>
      </c>
      <c r="D1249">
        <f t="shared" si="19"/>
        <v>63</v>
      </c>
      <c r="G1249" s="1"/>
    </row>
    <row r="1250" spans="1:7" x14ac:dyDescent="0.25">
      <c r="A1250" s="4" t="s">
        <v>489</v>
      </c>
      <c r="B1250" s="5" t="s">
        <v>586</v>
      </c>
      <c r="C1250" s="5">
        <v>1</v>
      </c>
      <c r="D1250">
        <f t="shared" si="19"/>
        <v>63</v>
      </c>
      <c r="G1250" s="1"/>
    </row>
    <row r="1251" spans="1:7" x14ac:dyDescent="0.25">
      <c r="A1251" s="3" t="s">
        <v>489</v>
      </c>
      <c r="B1251" s="6" t="s">
        <v>587</v>
      </c>
      <c r="C1251" s="6">
        <v>0</v>
      </c>
      <c r="D1251">
        <f t="shared" si="19"/>
        <v>63</v>
      </c>
      <c r="G1251" s="1"/>
    </row>
    <row r="1252" spans="1:7" x14ac:dyDescent="0.25">
      <c r="A1252" s="4" t="s">
        <v>489</v>
      </c>
      <c r="B1252" s="5" t="s">
        <v>588</v>
      </c>
      <c r="C1252" s="5">
        <v>77.466999999999999</v>
      </c>
      <c r="D1252">
        <f t="shared" si="19"/>
        <v>63</v>
      </c>
      <c r="G1252" s="1"/>
    </row>
    <row r="1253" spans="1:7" x14ac:dyDescent="0.25">
      <c r="A1253" s="3" t="s">
        <v>489</v>
      </c>
      <c r="B1253" s="6" t="s">
        <v>589</v>
      </c>
      <c r="C1253" s="6">
        <v>0</v>
      </c>
      <c r="D1253">
        <f t="shared" si="19"/>
        <v>63</v>
      </c>
      <c r="G1253" s="1"/>
    </row>
    <row r="1254" spans="1:7" x14ac:dyDescent="0.25">
      <c r="A1254" s="4" t="s">
        <v>489</v>
      </c>
      <c r="B1254" s="5" t="s">
        <v>590</v>
      </c>
      <c r="C1254" s="5">
        <v>1</v>
      </c>
      <c r="D1254">
        <f t="shared" si="19"/>
        <v>63</v>
      </c>
      <c r="G1254" s="1"/>
    </row>
    <row r="1255" spans="1:7" x14ac:dyDescent="0.25">
      <c r="A1255" s="3" t="s">
        <v>489</v>
      </c>
      <c r="B1255" s="6" t="s">
        <v>591</v>
      </c>
      <c r="C1255" s="6">
        <v>1</v>
      </c>
      <c r="D1255">
        <f t="shared" si="19"/>
        <v>63</v>
      </c>
      <c r="G1255" s="1"/>
    </row>
    <row r="1256" spans="1:7" x14ac:dyDescent="0.25">
      <c r="A1256" s="4" t="s">
        <v>489</v>
      </c>
      <c r="B1256" s="5" t="s">
        <v>592</v>
      </c>
      <c r="C1256" s="5">
        <v>0</v>
      </c>
      <c r="D1256">
        <f t="shared" si="19"/>
        <v>63</v>
      </c>
      <c r="G1256" s="1"/>
    </row>
    <row r="1257" spans="1:7" x14ac:dyDescent="0.25">
      <c r="A1257" s="3" t="s">
        <v>489</v>
      </c>
      <c r="B1257" s="6" t="s">
        <v>593</v>
      </c>
      <c r="C1257" s="6">
        <v>0</v>
      </c>
      <c r="D1257">
        <f t="shared" si="19"/>
        <v>63</v>
      </c>
      <c r="G1257" s="1"/>
    </row>
    <row r="1258" spans="1:7" x14ac:dyDescent="0.25">
      <c r="A1258" s="4" t="s">
        <v>490</v>
      </c>
      <c r="B1258" s="5" t="s">
        <v>574</v>
      </c>
      <c r="C1258" s="5">
        <v>7</v>
      </c>
      <c r="D1258">
        <f t="shared" si="19"/>
        <v>64</v>
      </c>
      <c r="G1258" s="1"/>
    </row>
    <row r="1259" spans="1:7" x14ac:dyDescent="0.25">
      <c r="A1259" s="3" t="s">
        <v>490</v>
      </c>
      <c r="B1259" s="6" t="s">
        <v>575</v>
      </c>
      <c r="C1259" s="6">
        <v>1</v>
      </c>
      <c r="D1259">
        <f t="shared" si="19"/>
        <v>64</v>
      </c>
      <c r="G1259" s="1"/>
    </row>
    <row r="1260" spans="1:7" x14ac:dyDescent="0.25">
      <c r="A1260" s="4" t="s">
        <v>490</v>
      </c>
      <c r="B1260" s="5" t="s">
        <v>576</v>
      </c>
      <c r="C1260" s="5">
        <v>0.5</v>
      </c>
      <c r="D1260">
        <f t="shared" si="19"/>
        <v>64</v>
      </c>
      <c r="G1260" s="1"/>
    </row>
    <row r="1261" spans="1:7" x14ac:dyDescent="0.25">
      <c r="A1261" s="3" t="s">
        <v>490</v>
      </c>
      <c r="B1261" s="6" t="s">
        <v>577</v>
      </c>
      <c r="C1261" s="6">
        <v>12</v>
      </c>
      <c r="D1261">
        <f t="shared" si="19"/>
        <v>64</v>
      </c>
      <c r="G1261" s="1"/>
    </row>
    <row r="1262" spans="1:7" x14ac:dyDescent="0.25">
      <c r="A1262" s="4" t="s">
        <v>490</v>
      </c>
      <c r="B1262" s="5" t="s">
        <v>578</v>
      </c>
      <c r="C1262" s="5">
        <v>2</v>
      </c>
      <c r="D1262">
        <f t="shared" si="19"/>
        <v>64</v>
      </c>
      <c r="G1262" s="1"/>
    </row>
    <row r="1263" spans="1:7" x14ac:dyDescent="0.25">
      <c r="A1263" s="3" t="s">
        <v>490</v>
      </c>
      <c r="B1263" s="6" t="s">
        <v>579</v>
      </c>
      <c r="C1263" s="6">
        <v>50.322600000000001</v>
      </c>
      <c r="D1263">
        <f t="shared" si="19"/>
        <v>64</v>
      </c>
      <c r="G1263" s="1"/>
    </row>
    <row r="1264" spans="1:7" x14ac:dyDescent="0.25">
      <c r="A1264" s="4" t="s">
        <v>490</v>
      </c>
      <c r="B1264" s="5" t="s">
        <v>580</v>
      </c>
      <c r="C1264" s="5">
        <v>57313.789299999997</v>
      </c>
      <c r="D1264">
        <f t="shared" si="19"/>
        <v>64</v>
      </c>
      <c r="G1264" s="1"/>
    </row>
    <row r="1265" spans="1:7" x14ac:dyDescent="0.25">
      <c r="A1265" s="3" t="s">
        <v>490</v>
      </c>
      <c r="B1265" s="6" t="s">
        <v>581</v>
      </c>
      <c r="C1265" s="6">
        <v>0.4955</v>
      </c>
      <c r="D1265">
        <f t="shared" si="19"/>
        <v>64</v>
      </c>
      <c r="G1265" s="1"/>
    </row>
    <row r="1266" spans="1:7" x14ac:dyDescent="0.25">
      <c r="A1266" s="4" t="s">
        <v>490</v>
      </c>
      <c r="B1266" s="5" t="s">
        <v>582</v>
      </c>
      <c r="C1266" s="5">
        <v>197</v>
      </c>
      <c r="D1266">
        <f t="shared" si="19"/>
        <v>64</v>
      </c>
      <c r="G1266" s="1"/>
    </row>
    <row r="1267" spans="1:7" x14ac:dyDescent="0.25">
      <c r="A1267" s="3" t="s">
        <v>490</v>
      </c>
      <c r="B1267" s="6" t="s">
        <v>583</v>
      </c>
      <c r="C1267" s="6">
        <v>55</v>
      </c>
      <c r="D1267">
        <f t="shared" si="19"/>
        <v>64</v>
      </c>
      <c r="G1267" s="1"/>
    </row>
    <row r="1268" spans="1:7" x14ac:dyDescent="0.25">
      <c r="A1268" s="4" t="s">
        <v>490</v>
      </c>
      <c r="B1268" s="5" t="s">
        <v>584</v>
      </c>
      <c r="C1268" s="5">
        <v>1138.9278999999999</v>
      </c>
      <c r="D1268">
        <f t="shared" si="19"/>
        <v>64</v>
      </c>
      <c r="G1268" s="1"/>
    </row>
    <row r="1269" spans="1:7" x14ac:dyDescent="0.25">
      <c r="A1269" s="3" t="s">
        <v>490</v>
      </c>
      <c r="B1269" s="6" t="s">
        <v>585</v>
      </c>
      <c r="C1269" s="6">
        <v>49</v>
      </c>
      <c r="D1269">
        <f t="shared" si="19"/>
        <v>64</v>
      </c>
      <c r="G1269" s="1"/>
    </row>
    <row r="1270" spans="1:7" x14ac:dyDescent="0.25">
      <c r="A1270" s="4" t="s">
        <v>490</v>
      </c>
      <c r="B1270" s="5" t="s">
        <v>586</v>
      </c>
      <c r="C1270" s="5">
        <v>0.8</v>
      </c>
      <c r="D1270">
        <f t="shared" si="19"/>
        <v>64</v>
      </c>
      <c r="G1270" s="1"/>
    </row>
    <row r="1271" spans="1:7" x14ac:dyDescent="0.25">
      <c r="A1271" s="3" t="s">
        <v>490</v>
      </c>
      <c r="B1271" s="6" t="s">
        <v>587</v>
      </c>
      <c r="C1271" s="6">
        <v>2</v>
      </c>
      <c r="D1271">
        <f t="shared" si="19"/>
        <v>64</v>
      </c>
      <c r="G1271" s="1"/>
    </row>
    <row r="1272" spans="1:7" x14ac:dyDescent="0.25">
      <c r="A1272" s="4" t="s">
        <v>490</v>
      </c>
      <c r="B1272" s="5" t="s">
        <v>588</v>
      </c>
      <c r="C1272" s="5">
        <v>41.469200000000001</v>
      </c>
      <c r="D1272">
        <f t="shared" si="19"/>
        <v>64</v>
      </c>
      <c r="G1272" s="1"/>
    </row>
    <row r="1273" spans="1:7" x14ac:dyDescent="0.25">
      <c r="A1273" s="3" t="s">
        <v>490</v>
      </c>
      <c r="B1273" s="6" t="s">
        <v>589</v>
      </c>
      <c r="C1273" s="6">
        <v>4</v>
      </c>
      <c r="D1273">
        <f t="shared" si="19"/>
        <v>64</v>
      </c>
      <c r="G1273" s="1"/>
    </row>
    <row r="1274" spans="1:7" x14ac:dyDescent="0.25">
      <c r="A1274" s="4" t="s">
        <v>490</v>
      </c>
      <c r="B1274" s="5" t="s">
        <v>590</v>
      </c>
      <c r="C1274" s="5">
        <v>7</v>
      </c>
      <c r="D1274">
        <f t="shared" si="19"/>
        <v>64</v>
      </c>
      <c r="G1274" s="1"/>
    </row>
    <row r="1275" spans="1:7" x14ac:dyDescent="0.25">
      <c r="A1275" s="3" t="s">
        <v>490</v>
      </c>
      <c r="B1275" s="6" t="s">
        <v>591</v>
      </c>
      <c r="C1275" s="6">
        <v>15</v>
      </c>
      <c r="D1275">
        <f t="shared" si="19"/>
        <v>64</v>
      </c>
      <c r="G1275" s="1"/>
    </row>
    <row r="1276" spans="1:7" x14ac:dyDescent="0.25">
      <c r="A1276" s="4" t="s">
        <v>490</v>
      </c>
      <c r="B1276" s="5" t="s">
        <v>592</v>
      </c>
      <c r="C1276" s="5">
        <v>5</v>
      </c>
      <c r="D1276">
        <f t="shared" si="19"/>
        <v>64</v>
      </c>
      <c r="G1276" s="1"/>
    </row>
    <row r="1277" spans="1:7" x14ac:dyDescent="0.25">
      <c r="A1277" s="3" t="s">
        <v>490</v>
      </c>
      <c r="B1277" s="6" t="s">
        <v>593</v>
      </c>
      <c r="C1277" s="6">
        <v>0</v>
      </c>
      <c r="D1277">
        <f t="shared" si="19"/>
        <v>64</v>
      </c>
      <c r="G1277" s="1"/>
    </row>
    <row r="1278" spans="1:7" x14ac:dyDescent="0.25">
      <c r="A1278" s="4" t="s">
        <v>439</v>
      </c>
      <c r="B1278" s="5" t="s">
        <v>574</v>
      </c>
      <c r="C1278" s="5">
        <v>0</v>
      </c>
      <c r="D1278">
        <f t="shared" si="19"/>
        <v>65</v>
      </c>
      <c r="G1278" s="1"/>
    </row>
    <row r="1279" spans="1:7" x14ac:dyDescent="0.25">
      <c r="A1279" s="3" t="s">
        <v>439</v>
      </c>
      <c r="B1279" s="6" t="s">
        <v>575</v>
      </c>
      <c r="C1279" s="6">
        <v>0</v>
      </c>
      <c r="D1279">
        <f t="shared" si="19"/>
        <v>65</v>
      </c>
      <c r="G1279" s="1"/>
    </row>
    <row r="1280" spans="1:7" x14ac:dyDescent="0.25">
      <c r="A1280" s="4" t="s">
        <v>439</v>
      </c>
      <c r="B1280" s="5" t="s">
        <v>576</v>
      </c>
      <c r="C1280" s="5">
        <v>0</v>
      </c>
      <c r="D1280">
        <f t="shared" si="19"/>
        <v>65</v>
      </c>
      <c r="G1280" s="1"/>
    </row>
    <row r="1281" spans="1:7" x14ac:dyDescent="0.25">
      <c r="A1281" s="3" t="s">
        <v>439</v>
      </c>
      <c r="B1281" s="6" t="s">
        <v>577</v>
      </c>
      <c r="C1281" s="6">
        <v>0</v>
      </c>
      <c r="D1281">
        <f t="shared" si="19"/>
        <v>65</v>
      </c>
      <c r="G1281" s="1"/>
    </row>
    <row r="1282" spans="1:7" x14ac:dyDescent="0.25">
      <c r="A1282" s="4" t="s">
        <v>439</v>
      </c>
      <c r="B1282" s="5" t="s">
        <v>579</v>
      </c>
      <c r="C1282" s="5">
        <v>0</v>
      </c>
      <c r="D1282">
        <f t="shared" si="19"/>
        <v>65</v>
      </c>
      <c r="G1282" s="1"/>
    </row>
    <row r="1283" spans="1:7" x14ac:dyDescent="0.25">
      <c r="A1283" s="3" t="s">
        <v>439</v>
      </c>
      <c r="B1283" s="6" t="s">
        <v>580</v>
      </c>
      <c r="C1283" s="6">
        <v>0</v>
      </c>
      <c r="D1283">
        <f t="shared" si="19"/>
        <v>65</v>
      </c>
      <c r="G1283" s="1"/>
    </row>
    <row r="1284" spans="1:7" x14ac:dyDescent="0.25">
      <c r="A1284" s="4" t="s">
        <v>439</v>
      </c>
      <c r="B1284" s="5" t="s">
        <v>581</v>
      </c>
      <c r="C1284" s="5">
        <v>0</v>
      </c>
      <c r="D1284">
        <f t="shared" ref="D1284:D1347" si="20">IF(B1284="CCM", D1283+1, D1283)</f>
        <v>65</v>
      </c>
      <c r="G1284" s="1"/>
    </row>
    <row r="1285" spans="1:7" x14ac:dyDescent="0.25">
      <c r="A1285" s="3" t="s">
        <v>439</v>
      </c>
      <c r="B1285" s="6" t="s">
        <v>582</v>
      </c>
      <c r="C1285" s="6">
        <v>1</v>
      </c>
      <c r="D1285">
        <f t="shared" si="20"/>
        <v>65</v>
      </c>
      <c r="G1285" s="1"/>
    </row>
    <row r="1286" spans="1:7" x14ac:dyDescent="0.25">
      <c r="A1286" s="4" t="s">
        <v>439</v>
      </c>
      <c r="B1286" s="5" t="s">
        <v>583</v>
      </c>
      <c r="C1286" s="5">
        <v>1</v>
      </c>
      <c r="D1286">
        <f t="shared" si="20"/>
        <v>65</v>
      </c>
      <c r="G1286" s="1"/>
    </row>
    <row r="1287" spans="1:7" x14ac:dyDescent="0.25">
      <c r="A1287" s="3" t="s">
        <v>439</v>
      </c>
      <c r="B1287" s="6" t="s">
        <v>584</v>
      </c>
      <c r="C1287" s="6">
        <v>0</v>
      </c>
      <c r="D1287">
        <f t="shared" si="20"/>
        <v>65</v>
      </c>
      <c r="G1287" s="1"/>
    </row>
    <row r="1288" spans="1:7" x14ac:dyDescent="0.25">
      <c r="A1288" s="4" t="s">
        <v>439</v>
      </c>
      <c r="B1288" s="5" t="s">
        <v>585</v>
      </c>
      <c r="C1288" s="5">
        <v>0</v>
      </c>
      <c r="D1288">
        <f t="shared" si="20"/>
        <v>65</v>
      </c>
      <c r="G1288" s="1"/>
    </row>
    <row r="1289" spans="1:7" x14ac:dyDescent="0.25">
      <c r="A1289" s="3" t="s">
        <v>439</v>
      </c>
      <c r="B1289" s="6" t="s">
        <v>586</v>
      </c>
      <c r="C1289" s="6">
        <v>0</v>
      </c>
      <c r="D1289">
        <f t="shared" si="20"/>
        <v>65</v>
      </c>
      <c r="G1289" s="1"/>
    </row>
    <row r="1290" spans="1:7" x14ac:dyDescent="0.25">
      <c r="A1290" s="4" t="s">
        <v>439</v>
      </c>
      <c r="B1290" s="5" t="s">
        <v>588</v>
      </c>
      <c r="C1290" s="5">
        <v>0</v>
      </c>
      <c r="D1290">
        <f t="shared" si="20"/>
        <v>65</v>
      </c>
      <c r="G1290" s="1"/>
    </row>
    <row r="1291" spans="1:7" x14ac:dyDescent="0.25">
      <c r="A1291" s="3" t="s">
        <v>439</v>
      </c>
      <c r="B1291" s="6" t="s">
        <v>589</v>
      </c>
      <c r="C1291" s="6" t="s">
        <v>246</v>
      </c>
      <c r="D1291">
        <f t="shared" si="20"/>
        <v>65</v>
      </c>
      <c r="G1291" s="1"/>
    </row>
    <row r="1292" spans="1:7" x14ac:dyDescent="0.25">
      <c r="A1292" s="4" t="s">
        <v>439</v>
      </c>
      <c r="B1292" s="5" t="s">
        <v>590</v>
      </c>
      <c r="C1292" s="5">
        <v>1</v>
      </c>
      <c r="D1292">
        <f t="shared" si="20"/>
        <v>65</v>
      </c>
      <c r="G1292" s="1"/>
    </row>
    <row r="1293" spans="1:7" x14ac:dyDescent="0.25">
      <c r="A1293" s="3" t="s">
        <v>439</v>
      </c>
      <c r="B1293" s="6" t="s">
        <v>591</v>
      </c>
      <c r="C1293" s="6" t="s">
        <v>246</v>
      </c>
      <c r="D1293">
        <f t="shared" si="20"/>
        <v>65</v>
      </c>
      <c r="G1293" s="1"/>
    </row>
    <row r="1294" spans="1:7" x14ac:dyDescent="0.25">
      <c r="A1294" s="4" t="s">
        <v>442</v>
      </c>
      <c r="B1294" s="5" t="s">
        <v>574</v>
      </c>
      <c r="C1294" s="5">
        <v>0</v>
      </c>
      <c r="D1294">
        <f t="shared" si="20"/>
        <v>66</v>
      </c>
      <c r="G1294" s="1"/>
    </row>
    <row r="1295" spans="1:7" x14ac:dyDescent="0.25">
      <c r="A1295" s="3" t="s">
        <v>442</v>
      </c>
      <c r="B1295" s="6" t="s">
        <v>575</v>
      </c>
      <c r="C1295" s="6">
        <v>0</v>
      </c>
      <c r="D1295">
        <f t="shared" si="20"/>
        <v>66</v>
      </c>
      <c r="G1295" s="1"/>
    </row>
    <row r="1296" spans="1:7" x14ac:dyDescent="0.25">
      <c r="A1296" s="4" t="s">
        <v>442</v>
      </c>
      <c r="B1296" s="5" t="s">
        <v>576</v>
      </c>
      <c r="C1296" s="5">
        <v>0</v>
      </c>
      <c r="D1296">
        <f t="shared" si="20"/>
        <v>66</v>
      </c>
      <c r="G1296" s="1"/>
    </row>
    <row r="1297" spans="1:7" x14ac:dyDescent="0.25">
      <c r="A1297" s="3" t="s">
        <v>442</v>
      </c>
      <c r="B1297" s="6" t="s">
        <v>577</v>
      </c>
      <c r="C1297" s="6">
        <v>0</v>
      </c>
      <c r="D1297">
        <f t="shared" si="20"/>
        <v>66</v>
      </c>
      <c r="G1297" s="1"/>
    </row>
    <row r="1298" spans="1:7" x14ac:dyDescent="0.25">
      <c r="A1298" s="4" t="s">
        <v>442</v>
      </c>
      <c r="B1298" s="5" t="s">
        <v>579</v>
      </c>
      <c r="C1298" s="5">
        <v>0</v>
      </c>
      <c r="D1298">
        <f t="shared" si="20"/>
        <v>66</v>
      </c>
      <c r="G1298" s="1"/>
    </row>
    <row r="1299" spans="1:7" x14ac:dyDescent="0.25">
      <c r="A1299" s="3" t="s">
        <v>442</v>
      </c>
      <c r="B1299" s="6" t="s">
        <v>580</v>
      </c>
      <c r="C1299" s="6" t="s">
        <v>627</v>
      </c>
      <c r="D1299">
        <f t="shared" si="20"/>
        <v>66</v>
      </c>
      <c r="G1299" s="1"/>
    </row>
    <row r="1300" spans="1:7" x14ac:dyDescent="0.25">
      <c r="A1300" s="4" t="s">
        <v>442</v>
      </c>
      <c r="B1300" s="5" t="s">
        <v>581</v>
      </c>
      <c r="C1300" s="5" t="s">
        <v>627</v>
      </c>
      <c r="D1300">
        <f t="shared" si="20"/>
        <v>66</v>
      </c>
      <c r="G1300" s="1"/>
    </row>
    <row r="1301" spans="1:7" x14ac:dyDescent="0.25">
      <c r="A1301" s="3" t="s">
        <v>442</v>
      </c>
      <c r="B1301" s="6" t="s">
        <v>582</v>
      </c>
      <c r="C1301" s="6">
        <v>0</v>
      </c>
      <c r="D1301">
        <f t="shared" si="20"/>
        <v>66</v>
      </c>
      <c r="G1301" s="1"/>
    </row>
    <row r="1302" spans="1:7" x14ac:dyDescent="0.25">
      <c r="A1302" s="4" t="s">
        <v>442</v>
      </c>
      <c r="B1302" s="5" t="s">
        <v>583</v>
      </c>
      <c r="C1302" s="5">
        <v>0</v>
      </c>
      <c r="D1302">
        <f t="shared" si="20"/>
        <v>66</v>
      </c>
      <c r="G1302" s="1"/>
    </row>
    <row r="1303" spans="1:7" x14ac:dyDescent="0.25">
      <c r="A1303" s="3" t="s">
        <v>442</v>
      </c>
      <c r="B1303" s="6" t="s">
        <v>584</v>
      </c>
      <c r="C1303" s="6" t="s">
        <v>627</v>
      </c>
      <c r="D1303">
        <f t="shared" si="20"/>
        <v>66</v>
      </c>
      <c r="G1303" s="1"/>
    </row>
    <row r="1304" spans="1:7" x14ac:dyDescent="0.25">
      <c r="A1304" s="4" t="s">
        <v>442</v>
      </c>
      <c r="B1304" s="5" t="s">
        <v>585</v>
      </c>
      <c r="C1304" s="5">
        <v>0</v>
      </c>
      <c r="D1304">
        <f t="shared" si="20"/>
        <v>66</v>
      </c>
      <c r="G1304" s="1"/>
    </row>
    <row r="1305" spans="1:7" x14ac:dyDescent="0.25">
      <c r="A1305" s="3" t="s">
        <v>442</v>
      </c>
      <c r="B1305" s="6" t="s">
        <v>586</v>
      </c>
      <c r="C1305" s="6">
        <v>0</v>
      </c>
      <c r="D1305">
        <f t="shared" si="20"/>
        <v>66</v>
      </c>
      <c r="G1305" s="1"/>
    </row>
    <row r="1306" spans="1:7" x14ac:dyDescent="0.25">
      <c r="A1306" s="4" t="s">
        <v>442</v>
      </c>
      <c r="B1306" s="5" t="s">
        <v>587</v>
      </c>
      <c r="C1306" s="5">
        <v>0</v>
      </c>
      <c r="D1306">
        <f t="shared" si="20"/>
        <v>66</v>
      </c>
      <c r="G1306" s="1"/>
    </row>
    <row r="1307" spans="1:7" x14ac:dyDescent="0.25">
      <c r="A1307" s="3" t="s">
        <v>442</v>
      </c>
      <c r="B1307" s="6" t="s">
        <v>588</v>
      </c>
      <c r="C1307" s="6">
        <v>0</v>
      </c>
      <c r="D1307">
        <f t="shared" si="20"/>
        <v>66</v>
      </c>
      <c r="G1307" s="1"/>
    </row>
    <row r="1308" spans="1:7" x14ac:dyDescent="0.25">
      <c r="A1308" s="4" t="s">
        <v>442</v>
      </c>
      <c r="B1308" s="5" t="s">
        <v>589</v>
      </c>
      <c r="C1308" s="5" t="s">
        <v>246</v>
      </c>
      <c r="D1308">
        <f t="shared" si="20"/>
        <v>66</v>
      </c>
      <c r="G1308" s="1"/>
    </row>
    <row r="1309" spans="1:7" x14ac:dyDescent="0.25">
      <c r="A1309" s="3" t="s">
        <v>442</v>
      </c>
      <c r="B1309" s="6" t="s">
        <v>590</v>
      </c>
      <c r="C1309" s="6">
        <v>1</v>
      </c>
      <c r="D1309">
        <f t="shared" si="20"/>
        <v>66</v>
      </c>
      <c r="G1309" s="1"/>
    </row>
    <row r="1310" spans="1:7" x14ac:dyDescent="0.25">
      <c r="A1310" s="4" t="s">
        <v>442</v>
      </c>
      <c r="B1310" s="5" t="s">
        <v>591</v>
      </c>
      <c r="C1310" s="5" t="s">
        <v>246</v>
      </c>
      <c r="D1310">
        <f t="shared" si="20"/>
        <v>66</v>
      </c>
      <c r="G1310" s="1"/>
    </row>
    <row r="1311" spans="1:7" x14ac:dyDescent="0.25">
      <c r="A1311" s="3" t="s">
        <v>442</v>
      </c>
      <c r="B1311" s="6" t="s">
        <v>592</v>
      </c>
      <c r="C1311" s="6">
        <v>0</v>
      </c>
      <c r="D1311">
        <f t="shared" si="20"/>
        <v>66</v>
      </c>
      <c r="G1311" s="1"/>
    </row>
    <row r="1312" spans="1:7" x14ac:dyDescent="0.25">
      <c r="A1312" s="4" t="s">
        <v>443</v>
      </c>
      <c r="B1312" s="5" t="s">
        <v>579</v>
      </c>
      <c r="C1312" s="5">
        <v>0</v>
      </c>
      <c r="D1312">
        <f t="shared" si="20"/>
        <v>66</v>
      </c>
      <c r="G1312" s="1"/>
    </row>
    <row r="1313" spans="1:7" x14ac:dyDescent="0.25">
      <c r="A1313" s="3" t="s">
        <v>443</v>
      </c>
      <c r="B1313" s="6" t="s">
        <v>580</v>
      </c>
      <c r="C1313" s="6" t="s">
        <v>627</v>
      </c>
      <c r="D1313">
        <f t="shared" si="20"/>
        <v>66</v>
      </c>
      <c r="G1313" s="1"/>
    </row>
    <row r="1314" spans="1:7" x14ac:dyDescent="0.25">
      <c r="A1314" s="4" t="s">
        <v>443</v>
      </c>
      <c r="B1314" s="5" t="s">
        <v>581</v>
      </c>
      <c r="C1314" s="5" t="s">
        <v>627</v>
      </c>
      <c r="D1314">
        <f t="shared" si="20"/>
        <v>66</v>
      </c>
      <c r="G1314" s="1"/>
    </row>
    <row r="1315" spans="1:7" x14ac:dyDescent="0.25">
      <c r="A1315" s="3" t="s">
        <v>443</v>
      </c>
      <c r="B1315" s="6" t="s">
        <v>582</v>
      </c>
      <c r="C1315" s="6">
        <v>0</v>
      </c>
      <c r="D1315">
        <f t="shared" si="20"/>
        <v>66</v>
      </c>
      <c r="G1315" s="1"/>
    </row>
    <row r="1316" spans="1:7" x14ac:dyDescent="0.25">
      <c r="A1316" s="4" t="s">
        <v>443</v>
      </c>
      <c r="B1316" s="5" t="s">
        <v>583</v>
      </c>
      <c r="C1316" s="5">
        <v>0</v>
      </c>
      <c r="D1316">
        <f t="shared" si="20"/>
        <v>66</v>
      </c>
      <c r="G1316" s="1"/>
    </row>
    <row r="1317" spans="1:7" x14ac:dyDescent="0.25">
      <c r="A1317" s="3" t="s">
        <v>443</v>
      </c>
      <c r="B1317" s="6" t="s">
        <v>584</v>
      </c>
      <c r="C1317" s="6" t="s">
        <v>627</v>
      </c>
      <c r="D1317">
        <f t="shared" si="20"/>
        <v>66</v>
      </c>
      <c r="G1317" s="1"/>
    </row>
    <row r="1318" spans="1:7" x14ac:dyDescent="0.25">
      <c r="A1318" s="4" t="s">
        <v>443</v>
      </c>
      <c r="B1318" s="5" t="s">
        <v>585</v>
      </c>
      <c r="C1318" s="5">
        <v>0</v>
      </c>
      <c r="D1318">
        <f t="shared" si="20"/>
        <v>66</v>
      </c>
      <c r="G1318" s="1"/>
    </row>
    <row r="1319" spans="1:7" x14ac:dyDescent="0.25">
      <c r="A1319" s="3" t="s">
        <v>443</v>
      </c>
      <c r="B1319" s="6" t="s">
        <v>586</v>
      </c>
      <c r="C1319" s="6">
        <v>0</v>
      </c>
      <c r="D1319">
        <f t="shared" si="20"/>
        <v>66</v>
      </c>
      <c r="G1319" s="1"/>
    </row>
    <row r="1320" spans="1:7" x14ac:dyDescent="0.25">
      <c r="A1320" s="4" t="s">
        <v>443</v>
      </c>
      <c r="B1320" s="5" t="s">
        <v>588</v>
      </c>
      <c r="C1320" s="5">
        <v>0</v>
      </c>
      <c r="D1320">
        <f t="shared" si="20"/>
        <v>66</v>
      </c>
      <c r="G1320" s="1"/>
    </row>
    <row r="1321" spans="1:7" x14ac:dyDescent="0.25">
      <c r="A1321" s="3" t="s">
        <v>443</v>
      </c>
      <c r="B1321" s="6" t="s">
        <v>589</v>
      </c>
      <c r="C1321" s="6" t="s">
        <v>246</v>
      </c>
      <c r="D1321">
        <f t="shared" si="20"/>
        <v>66</v>
      </c>
      <c r="G1321" s="1"/>
    </row>
    <row r="1322" spans="1:7" x14ac:dyDescent="0.25">
      <c r="A1322" s="4" t="s">
        <v>443</v>
      </c>
      <c r="B1322" s="5" t="s">
        <v>591</v>
      </c>
      <c r="C1322" s="5" t="s">
        <v>246</v>
      </c>
      <c r="D1322">
        <f t="shared" si="20"/>
        <v>66</v>
      </c>
      <c r="G1322" s="1"/>
    </row>
    <row r="1323" spans="1:7" x14ac:dyDescent="0.25">
      <c r="A1323" s="3" t="s">
        <v>444</v>
      </c>
      <c r="B1323" s="6" t="s">
        <v>574</v>
      </c>
      <c r="C1323" s="6">
        <v>0</v>
      </c>
      <c r="D1323">
        <f t="shared" si="20"/>
        <v>67</v>
      </c>
      <c r="G1323" s="1"/>
    </row>
    <row r="1324" spans="1:7" x14ac:dyDescent="0.25">
      <c r="A1324" s="4" t="s">
        <v>444</v>
      </c>
      <c r="B1324" s="5" t="s">
        <v>575</v>
      </c>
      <c r="C1324" s="5">
        <v>0</v>
      </c>
      <c r="D1324">
        <f t="shared" si="20"/>
        <v>67</v>
      </c>
      <c r="G1324" s="1"/>
    </row>
    <row r="1325" spans="1:7" x14ac:dyDescent="0.25">
      <c r="A1325" s="3" t="s">
        <v>444</v>
      </c>
      <c r="B1325" s="6" t="s">
        <v>576</v>
      </c>
      <c r="C1325" s="6">
        <v>0</v>
      </c>
      <c r="D1325">
        <f t="shared" si="20"/>
        <v>67</v>
      </c>
      <c r="G1325" s="1"/>
    </row>
    <row r="1326" spans="1:7" x14ac:dyDescent="0.25">
      <c r="A1326" s="4" t="s">
        <v>444</v>
      </c>
      <c r="B1326" s="5" t="s">
        <v>577</v>
      </c>
      <c r="C1326" s="5">
        <v>0</v>
      </c>
      <c r="D1326">
        <f t="shared" si="20"/>
        <v>67</v>
      </c>
      <c r="G1326" s="1"/>
    </row>
    <row r="1327" spans="1:7" x14ac:dyDescent="0.25">
      <c r="A1327" s="3" t="s">
        <v>444</v>
      </c>
      <c r="B1327" s="6" t="s">
        <v>579</v>
      </c>
      <c r="C1327" s="6">
        <v>0</v>
      </c>
      <c r="D1327">
        <f t="shared" si="20"/>
        <v>67</v>
      </c>
      <c r="G1327" s="1"/>
    </row>
    <row r="1328" spans="1:7" x14ac:dyDescent="0.25">
      <c r="A1328" s="4" t="s">
        <v>444</v>
      </c>
      <c r="B1328" s="5" t="s">
        <v>580</v>
      </c>
      <c r="C1328" s="5" t="s">
        <v>627</v>
      </c>
      <c r="D1328">
        <f t="shared" si="20"/>
        <v>67</v>
      </c>
      <c r="G1328" s="1"/>
    </row>
    <row r="1329" spans="1:7" x14ac:dyDescent="0.25">
      <c r="A1329" s="3" t="s">
        <v>444</v>
      </c>
      <c r="B1329" s="6" t="s">
        <v>581</v>
      </c>
      <c r="C1329" s="6" t="s">
        <v>627</v>
      </c>
      <c r="D1329">
        <f t="shared" si="20"/>
        <v>67</v>
      </c>
      <c r="G1329" s="1"/>
    </row>
    <row r="1330" spans="1:7" x14ac:dyDescent="0.25">
      <c r="A1330" s="4" t="s">
        <v>444</v>
      </c>
      <c r="B1330" s="5" t="s">
        <v>582</v>
      </c>
      <c r="C1330" s="5">
        <v>0</v>
      </c>
      <c r="D1330">
        <f t="shared" si="20"/>
        <v>67</v>
      </c>
      <c r="G1330" s="1"/>
    </row>
    <row r="1331" spans="1:7" x14ac:dyDescent="0.25">
      <c r="A1331" s="3" t="s">
        <v>444</v>
      </c>
      <c r="B1331" s="6" t="s">
        <v>583</v>
      </c>
      <c r="C1331" s="6">
        <v>0</v>
      </c>
      <c r="D1331">
        <f t="shared" si="20"/>
        <v>67</v>
      </c>
      <c r="G1331" s="1"/>
    </row>
    <row r="1332" spans="1:7" x14ac:dyDescent="0.25">
      <c r="A1332" s="4" t="s">
        <v>444</v>
      </c>
      <c r="B1332" s="5" t="s">
        <v>584</v>
      </c>
      <c r="C1332" s="5" t="s">
        <v>627</v>
      </c>
      <c r="D1332">
        <f t="shared" si="20"/>
        <v>67</v>
      </c>
      <c r="G1332" s="1"/>
    </row>
    <row r="1333" spans="1:7" x14ac:dyDescent="0.25">
      <c r="A1333" s="3" t="s">
        <v>444</v>
      </c>
      <c r="B1333" s="6" t="s">
        <v>585</v>
      </c>
      <c r="C1333" s="6">
        <v>0</v>
      </c>
      <c r="D1333">
        <f t="shared" si="20"/>
        <v>67</v>
      </c>
      <c r="G1333" s="1"/>
    </row>
    <row r="1334" spans="1:7" x14ac:dyDescent="0.25">
      <c r="A1334" s="4" t="s">
        <v>444</v>
      </c>
      <c r="B1334" s="5" t="s">
        <v>586</v>
      </c>
      <c r="C1334" s="5">
        <v>0</v>
      </c>
      <c r="D1334">
        <f t="shared" si="20"/>
        <v>67</v>
      </c>
      <c r="G1334" s="1"/>
    </row>
    <row r="1335" spans="1:7" x14ac:dyDescent="0.25">
      <c r="A1335" s="3" t="s">
        <v>444</v>
      </c>
      <c r="B1335" s="6" t="s">
        <v>587</v>
      </c>
      <c r="C1335" s="6">
        <v>0</v>
      </c>
      <c r="D1335">
        <f t="shared" si="20"/>
        <v>67</v>
      </c>
      <c r="G1335" s="1"/>
    </row>
    <row r="1336" spans="1:7" x14ac:dyDescent="0.25">
      <c r="A1336" s="4" t="s">
        <v>444</v>
      </c>
      <c r="B1336" s="5" t="s">
        <v>588</v>
      </c>
      <c r="C1336" s="5">
        <v>0</v>
      </c>
      <c r="D1336">
        <f t="shared" si="20"/>
        <v>67</v>
      </c>
      <c r="G1336" s="1"/>
    </row>
    <row r="1337" spans="1:7" x14ac:dyDescent="0.25">
      <c r="A1337" s="3" t="s">
        <v>444</v>
      </c>
      <c r="B1337" s="6" t="s">
        <v>589</v>
      </c>
      <c r="C1337" s="6" t="s">
        <v>246</v>
      </c>
      <c r="D1337">
        <f t="shared" si="20"/>
        <v>67</v>
      </c>
      <c r="G1337" s="1"/>
    </row>
    <row r="1338" spans="1:7" x14ac:dyDescent="0.25">
      <c r="A1338" s="4" t="s">
        <v>444</v>
      </c>
      <c r="B1338" s="5" t="s">
        <v>590</v>
      </c>
      <c r="C1338" s="5">
        <v>1</v>
      </c>
      <c r="D1338">
        <f t="shared" si="20"/>
        <v>67</v>
      </c>
      <c r="G1338" s="1"/>
    </row>
    <row r="1339" spans="1:7" x14ac:dyDescent="0.25">
      <c r="A1339" s="3" t="s">
        <v>444</v>
      </c>
      <c r="B1339" s="6" t="s">
        <v>591</v>
      </c>
      <c r="C1339" s="6" t="s">
        <v>246</v>
      </c>
      <c r="D1339">
        <f t="shared" si="20"/>
        <v>67</v>
      </c>
      <c r="G1339" s="1"/>
    </row>
    <row r="1340" spans="1:7" x14ac:dyDescent="0.25">
      <c r="A1340" s="4" t="s">
        <v>444</v>
      </c>
      <c r="B1340" s="5" t="s">
        <v>592</v>
      </c>
      <c r="C1340" s="5">
        <v>0</v>
      </c>
      <c r="D1340">
        <f t="shared" si="20"/>
        <v>67</v>
      </c>
      <c r="G1340" s="1"/>
    </row>
    <row r="1341" spans="1:7" x14ac:dyDescent="0.25">
      <c r="A1341" s="3" t="s">
        <v>445</v>
      </c>
      <c r="B1341" s="6" t="s">
        <v>579</v>
      </c>
      <c r="C1341" s="6">
        <v>0</v>
      </c>
      <c r="D1341">
        <f t="shared" si="20"/>
        <v>67</v>
      </c>
      <c r="G1341" s="1"/>
    </row>
    <row r="1342" spans="1:7" x14ac:dyDescent="0.25">
      <c r="A1342" s="4" t="s">
        <v>445</v>
      </c>
      <c r="B1342" s="5" t="s">
        <v>580</v>
      </c>
      <c r="C1342" s="5" t="s">
        <v>627</v>
      </c>
      <c r="D1342">
        <f t="shared" si="20"/>
        <v>67</v>
      </c>
      <c r="G1342" s="1"/>
    </row>
    <row r="1343" spans="1:7" x14ac:dyDescent="0.25">
      <c r="A1343" s="3" t="s">
        <v>445</v>
      </c>
      <c r="B1343" s="6" t="s">
        <v>581</v>
      </c>
      <c r="C1343" s="6" t="s">
        <v>627</v>
      </c>
      <c r="D1343">
        <f t="shared" si="20"/>
        <v>67</v>
      </c>
      <c r="G1343" s="1"/>
    </row>
    <row r="1344" spans="1:7" x14ac:dyDescent="0.25">
      <c r="A1344" s="4" t="s">
        <v>445</v>
      </c>
      <c r="B1344" s="5" t="s">
        <v>582</v>
      </c>
      <c r="C1344" s="5">
        <v>0</v>
      </c>
      <c r="D1344">
        <f t="shared" si="20"/>
        <v>67</v>
      </c>
      <c r="G1344" s="1"/>
    </row>
    <row r="1345" spans="1:7" x14ac:dyDescent="0.25">
      <c r="A1345" s="3" t="s">
        <v>445</v>
      </c>
      <c r="B1345" s="6" t="s">
        <v>583</v>
      </c>
      <c r="C1345" s="6">
        <v>0</v>
      </c>
      <c r="D1345">
        <f t="shared" si="20"/>
        <v>67</v>
      </c>
      <c r="G1345" s="1"/>
    </row>
    <row r="1346" spans="1:7" x14ac:dyDescent="0.25">
      <c r="A1346" s="4" t="s">
        <v>445</v>
      </c>
      <c r="B1346" s="5" t="s">
        <v>584</v>
      </c>
      <c r="C1346" s="5" t="s">
        <v>627</v>
      </c>
      <c r="D1346">
        <f t="shared" si="20"/>
        <v>67</v>
      </c>
      <c r="G1346" s="1"/>
    </row>
    <row r="1347" spans="1:7" x14ac:dyDescent="0.25">
      <c r="A1347" s="3" t="s">
        <v>445</v>
      </c>
      <c r="B1347" s="6" t="s">
        <v>585</v>
      </c>
      <c r="C1347" s="6">
        <v>0</v>
      </c>
      <c r="D1347">
        <f t="shared" si="20"/>
        <v>67</v>
      </c>
      <c r="G1347" s="1"/>
    </row>
    <row r="1348" spans="1:7" x14ac:dyDescent="0.25">
      <c r="A1348" s="4" t="s">
        <v>445</v>
      </c>
      <c r="B1348" s="5" t="s">
        <v>586</v>
      </c>
      <c r="C1348" s="5">
        <v>0</v>
      </c>
      <c r="D1348">
        <f t="shared" ref="D1348:D1411" si="21">IF(B1348="CCM", D1347+1, D1347)</f>
        <v>67</v>
      </c>
      <c r="G1348" s="1"/>
    </row>
    <row r="1349" spans="1:7" x14ac:dyDescent="0.25">
      <c r="A1349" s="3" t="s">
        <v>445</v>
      </c>
      <c r="B1349" s="6" t="s">
        <v>588</v>
      </c>
      <c r="C1349" s="6">
        <v>0</v>
      </c>
      <c r="D1349">
        <f t="shared" si="21"/>
        <v>67</v>
      </c>
      <c r="G1349" s="1"/>
    </row>
    <row r="1350" spans="1:7" x14ac:dyDescent="0.25">
      <c r="A1350" s="4" t="s">
        <v>445</v>
      </c>
      <c r="B1350" s="5" t="s">
        <v>589</v>
      </c>
      <c r="C1350" s="5" t="s">
        <v>246</v>
      </c>
      <c r="D1350">
        <f t="shared" si="21"/>
        <v>67</v>
      </c>
      <c r="G1350" s="1"/>
    </row>
    <row r="1351" spans="1:7" x14ac:dyDescent="0.25">
      <c r="A1351" s="3" t="s">
        <v>445</v>
      </c>
      <c r="B1351" s="6" t="s">
        <v>591</v>
      </c>
      <c r="C1351" s="6" t="s">
        <v>246</v>
      </c>
      <c r="D1351">
        <f t="shared" si="21"/>
        <v>67</v>
      </c>
      <c r="G1351" s="1"/>
    </row>
    <row r="1352" spans="1:7" x14ac:dyDescent="0.25">
      <c r="A1352" s="4" t="s">
        <v>450</v>
      </c>
      <c r="B1352" s="5" t="s">
        <v>576</v>
      </c>
      <c r="C1352" s="5">
        <v>0</v>
      </c>
      <c r="D1352">
        <f t="shared" si="21"/>
        <v>67</v>
      </c>
      <c r="G1352" s="1"/>
    </row>
    <row r="1353" spans="1:7" x14ac:dyDescent="0.25">
      <c r="A1353" s="3" t="s">
        <v>450</v>
      </c>
      <c r="B1353" s="6" t="s">
        <v>577</v>
      </c>
      <c r="C1353" s="6">
        <v>0</v>
      </c>
      <c r="D1353">
        <f t="shared" si="21"/>
        <v>67</v>
      </c>
      <c r="G1353" s="1"/>
    </row>
    <row r="1354" spans="1:7" x14ac:dyDescent="0.25">
      <c r="A1354" s="4" t="s">
        <v>450</v>
      </c>
      <c r="B1354" s="5" t="s">
        <v>578</v>
      </c>
      <c r="C1354" s="5">
        <v>0</v>
      </c>
      <c r="D1354">
        <f t="shared" si="21"/>
        <v>67</v>
      </c>
      <c r="G1354" s="1"/>
    </row>
    <row r="1355" spans="1:7" x14ac:dyDescent="0.25">
      <c r="A1355" s="3" t="s">
        <v>450</v>
      </c>
      <c r="B1355" s="6" t="s">
        <v>579</v>
      </c>
      <c r="C1355" s="6">
        <v>0</v>
      </c>
      <c r="D1355">
        <f t="shared" si="21"/>
        <v>67</v>
      </c>
      <c r="G1355" s="1"/>
    </row>
    <row r="1356" spans="1:7" x14ac:dyDescent="0.25">
      <c r="A1356" s="4" t="s">
        <v>450</v>
      </c>
      <c r="B1356" s="5" t="s">
        <v>580</v>
      </c>
      <c r="C1356" s="5">
        <v>0</v>
      </c>
      <c r="D1356">
        <f t="shared" si="21"/>
        <v>67</v>
      </c>
      <c r="G1356" s="1"/>
    </row>
    <row r="1357" spans="1:7" x14ac:dyDescent="0.25">
      <c r="A1357" s="3" t="s">
        <v>450</v>
      </c>
      <c r="B1357" s="6" t="s">
        <v>581</v>
      </c>
      <c r="C1357" s="6">
        <v>0</v>
      </c>
      <c r="D1357">
        <f t="shared" si="21"/>
        <v>67</v>
      </c>
      <c r="G1357" s="1"/>
    </row>
    <row r="1358" spans="1:7" x14ac:dyDescent="0.25">
      <c r="A1358" s="4" t="s">
        <v>450</v>
      </c>
      <c r="B1358" s="5" t="s">
        <v>582</v>
      </c>
      <c r="C1358" s="5">
        <v>1</v>
      </c>
      <c r="D1358">
        <f t="shared" si="21"/>
        <v>67</v>
      </c>
      <c r="G1358" s="1"/>
    </row>
    <row r="1359" spans="1:7" x14ac:dyDescent="0.25">
      <c r="A1359" s="3" t="s">
        <v>450</v>
      </c>
      <c r="B1359" s="6" t="s">
        <v>583</v>
      </c>
      <c r="C1359" s="6">
        <v>1</v>
      </c>
      <c r="D1359">
        <f t="shared" si="21"/>
        <v>67</v>
      </c>
      <c r="G1359" s="1"/>
    </row>
    <row r="1360" spans="1:7" x14ac:dyDescent="0.25">
      <c r="A1360" s="4" t="s">
        <v>450</v>
      </c>
      <c r="B1360" s="5" t="s">
        <v>584</v>
      </c>
      <c r="C1360" s="5">
        <v>0</v>
      </c>
      <c r="D1360">
        <f t="shared" si="21"/>
        <v>67</v>
      </c>
      <c r="G1360" s="1"/>
    </row>
    <row r="1361" spans="1:7" x14ac:dyDescent="0.25">
      <c r="A1361" s="3" t="s">
        <v>450</v>
      </c>
      <c r="B1361" s="6" t="s">
        <v>585</v>
      </c>
      <c r="C1361" s="6">
        <v>0</v>
      </c>
      <c r="D1361">
        <f t="shared" si="21"/>
        <v>67</v>
      </c>
      <c r="G1361" s="1"/>
    </row>
    <row r="1362" spans="1:7" x14ac:dyDescent="0.25">
      <c r="A1362" s="4" t="s">
        <v>450</v>
      </c>
      <c r="B1362" s="5" t="s">
        <v>588</v>
      </c>
      <c r="C1362" s="5">
        <v>0</v>
      </c>
      <c r="D1362">
        <f t="shared" si="21"/>
        <v>67</v>
      </c>
      <c r="G1362" s="1"/>
    </row>
    <row r="1363" spans="1:7" x14ac:dyDescent="0.25">
      <c r="A1363" s="3" t="s">
        <v>450</v>
      </c>
      <c r="B1363" s="6" t="s">
        <v>589</v>
      </c>
      <c r="C1363" s="6" t="s">
        <v>246</v>
      </c>
      <c r="D1363">
        <f t="shared" si="21"/>
        <v>67</v>
      </c>
      <c r="G1363" s="1"/>
    </row>
    <row r="1364" spans="1:7" x14ac:dyDescent="0.25">
      <c r="A1364" s="4" t="s">
        <v>450</v>
      </c>
      <c r="B1364" s="5" t="s">
        <v>591</v>
      </c>
      <c r="C1364" s="5" t="s">
        <v>246</v>
      </c>
      <c r="D1364">
        <f t="shared" si="21"/>
        <v>67</v>
      </c>
      <c r="G1364" s="1"/>
    </row>
    <row r="1365" spans="1:7" x14ac:dyDescent="0.25">
      <c r="A1365" s="3" t="s">
        <v>451</v>
      </c>
      <c r="B1365" s="6" t="s">
        <v>574</v>
      </c>
      <c r="C1365" s="6">
        <v>0</v>
      </c>
      <c r="D1365">
        <f t="shared" si="21"/>
        <v>68</v>
      </c>
      <c r="G1365" s="1"/>
    </row>
    <row r="1366" spans="1:7" x14ac:dyDescent="0.25">
      <c r="A1366" s="4" t="s">
        <v>451</v>
      </c>
      <c r="B1366" s="5" t="s">
        <v>575</v>
      </c>
      <c r="C1366" s="5">
        <v>0</v>
      </c>
      <c r="D1366">
        <f t="shared" si="21"/>
        <v>68</v>
      </c>
      <c r="G1366" s="1"/>
    </row>
    <row r="1367" spans="1:7" x14ac:dyDescent="0.25">
      <c r="A1367" s="3" t="s">
        <v>451</v>
      </c>
      <c r="B1367" s="6" t="s">
        <v>576</v>
      </c>
      <c r="C1367" s="6">
        <v>0</v>
      </c>
      <c r="D1367">
        <f t="shared" si="21"/>
        <v>68</v>
      </c>
      <c r="G1367" s="1"/>
    </row>
    <row r="1368" spans="1:7" x14ac:dyDescent="0.25">
      <c r="A1368" s="4" t="s">
        <v>451</v>
      </c>
      <c r="B1368" s="5" t="s">
        <v>577</v>
      </c>
      <c r="C1368" s="5">
        <v>0</v>
      </c>
      <c r="D1368">
        <f t="shared" si="21"/>
        <v>68</v>
      </c>
      <c r="G1368" s="1"/>
    </row>
    <row r="1369" spans="1:7" x14ac:dyDescent="0.25">
      <c r="A1369" s="3" t="s">
        <v>451</v>
      </c>
      <c r="B1369" s="6" t="s">
        <v>579</v>
      </c>
      <c r="C1369" s="6">
        <v>0</v>
      </c>
      <c r="D1369">
        <f t="shared" si="21"/>
        <v>68</v>
      </c>
      <c r="G1369" s="1"/>
    </row>
    <row r="1370" spans="1:7" x14ac:dyDescent="0.25">
      <c r="A1370" s="4" t="s">
        <v>451</v>
      </c>
      <c r="B1370" s="5" t="s">
        <v>580</v>
      </c>
      <c r="C1370" s="5" t="s">
        <v>627</v>
      </c>
      <c r="D1370">
        <f t="shared" si="21"/>
        <v>68</v>
      </c>
      <c r="G1370" s="1"/>
    </row>
    <row r="1371" spans="1:7" x14ac:dyDescent="0.25">
      <c r="A1371" s="3" t="s">
        <v>451</v>
      </c>
      <c r="B1371" s="6" t="s">
        <v>581</v>
      </c>
      <c r="C1371" s="6" t="s">
        <v>627</v>
      </c>
      <c r="D1371">
        <f t="shared" si="21"/>
        <v>68</v>
      </c>
      <c r="G1371" s="1"/>
    </row>
    <row r="1372" spans="1:7" x14ac:dyDescent="0.25">
      <c r="A1372" s="4" t="s">
        <v>451</v>
      </c>
      <c r="B1372" s="5" t="s">
        <v>582</v>
      </c>
      <c r="C1372" s="5">
        <v>0</v>
      </c>
      <c r="D1372">
        <f t="shared" si="21"/>
        <v>68</v>
      </c>
      <c r="G1372" s="1"/>
    </row>
    <row r="1373" spans="1:7" x14ac:dyDescent="0.25">
      <c r="A1373" s="3" t="s">
        <v>451</v>
      </c>
      <c r="B1373" s="6" t="s">
        <v>583</v>
      </c>
      <c r="C1373" s="6">
        <v>0</v>
      </c>
      <c r="D1373">
        <f t="shared" si="21"/>
        <v>68</v>
      </c>
      <c r="G1373" s="1"/>
    </row>
    <row r="1374" spans="1:7" x14ac:dyDescent="0.25">
      <c r="A1374" s="4" t="s">
        <v>451</v>
      </c>
      <c r="B1374" s="5" t="s">
        <v>584</v>
      </c>
      <c r="C1374" s="5" t="s">
        <v>627</v>
      </c>
      <c r="D1374">
        <f t="shared" si="21"/>
        <v>68</v>
      </c>
      <c r="G1374" s="1"/>
    </row>
    <row r="1375" spans="1:7" x14ac:dyDescent="0.25">
      <c r="A1375" s="3" t="s">
        <v>451</v>
      </c>
      <c r="B1375" s="6" t="s">
        <v>585</v>
      </c>
      <c r="C1375" s="6">
        <v>0</v>
      </c>
      <c r="D1375">
        <f t="shared" si="21"/>
        <v>68</v>
      </c>
      <c r="G1375" s="1"/>
    </row>
    <row r="1376" spans="1:7" x14ac:dyDescent="0.25">
      <c r="A1376" s="4" t="s">
        <v>451</v>
      </c>
      <c r="B1376" s="5" t="s">
        <v>586</v>
      </c>
      <c r="C1376" s="5">
        <v>0</v>
      </c>
      <c r="D1376">
        <f t="shared" si="21"/>
        <v>68</v>
      </c>
      <c r="G1376" s="1"/>
    </row>
    <row r="1377" spans="1:7" x14ac:dyDescent="0.25">
      <c r="A1377" s="3" t="s">
        <v>451</v>
      </c>
      <c r="B1377" s="6" t="s">
        <v>587</v>
      </c>
      <c r="C1377" s="6">
        <v>0</v>
      </c>
      <c r="D1377">
        <f t="shared" si="21"/>
        <v>68</v>
      </c>
      <c r="G1377" s="1"/>
    </row>
    <row r="1378" spans="1:7" x14ac:dyDescent="0.25">
      <c r="A1378" s="4" t="s">
        <v>451</v>
      </c>
      <c r="B1378" s="5" t="s">
        <v>588</v>
      </c>
      <c r="C1378" s="5">
        <v>0</v>
      </c>
      <c r="D1378">
        <f t="shared" si="21"/>
        <v>68</v>
      </c>
      <c r="G1378" s="1"/>
    </row>
    <row r="1379" spans="1:7" x14ac:dyDescent="0.25">
      <c r="A1379" s="3" t="s">
        <v>451</v>
      </c>
      <c r="B1379" s="6" t="s">
        <v>589</v>
      </c>
      <c r="C1379" s="6" t="s">
        <v>246</v>
      </c>
      <c r="D1379">
        <f t="shared" si="21"/>
        <v>68</v>
      </c>
      <c r="G1379" s="1"/>
    </row>
    <row r="1380" spans="1:7" x14ac:dyDescent="0.25">
      <c r="A1380" s="4" t="s">
        <v>451</v>
      </c>
      <c r="B1380" s="5" t="s">
        <v>590</v>
      </c>
      <c r="C1380" s="5">
        <v>1</v>
      </c>
      <c r="D1380">
        <f t="shared" si="21"/>
        <v>68</v>
      </c>
      <c r="G1380" s="1"/>
    </row>
    <row r="1381" spans="1:7" x14ac:dyDescent="0.25">
      <c r="A1381" s="3" t="s">
        <v>451</v>
      </c>
      <c r="B1381" s="6" t="s">
        <v>591</v>
      </c>
      <c r="C1381" s="6" t="s">
        <v>246</v>
      </c>
      <c r="D1381">
        <f t="shared" si="21"/>
        <v>68</v>
      </c>
      <c r="G1381" s="1"/>
    </row>
    <row r="1382" spans="1:7" x14ac:dyDescent="0.25">
      <c r="A1382" s="4" t="s">
        <v>451</v>
      </c>
      <c r="B1382" s="5" t="s">
        <v>592</v>
      </c>
      <c r="C1382" s="5">
        <v>0</v>
      </c>
      <c r="D1382">
        <f t="shared" si="21"/>
        <v>68</v>
      </c>
      <c r="G1382" s="1"/>
    </row>
    <row r="1383" spans="1:7" x14ac:dyDescent="0.25">
      <c r="A1383" s="3" t="s">
        <v>459</v>
      </c>
      <c r="B1383" s="6" t="s">
        <v>574</v>
      </c>
      <c r="C1383" s="6">
        <v>0</v>
      </c>
      <c r="D1383">
        <f t="shared" si="21"/>
        <v>69</v>
      </c>
      <c r="G1383" s="1"/>
    </row>
    <row r="1384" spans="1:7" x14ac:dyDescent="0.25">
      <c r="A1384" s="4" t="s">
        <v>459</v>
      </c>
      <c r="B1384" s="5" t="s">
        <v>575</v>
      </c>
      <c r="C1384" s="5">
        <v>0</v>
      </c>
      <c r="D1384">
        <f t="shared" si="21"/>
        <v>69</v>
      </c>
      <c r="G1384" s="1"/>
    </row>
    <row r="1385" spans="1:7" x14ac:dyDescent="0.25">
      <c r="A1385" s="3" t="s">
        <v>459</v>
      </c>
      <c r="B1385" s="6" t="s">
        <v>576</v>
      </c>
      <c r="C1385" s="6">
        <v>0</v>
      </c>
      <c r="D1385">
        <f t="shared" si="21"/>
        <v>69</v>
      </c>
      <c r="G1385" s="1"/>
    </row>
    <row r="1386" spans="1:7" x14ac:dyDescent="0.25">
      <c r="A1386" s="4" t="s">
        <v>459</v>
      </c>
      <c r="B1386" s="5" t="s">
        <v>577</v>
      </c>
      <c r="C1386" s="5">
        <v>0</v>
      </c>
      <c r="D1386">
        <f t="shared" si="21"/>
        <v>69</v>
      </c>
      <c r="G1386" s="1"/>
    </row>
    <row r="1387" spans="1:7" x14ac:dyDescent="0.25">
      <c r="A1387" s="3" t="s">
        <v>459</v>
      </c>
      <c r="B1387" s="6" t="s">
        <v>579</v>
      </c>
      <c r="C1387" s="6">
        <v>0</v>
      </c>
      <c r="D1387">
        <f t="shared" si="21"/>
        <v>69</v>
      </c>
      <c r="G1387" s="1"/>
    </row>
    <row r="1388" spans="1:7" x14ac:dyDescent="0.25">
      <c r="A1388" s="4" t="s">
        <v>459</v>
      </c>
      <c r="B1388" s="5" t="s">
        <v>580</v>
      </c>
      <c r="C1388" s="5">
        <v>0</v>
      </c>
      <c r="D1388">
        <f t="shared" si="21"/>
        <v>69</v>
      </c>
      <c r="G1388" s="1"/>
    </row>
    <row r="1389" spans="1:7" x14ac:dyDescent="0.25">
      <c r="A1389" s="3" t="s">
        <v>459</v>
      </c>
      <c r="B1389" s="6" t="s">
        <v>581</v>
      </c>
      <c r="C1389" s="6">
        <v>0</v>
      </c>
      <c r="D1389">
        <f t="shared" si="21"/>
        <v>69</v>
      </c>
      <c r="G1389" s="1"/>
    </row>
    <row r="1390" spans="1:7" x14ac:dyDescent="0.25">
      <c r="A1390" s="4" t="s">
        <v>459</v>
      </c>
      <c r="B1390" s="5" t="s">
        <v>582</v>
      </c>
      <c r="C1390" s="5">
        <v>1</v>
      </c>
      <c r="D1390">
        <f t="shared" si="21"/>
        <v>69</v>
      </c>
      <c r="G1390" s="1"/>
    </row>
    <row r="1391" spans="1:7" x14ac:dyDescent="0.25">
      <c r="A1391" s="3" t="s">
        <v>459</v>
      </c>
      <c r="B1391" s="6" t="s">
        <v>583</v>
      </c>
      <c r="C1391" s="6">
        <v>1</v>
      </c>
      <c r="D1391">
        <f t="shared" si="21"/>
        <v>69</v>
      </c>
      <c r="G1391" s="1"/>
    </row>
    <row r="1392" spans="1:7" x14ac:dyDescent="0.25">
      <c r="A1392" s="4" t="s">
        <v>459</v>
      </c>
      <c r="B1392" s="5" t="s">
        <v>584</v>
      </c>
      <c r="C1392" s="5">
        <v>0</v>
      </c>
      <c r="D1392">
        <f t="shared" si="21"/>
        <v>69</v>
      </c>
      <c r="G1392" s="1"/>
    </row>
    <row r="1393" spans="1:7" x14ac:dyDescent="0.25">
      <c r="A1393" s="3" t="s">
        <v>459</v>
      </c>
      <c r="B1393" s="6" t="s">
        <v>585</v>
      </c>
      <c r="C1393" s="6">
        <v>0</v>
      </c>
      <c r="D1393">
        <f t="shared" si="21"/>
        <v>69</v>
      </c>
      <c r="G1393" s="1"/>
    </row>
    <row r="1394" spans="1:7" x14ac:dyDescent="0.25">
      <c r="A1394" s="4" t="s">
        <v>459</v>
      </c>
      <c r="B1394" s="5" t="s">
        <v>586</v>
      </c>
      <c r="C1394" s="5">
        <v>0</v>
      </c>
      <c r="D1394">
        <f t="shared" si="21"/>
        <v>69</v>
      </c>
      <c r="G1394" s="1"/>
    </row>
    <row r="1395" spans="1:7" x14ac:dyDescent="0.25">
      <c r="A1395" s="3" t="s">
        <v>459</v>
      </c>
      <c r="B1395" s="6" t="s">
        <v>587</v>
      </c>
      <c r="C1395" s="6">
        <v>0</v>
      </c>
      <c r="D1395">
        <f t="shared" si="21"/>
        <v>69</v>
      </c>
      <c r="G1395" s="1"/>
    </row>
    <row r="1396" spans="1:7" x14ac:dyDescent="0.25">
      <c r="A1396" s="4" t="s">
        <v>459</v>
      </c>
      <c r="B1396" s="5" t="s">
        <v>588</v>
      </c>
      <c r="C1396" s="5">
        <v>0</v>
      </c>
      <c r="D1396">
        <f t="shared" si="21"/>
        <v>69</v>
      </c>
      <c r="G1396" s="1"/>
    </row>
    <row r="1397" spans="1:7" x14ac:dyDescent="0.25">
      <c r="A1397" s="3" t="s">
        <v>459</v>
      </c>
      <c r="B1397" s="6" t="s">
        <v>589</v>
      </c>
      <c r="C1397" s="6" t="s">
        <v>246</v>
      </c>
      <c r="D1397">
        <f t="shared" si="21"/>
        <v>69</v>
      </c>
      <c r="G1397" s="1"/>
    </row>
    <row r="1398" spans="1:7" x14ac:dyDescent="0.25">
      <c r="A1398" s="4" t="s">
        <v>459</v>
      </c>
      <c r="B1398" s="5" t="s">
        <v>590</v>
      </c>
      <c r="C1398" s="5">
        <v>1</v>
      </c>
      <c r="D1398">
        <f t="shared" si="21"/>
        <v>69</v>
      </c>
      <c r="G1398" s="1"/>
    </row>
    <row r="1399" spans="1:7" x14ac:dyDescent="0.25">
      <c r="A1399" s="3" t="s">
        <v>459</v>
      </c>
      <c r="B1399" s="6" t="s">
        <v>591</v>
      </c>
      <c r="C1399" s="6" t="s">
        <v>246</v>
      </c>
      <c r="D1399">
        <f t="shared" si="21"/>
        <v>69</v>
      </c>
      <c r="G1399" s="1"/>
    </row>
    <row r="1400" spans="1:7" x14ac:dyDescent="0.25">
      <c r="A1400" s="4" t="s">
        <v>459</v>
      </c>
      <c r="B1400" s="5" t="s">
        <v>592</v>
      </c>
      <c r="C1400" s="5">
        <v>0</v>
      </c>
      <c r="D1400">
        <f t="shared" si="21"/>
        <v>69</v>
      </c>
      <c r="G1400" s="1"/>
    </row>
    <row r="1401" spans="1:7" x14ac:dyDescent="0.25">
      <c r="A1401" s="3" t="s">
        <v>460</v>
      </c>
      <c r="B1401" s="6" t="s">
        <v>574</v>
      </c>
      <c r="C1401" s="6">
        <v>0</v>
      </c>
      <c r="D1401">
        <f t="shared" si="21"/>
        <v>70</v>
      </c>
      <c r="G1401" s="1"/>
    </row>
    <row r="1402" spans="1:7" x14ac:dyDescent="0.25">
      <c r="A1402" s="4" t="s">
        <v>460</v>
      </c>
      <c r="B1402" s="5" t="s">
        <v>575</v>
      </c>
      <c r="C1402" s="5">
        <v>0</v>
      </c>
      <c r="D1402">
        <f t="shared" si="21"/>
        <v>70</v>
      </c>
      <c r="G1402" s="1"/>
    </row>
    <row r="1403" spans="1:7" x14ac:dyDescent="0.25">
      <c r="A1403" s="3" t="s">
        <v>460</v>
      </c>
      <c r="B1403" s="6" t="s">
        <v>576</v>
      </c>
      <c r="C1403" s="6">
        <v>0</v>
      </c>
      <c r="D1403">
        <f t="shared" si="21"/>
        <v>70</v>
      </c>
      <c r="G1403" s="1"/>
    </row>
    <row r="1404" spans="1:7" x14ac:dyDescent="0.25">
      <c r="A1404" s="4" t="s">
        <v>460</v>
      </c>
      <c r="B1404" s="5" t="s">
        <v>577</v>
      </c>
      <c r="C1404" s="5">
        <v>0</v>
      </c>
      <c r="D1404">
        <f t="shared" si="21"/>
        <v>70</v>
      </c>
      <c r="G1404" s="1"/>
    </row>
    <row r="1405" spans="1:7" x14ac:dyDescent="0.25">
      <c r="A1405" s="3" t="s">
        <v>460</v>
      </c>
      <c r="B1405" s="6" t="s">
        <v>579</v>
      </c>
      <c r="C1405" s="6">
        <v>0</v>
      </c>
      <c r="D1405">
        <f t="shared" si="21"/>
        <v>70</v>
      </c>
      <c r="G1405" s="1"/>
    </row>
    <row r="1406" spans="1:7" x14ac:dyDescent="0.25">
      <c r="A1406" s="4" t="s">
        <v>460</v>
      </c>
      <c r="B1406" s="5" t="s">
        <v>580</v>
      </c>
      <c r="C1406" s="5">
        <v>0</v>
      </c>
      <c r="D1406">
        <f t="shared" si="21"/>
        <v>70</v>
      </c>
      <c r="G1406" s="1"/>
    </row>
    <row r="1407" spans="1:7" x14ac:dyDescent="0.25">
      <c r="A1407" s="3" t="s">
        <v>460</v>
      </c>
      <c r="B1407" s="6" t="s">
        <v>581</v>
      </c>
      <c r="C1407" s="6">
        <v>0</v>
      </c>
      <c r="D1407">
        <f t="shared" si="21"/>
        <v>70</v>
      </c>
      <c r="G1407" s="1"/>
    </row>
    <row r="1408" spans="1:7" x14ac:dyDescent="0.25">
      <c r="A1408" s="4" t="s">
        <v>460</v>
      </c>
      <c r="B1408" s="5" t="s">
        <v>582</v>
      </c>
      <c r="C1408" s="5">
        <v>1</v>
      </c>
      <c r="D1408">
        <f t="shared" si="21"/>
        <v>70</v>
      </c>
      <c r="G1408" s="1"/>
    </row>
    <row r="1409" spans="1:7" x14ac:dyDescent="0.25">
      <c r="A1409" s="3" t="s">
        <v>460</v>
      </c>
      <c r="B1409" s="6" t="s">
        <v>583</v>
      </c>
      <c r="C1409" s="6">
        <v>1</v>
      </c>
      <c r="D1409">
        <f t="shared" si="21"/>
        <v>70</v>
      </c>
      <c r="G1409" s="1"/>
    </row>
    <row r="1410" spans="1:7" x14ac:dyDescent="0.25">
      <c r="A1410" s="4" t="s">
        <v>460</v>
      </c>
      <c r="B1410" s="5" t="s">
        <v>584</v>
      </c>
      <c r="C1410" s="5">
        <v>0</v>
      </c>
      <c r="D1410">
        <f t="shared" si="21"/>
        <v>70</v>
      </c>
      <c r="G1410" s="1"/>
    </row>
    <row r="1411" spans="1:7" x14ac:dyDescent="0.25">
      <c r="A1411" s="3" t="s">
        <v>460</v>
      </c>
      <c r="B1411" s="6" t="s">
        <v>585</v>
      </c>
      <c r="C1411" s="6">
        <v>0</v>
      </c>
      <c r="D1411">
        <f t="shared" si="21"/>
        <v>70</v>
      </c>
      <c r="G1411" s="1"/>
    </row>
    <row r="1412" spans="1:7" x14ac:dyDescent="0.25">
      <c r="A1412" s="4" t="s">
        <v>460</v>
      </c>
      <c r="B1412" s="5" t="s">
        <v>586</v>
      </c>
      <c r="C1412" s="5">
        <v>0</v>
      </c>
      <c r="D1412">
        <f t="shared" ref="D1412:D1475" si="22">IF(B1412="CCM", D1411+1, D1411)</f>
        <v>70</v>
      </c>
      <c r="G1412" s="1"/>
    </row>
    <row r="1413" spans="1:7" x14ac:dyDescent="0.25">
      <c r="A1413" s="3" t="s">
        <v>460</v>
      </c>
      <c r="B1413" s="6" t="s">
        <v>588</v>
      </c>
      <c r="C1413" s="6">
        <v>0</v>
      </c>
      <c r="D1413">
        <f t="shared" si="22"/>
        <v>70</v>
      </c>
      <c r="G1413" s="1"/>
    </row>
    <row r="1414" spans="1:7" x14ac:dyDescent="0.25">
      <c r="A1414" s="4" t="s">
        <v>460</v>
      </c>
      <c r="B1414" s="5" t="s">
        <v>589</v>
      </c>
      <c r="C1414" s="5" t="s">
        <v>246</v>
      </c>
      <c r="D1414">
        <f t="shared" si="22"/>
        <v>70</v>
      </c>
      <c r="G1414" s="1"/>
    </row>
    <row r="1415" spans="1:7" x14ac:dyDescent="0.25">
      <c r="A1415" s="3" t="s">
        <v>460</v>
      </c>
      <c r="B1415" s="6" t="s">
        <v>590</v>
      </c>
      <c r="C1415" s="6">
        <v>1</v>
      </c>
      <c r="D1415">
        <f t="shared" si="22"/>
        <v>70</v>
      </c>
      <c r="G1415" s="1"/>
    </row>
    <row r="1416" spans="1:7" x14ac:dyDescent="0.25">
      <c r="A1416" s="4" t="s">
        <v>460</v>
      </c>
      <c r="B1416" s="5" t="s">
        <v>591</v>
      </c>
      <c r="C1416" s="5" t="s">
        <v>246</v>
      </c>
      <c r="D1416">
        <f t="shared" si="22"/>
        <v>70</v>
      </c>
      <c r="G1416" s="1"/>
    </row>
    <row r="1417" spans="1:7" x14ac:dyDescent="0.25">
      <c r="A1417" s="3" t="s">
        <v>461</v>
      </c>
      <c r="B1417" s="6" t="s">
        <v>579</v>
      </c>
      <c r="C1417" s="6">
        <v>0</v>
      </c>
      <c r="D1417">
        <f t="shared" si="22"/>
        <v>70</v>
      </c>
      <c r="G1417" s="1"/>
    </row>
    <row r="1418" spans="1:7" x14ac:dyDescent="0.25">
      <c r="A1418" s="4" t="s">
        <v>461</v>
      </c>
      <c r="B1418" s="5" t="s">
        <v>580</v>
      </c>
      <c r="C1418" s="5" t="s">
        <v>627</v>
      </c>
      <c r="D1418">
        <f t="shared" si="22"/>
        <v>70</v>
      </c>
      <c r="G1418" s="1"/>
    </row>
    <row r="1419" spans="1:7" x14ac:dyDescent="0.25">
      <c r="A1419" s="3" t="s">
        <v>461</v>
      </c>
      <c r="B1419" s="6" t="s">
        <v>581</v>
      </c>
      <c r="C1419" s="6" t="s">
        <v>627</v>
      </c>
      <c r="D1419">
        <f t="shared" si="22"/>
        <v>70</v>
      </c>
      <c r="G1419" s="1"/>
    </row>
    <row r="1420" spans="1:7" x14ac:dyDescent="0.25">
      <c r="A1420" s="4" t="s">
        <v>461</v>
      </c>
      <c r="B1420" s="5" t="s">
        <v>582</v>
      </c>
      <c r="C1420" s="5">
        <v>0</v>
      </c>
      <c r="D1420">
        <f t="shared" si="22"/>
        <v>70</v>
      </c>
      <c r="G1420" s="1"/>
    </row>
    <row r="1421" spans="1:7" x14ac:dyDescent="0.25">
      <c r="A1421" s="3" t="s">
        <v>461</v>
      </c>
      <c r="B1421" s="6" t="s">
        <v>583</v>
      </c>
      <c r="C1421" s="6">
        <v>0</v>
      </c>
      <c r="D1421">
        <f t="shared" si="22"/>
        <v>70</v>
      </c>
      <c r="G1421" s="1"/>
    </row>
    <row r="1422" spans="1:7" x14ac:dyDescent="0.25">
      <c r="A1422" s="4" t="s">
        <v>461</v>
      </c>
      <c r="B1422" s="5" t="s">
        <v>584</v>
      </c>
      <c r="C1422" s="5" t="s">
        <v>627</v>
      </c>
      <c r="D1422">
        <f t="shared" si="22"/>
        <v>70</v>
      </c>
      <c r="G1422" s="1"/>
    </row>
    <row r="1423" spans="1:7" x14ac:dyDescent="0.25">
      <c r="A1423" s="3" t="s">
        <v>461</v>
      </c>
      <c r="B1423" s="6" t="s">
        <v>585</v>
      </c>
      <c r="C1423" s="6">
        <v>0</v>
      </c>
      <c r="D1423">
        <f t="shared" si="22"/>
        <v>70</v>
      </c>
      <c r="G1423" s="1"/>
    </row>
    <row r="1424" spans="1:7" x14ac:dyDescent="0.25">
      <c r="A1424" s="4" t="s">
        <v>461</v>
      </c>
      <c r="B1424" s="5" t="s">
        <v>586</v>
      </c>
      <c r="C1424" s="5">
        <v>0</v>
      </c>
      <c r="D1424">
        <f t="shared" si="22"/>
        <v>70</v>
      </c>
      <c r="G1424" s="1"/>
    </row>
    <row r="1425" spans="1:7" x14ac:dyDescent="0.25">
      <c r="A1425" s="3" t="s">
        <v>461</v>
      </c>
      <c r="B1425" s="6" t="s">
        <v>588</v>
      </c>
      <c r="C1425" s="6">
        <v>0</v>
      </c>
      <c r="D1425">
        <f t="shared" si="22"/>
        <v>70</v>
      </c>
      <c r="G1425" s="1"/>
    </row>
    <row r="1426" spans="1:7" x14ac:dyDescent="0.25">
      <c r="A1426" s="4" t="s">
        <v>461</v>
      </c>
      <c r="B1426" s="5" t="s">
        <v>589</v>
      </c>
      <c r="C1426" s="5" t="s">
        <v>246</v>
      </c>
      <c r="D1426">
        <f t="shared" si="22"/>
        <v>70</v>
      </c>
      <c r="G1426" s="1"/>
    </row>
    <row r="1427" spans="1:7" x14ac:dyDescent="0.25">
      <c r="A1427" s="3" t="s">
        <v>461</v>
      </c>
      <c r="B1427" s="6" t="s">
        <v>591</v>
      </c>
      <c r="C1427" s="6" t="s">
        <v>246</v>
      </c>
      <c r="D1427">
        <f t="shared" si="22"/>
        <v>70</v>
      </c>
      <c r="G1427" s="1"/>
    </row>
    <row r="1428" spans="1:7" x14ac:dyDescent="0.25">
      <c r="A1428" s="4" t="s">
        <v>462</v>
      </c>
      <c r="B1428" s="5" t="s">
        <v>579</v>
      </c>
      <c r="C1428" s="5">
        <v>0</v>
      </c>
      <c r="D1428">
        <f t="shared" si="22"/>
        <v>70</v>
      </c>
      <c r="G1428" s="1"/>
    </row>
    <row r="1429" spans="1:7" x14ac:dyDescent="0.25">
      <c r="A1429" s="3" t="s">
        <v>462</v>
      </c>
      <c r="B1429" s="6" t="s">
        <v>580</v>
      </c>
      <c r="C1429" s="6" t="s">
        <v>627</v>
      </c>
      <c r="D1429">
        <f t="shared" si="22"/>
        <v>70</v>
      </c>
      <c r="G1429" s="1"/>
    </row>
    <row r="1430" spans="1:7" x14ac:dyDescent="0.25">
      <c r="A1430" s="4" t="s">
        <v>462</v>
      </c>
      <c r="B1430" s="5" t="s">
        <v>581</v>
      </c>
      <c r="C1430" s="5" t="s">
        <v>627</v>
      </c>
      <c r="D1430">
        <f t="shared" si="22"/>
        <v>70</v>
      </c>
      <c r="G1430" s="1"/>
    </row>
    <row r="1431" spans="1:7" x14ac:dyDescent="0.25">
      <c r="A1431" s="3" t="s">
        <v>462</v>
      </c>
      <c r="B1431" s="6" t="s">
        <v>582</v>
      </c>
      <c r="C1431" s="6">
        <v>0</v>
      </c>
      <c r="D1431">
        <f t="shared" si="22"/>
        <v>70</v>
      </c>
      <c r="G1431" s="1"/>
    </row>
    <row r="1432" spans="1:7" x14ac:dyDescent="0.25">
      <c r="A1432" s="4" t="s">
        <v>462</v>
      </c>
      <c r="B1432" s="5" t="s">
        <v>583</v>
      </c>
      <c r="C1432" s="5">
        <v>0</v>
      </c>
      <c r="D1432">
        <f t="shared" si="22"/>
        <v>70</v>
      </c>
      <c r="G1432" s="1"/>
    </row>
    <row r="1433" spans="1:7" x14ac:dyDescent="0.25">
      <c r="A1433" s="3" t="s">
        <v>462</v>
      </c>
      <c r="B1433" s="6" t="s">
        <v>584</v>
      </c>
      <c r="C1433" s="6" t="s">
        <v>627</v>
      </c>
      <c r="D1433">
        <f t="shared" si="22"/>
        <v>70</v>
      </c>
      <c r="G1433" s="1"/>
    </row>
    <row r="1434" spans="1:7" x14ac:dyDescent="0.25">
      <c r="A1434" s="4" t="s">
        <v>462</v>
      </c>
      <c r="B1434" s="5" t="s">
        <v>585</v>
      </c>
      <c r="C1434" s="5">
        <v>0</v>
      </c>
      <c r="D1434">
        <f t="shared" si="22"/>
        <v>70</v>
      </c>
      <c r="G1434" s="1"/>
    </row>
    <row r="1435" spans="1:7" x14ac:dyDescent="0.25">
      <c r="A1435" s="3" t="s">
        <v>462</v>
      </c>
      <c r="B1435" s="6" t="s">
        <v>586</v>
      </c>
      <c r="C1435" s="6">
        <v>0</v>
      </c>
      <c r="D1435">
        <f t="shared" si="22"/>
        <v>70</v>
      </c>
      <c r="G1435" s="1"/>
    </row>
    <row r="1436" spans="1:7" x14ac:dyDescent="0.25">
      <c r="A1436" s="4" t="s">
        <v>462</v>
      </c>
      <c r="B1436" s="5" t="s">
        <v>588</v>
      </c>
      <c r="C1436" s="5">
        <v>0</v>
      </c>
      <c r="D1436">
        <f t="shared" si="22"/>
        <v>70</v>
      </c>
      <c r="G1436" s="1"/>
    </row>
    <row r="1437" spans="1:7" x14ac:dyDescent="0.25">
      <c r="A1437" s="3" t="s">
        <v>462</v>
      </c>
      <c r="B1437" s="6" t="s">
        <v>589</v>
      </c>
      <c r="C1437" s="6" t="s">
        <v>246</v>
      </c>
      <c r="D1437">
        <f t="shared" si="22"/>
        <v>70</v>
      </c>
      <c r="G1437" s="1"/>
    </row>
    <row r="1438" spans="1:7" x14ac:dyDescent="0.25">
      <c r="A1438" s="4" t="s">
        <v>462</v>
      </c>
      <c r="B1438" s="5" t="s">
        <v>591</v>
      </c>
      <c r="C1438" s="5" t="s">
        <v>246</v>
      </c>
      <c r="D1438">
        <f t="shared" si="22"/>
        <v>70</v>
      </c>
      <c r="G1438" s="1"/>
    </row>
    <row r="1439" spans="1:7" x14ac:dyDescent="0.25">
      <c r="A1439" s="3" t="s">
        <v>463</v>
      </c>
      <c r="B1439" s="6" t="s">
        <v>579</v>
      </c>
      <c r="C1439" s="6">
        <v>0</v>
      </c>
      <c r="D1439">
        <f t="shared" si="22"/>
        <v>70</v>
      </c>
      <c r="G1439" s="1"/>
    </row>
    <row r="1440" spans="1:7" x14ac:dyDescent="0.25">
      <c r="A1440" s="4" t="s">
        <v>463</v>
      </c>
      <c r="B1440" s="5" t="s">
        <v>580</v>
      </c>
      <c r="C1440" s="5">
        <v>0</v>
      </c>
      <c r="D1440">
        <f t="shared" si="22"/>
        <v>70</v>
      </c>
      <c r="G1440" s="1"/>
    </row>
    <row r="1441" spans="1:7" x14ac:dyDescent="0.25">
      <c r="A1441" s="3" t="s">
        <v>463</v>
      </c>
      <c r="B1441" s="6" t="s">
        <v>581</v>
      </c>
      <c r="C1441" s="6">
        <v>0</v>
      </c>
      <c r="D1441">
        <f t="shared" si="22"/>
        <v>70</v>
      </c>
      <c r="G1441" s="1"/>
    </row>
    <row r="1442" spans="1:7" x14ac:dyDescent="0.25">
      <c r="A1442" s="4" t="s">
        <v>463</v>
      </c>
      <c r="B1442" s="5" t="s">
        <v>582</v>
      </c>
      <c r="C1442" s="5">
        <v>1</v>
      </c>
      <c r="D1442">
        <f t="shared" si="22"/>
        <v>70</v>
      </c>
      <c r="G1442" s="1"/>
    </row>
    <row r="1443" spans="1:7" x14ac:dyDescent="0.25">
      <c r="A1443" s="3" t="s">
        <v>463</v>
      </c>
      <c r="B1443" s="6" t="s">
        <v>583</v>
      </c>
      <c r="C1443" s="6">
        <v>1</v>
      </c>
      <c r="D1443">
        <f t="shared" si="22"/>
        <v>70</v>
      </c>
      <c r="G1443" s="1"/>
    </row>
    <row r="1444" spans="1:7" x14ac:dyDescent="0.25">
      <c r="A1444" s="4" t="s">
        <v>463</v>
      </c>
      <c r="B1444" s="5" t="s">
        <v>584</v>
      </c>
      <c r="C1444" s="5">
        <v>0</v>
      </c>
      <c r="D1444">
        <f t="shared" si="22"/>
        <v>70</v>
      </c>
      <c r="G1444" s="1"/>
    </row>
    <row r="1445" spans="1:7" x14ac:dyDescent="0.25">
      <c r="A1445" s="3" t="s">
        <v>463</v>
      </c>
      <c r="B1445" s="6" t="s">
        <v>585</v>
      </c>
      <c r="C1445" s="6">
        <v>0</v>
      </c>
      <c r="D1445">
        <f t="shared" si="22"/>
        <v>70</v>
      </c>
      <c r="G1445" s="1"/>
    </row>
    <row r="1446" spans="1:7" x14ac:dyDescent="0.25">
      <c r="A1446" s="4" t="s">
        <v>463</v>
      </c>
      <c r="B1446" s="5" t="s">
        <v>586</v>
      </c>
      <c r="C1446" s="5">
        <v>0</v>
      </c>
      <c r="D1446">
        <f t="shared" si="22"/>
        <v>70</v>
      </c>
      <c r="G1446" s="1"/>
    </row>
    <row r="1447" spans="1:7" x14ac:dyDescent="0.25">
      <c r="A1447" s="3" t="s">
        <v>463</v>
      </c>
      <c r="B1447" s="6" t="s">
        <v>588</v>
      </c>
      <c r="C1447" s="6">
        <v>0</v>
      </c>
      <c r="D1447">
        <f t="shared" si="22"/>
        <v>70</v>
      </c>
      <c r="G1447" s="1"/>
    </row>
    <row r="1448" spans="1:7" x14ac:dyDescent="0.25">
      <c r="A1448" s="4" t="s">
        <v>463</v>
      </c>
      <c r="B1448" s="5" t="s">
        <v>589</v>
      </c>
      <c r="C1448" s="5" t="s">
        <v>246</v>
      </c>
      <c r="D1448">
        <f t="shared" si="22"/>
        <v>70</v>
      </c>
      <c r="G1448" s="1"/>
    </row>
    <row r="1449" spans="1:7" x14ac:dyDescent="0.25">
      <c r="A1449" s="3" t="s">
        <v>463</v>
      </c>
      <c r="B1449" s="6" t="s">
        <v>591</v>
      </c>
      <c r="C1449" s="6" t="s">
        <v>246</v>
      </c>
      <c r="D1449">
        <f t="shared" si="22"/>
        <v>70</v>
      </c>
      <c r="G1449" s="1"/>
    </row>
    <row r="1450" spans="1:7" x14ac:dyDescent="0.25">
      <c r="A1450" s="4" t="s">
        <v>464</v>
      </c>
      <c r="B1450" s="5" t="s">
        <v>579</v>
      </c>
      <c r="C1450" s="5">
        <v>0</v>
      </c>
      <c r="D1450">
        <f t="shared" si="22"/>
        <v>70</v>
      </c>
      <c r="G1450" s="1"/>
    </row>
    <row r="1451" spans="1:7" x14ac:dyDescent="0.25">
      <c r="A1451" s="3" t="s">
        <v>464</v>
      </c>
      <c r="B1451" s="6" t="s">
        <v>580</v>
      </c>
      <c r="C1451" s="6">
        <v>0</v>
      </c>
      <c r="D1451">
        <f t="shared" si="22"/>
        <v>70</v>
      </c>
      <c r="G1451" s="1"/>
    </row>
    <row r="1452" spans="1:7" x14ac:dyDescent="0.25">
      <c r="A1452" s="4" t="s">
        <v>464</v>
      </c>
      <c r="B1452" s="5" t="s">
        <v>581</v>
      </c>
      <c r="C1452" s="5">
        <v>0</v>
      </c>
      <c r="D1452">
        <f t="shared" si="22"/>
        <v>70</v>
      </c>
      <c r="G1452" s="1"/>
    </row>
    <row r="1453" spans="1:7" x14ac:dyDescent="0.25">
      <c r="A1453" s="3" t="s">
        <v>464</v>
      </c>
      <c r="B1453" s="6" t="s">
        <v>582</v>
      </c>
      <c r="C1453" s="6">
        <v>1</v>
      </c>
      <c r="D1453">
        <f t="shared" si="22"/>
        <v>70</v>
      </c>
      <c r="G1453" s="1"/>
    </row>
    <row r="1454" spans="1:7" x14ac:dyDescent="0.25">
      <c r="A1454" s="4" t="s">
        <v>464</v>
      </c>
      <c r="B1454" s="5" t="s">
        <v>583</v>
      </c>
      <c r="C1454" s="5">
        <v>1</v>
      </c>
      <c r="D1454">
        <f t="shared" si="22"/>
        <v>70</v>
      </c>
      <c r="G1454" s="1"/>
    </row>
    <row r="1455" spans="1:7" x14ac:dyDescent="0.25">
      <c r="A1455" s="3" t="s">
        <v>464</v>
      </c>
      <c r="B1455" s="6" t="s">
        <v>584</v>
      </c>
      <c r="C1455" s="6">
        <v>0</v>
      </c>
      <c r="D1455">
        <f t="shared" si="22"/>
        <v>70</v>
      </c>
      <c r="G1455" s="1"/>
    </row>
    <row r="1456" spans="1:7" x14ac:dyDescent="0.25">
      <c r="A1456" s="4" t="s">
        <v>464</v>
      </c>
      <c r="B1456" s="5" t="s">
        <v>585</v>
      </c>
      <c r="C1456" s="5">
        <v>0</v>
      </c>
      <c r="D1456">
        <f t="shared" si="22"/>
        <v>70</v>
      </c>
      <c r="G1456" s="1"/>
    </row>
    <row r="1457" spans="1:7" x14ac:dyDescent="0.25">
      <c r="A1457" s="3" t="s">
        <v>464</v>
      </c>
      <c r="B1457" s="6" t="s">
        <v>586</v>
      </c>
      <c r="C1457" s="6">
        <v>0</v>
      </c>
      <c r="D1457">
        <f t="shared" si="22"/>
        <v>70</v>
      </c>
      <c r="G1457" s="1"/>
    </row>
    <row r="1458" spans="1:7" x14ac:dyDescent="0.25">
      <c r="A1458" s="4" t="s">
        <v>464</v>
      </c>
      <c r="B1458" s="5" t="s">
        <v>588</v>
      </c>
      <c r="C1458" s="5">
        <v>0</v>
      </c>
      <c r="D1458">
        <f t="shared" si="22"/>
        <v>70</v>
      </c>
      <c r="G1458" s="1"/>
    </row>
    <row r="1459" spans="1:7" x14ac:dyDescent="0.25">
      <c r="A1459" s="3" t="s">
        <v>464</v>
      </c>
      <c r="B1459" s="6" t="s">
        <v>589</v>
      </c>
      <c r="C1459" s="6" t="s">
        <v>246</v>
      </c>
      <c r="D1459">
        <f t="shared" si="22"/>
        <v>70</v>
      </c>
      <c r="G1459" s="1"/>
    </row>
    <row r="1460" spans="1:7" x14ac:dyDescent="0.25">
      <c r="A1460" s="4" t="s">
        <v>464</v>
      </c>
      <c r="B1460" s="5" t="s">
        <v>591</v>
      </c>
      <c r="C1460" s="5" t="s">
        <v>246</v>
      </c>
      <c r="D1460">
        <f t="shared" si="22"/>
        <v>70</v>
      </c>
      <c r="G1460" s="1"/>
    </row>
    <row r="1461" spans="1:7" x14ac:dyDescent="0.25">
      <c r="A1461" s="3" t="s">
        <v>465</v>
      </c>
      <c r="B1461" s="6" t="s">
        <v>579</v>
      </c>
      <c r="C1461" s="6">
        <v>0</v>
      </c>
      <c r="D1461">
        <f t="shared" si="22"/>
        <v>70</v>
      </c>
      <c r="G1461" s="1"/>
    </row>
    <row r="1462" spans="1:7" x14ac:dyDescent="0.25">
      <c r="A1462" s="4" t="s">
        <v>465</v>
      </c>
      <c r="B1462" s="5" t="s">
        <v>580</v>
      </c>
      <c r="C1462" s="5" t="s">
        <v>627</v>
      </c>
      <c r="D1462">
        <f t="shared" si="22"/>
        <v>70</v>
      </c>
      <c r="G1462" s="1"/>
    </row>
    <row r="1463" spans="1:7" x14ac:dyDescent="0.25">
      <c r="A1463" s="3" t="s">
        <v>465</v>
      </c>
      <c r="B1463" s="6" t="s">
        <v>581</v>
      </c>
      <c r="C1463" s="6" t="s">
        <v>627</v>
      </c>
      <c r="D1463">
        <f t="shared" si="22"/>
        <v>70</v>
      </c>
      <c r="G1463" s="1"/>
    </row>
    <row r="1464" spans="1:7" x14ac:dyDescent="0.25">
      <c r="A1464" s="4" t="s">
        <v>465</v>
      </c>
      <c r="B1464" s="5" t="s">
        <v>582</v>
      </c>
      <c r="C1464" s="5">
        <v>0</v>
      </c>
      <c r="D1464">
        <f t="shared" si="22"/>
        <v>70</v>
      </c>
      <c r="G1464" s="1"/>
    </row>
    <row r="1465" spans="1:7" x14ac:dyDescent="0.25">
      <c r="A1465" s="3" t="s">
        <v>465</v>
      </c>
      <c r="B1465" s="6" t="s">
        <v>583</v>
      </c>
      <c r="C1465" s="6">
        <v>0</v>
      </c>
      <c r="D1465">
        <f t="shared" si="22"/>
        <v>70</v>
      </c>
      <c r="G1465" s="1"/>
    </row>
    <row r="1466" spans="1:7" x14ac:dyDescent="0.25">
      <c r="A1466" s="4" t="s">
        <v>465</v>
      </c>
      <c r="B1466" s="5" t="s">
        <v>584</v>
      </c>
      <c r="C1466" s="5" t="s">
        <v>627</v>
      </c>
      <c r="D1466">
        <f t="shared" si="22"/>
        <v>70</v>
      </c>
      <c r="G1466" s="1"/>
    </row>
    <row r="1467" spans="1:7" x14ac:dyDescent="0.25">
      <c r="A1467" s="3" t="s">
        <v>465</v>
      </c>
      <c r="B1467" s="6" t="s">
        <v>585</v>
      </c>
      <c r="C1467" s="6">
        <v>0</v>
      </c>
      <c r="D1467">
        <f t="shared" si="22"/>
        <v>70</v>
      </c>
      <c r="G1467" s="1"/>
    </row>
    <row r="1468" spans="1:7" x14ac:dyDescent="0.25">
      <c r="A1468" s="4" t="s">
        <v>465</v>
      </c>
      <c r="B1468" s="5" t="s">
        <v>586</v>
      </c>
      <c r="C1468" s="5">
        <v>0</v>
      </c>
      <c r="D1468">
        <f t="shared" si="22"/>
        <v>70</v>
      </c>
      <c r="G1468" s="1"/>
    </row>
    <row r="1469" spans="1:7" x14ac:dyDescent="0.25">
      <c r="A1469" s="3" t="s">
        <v>465</v>
      </c>
      <c r="B1469" s="6" t="s">
        <v>588</v>
      </c>
      <c r="C1469" s="6">
        <v>0</v>
      </c>
      <c r="D1469">
        <f t="shared" si="22"/>
        <v>70</v>
      </c>
      <c r="G1469" s="1"/>
    </row>
    <row r="1470" spans="1:7" x14ac:dyDescent="0.25">
      <c r="A1470" s="4" t="s">
        <v>465</v>
      </c>
      <c r="B1470" s="5" t="s">
        <v>589</v>
      </c>
      <c r="C1470" s="5" t="s">
        <v>246</v>
      </c>
      <c r="D1470">
        <f t="shared" si="22"/>
        <v>70</v>
      </c>
      <c r="G1470" s="1"/>
    </row>
    <row r="1471" spans="1:7" x14ac:dyDescent="0.25">
      <c r="A1471" s="3" t="s">
        <v>465</v>
      </c>
      <c r="B1471" s="6" t="s">
        <v>591</v>
      </c>
      <c r="C1471" s="6" t="s">
        <v>246</v>
      </c>
      <c r="D1471">
        <f t="shared" si="22"/>
        <v>70</v>
      </c>
      <c r="G1471" s="1"/>
    </row>
    <row r="1472" spans="1:7" x14ac:dyDescent="0.25">
      <c r="A1472" s="4" t="s">
        <v>466</v>
      </c>
      <c r="B1472" s="5" t="s">
        <v>579</v>
      </c>
      <c r="C1472" s="5">
        <v>0</v>
      </c>
      <c r="D1472">
        <f t="shared" si="22"/>
        <v>70</v>
      </c>
      <c r="G1472" s="1"/>
    </row>
    <row r="1473" spans="1:7" x14ac:dyDescent="0.25">
      <c r="A1473" s="3" t="s">
        <v>466</v>
      </c>
      <c r="B1473" s="6" t="s">
        <v>580</v>
      </c>
      <c r="C1473" s="6" t="s">
        <v>627</v>
      </c>
      <c r="D1473">
        <f t="shared" si="22"/>
        <v>70</v>
      </c>
      <c r="G1473" s="1"/>
    </row>
    <row r="1474" spans="1:7" x14ac:dyDescent="0.25">
      <c r="A1474" s="4" t="s">
        <v>466</v>
      </c>
      <c r="B1474" s="5" t="s">
        <v>581</v>
      </c>
      <c r="C1474" s="5" t="s">
        <v>627</v>
      </c>
      <c r="D1474">
        <f t="shared" si="22"/>
        <v>70</v>
      </c>
      <c r="G1474" s="1"/>
    </row>
    <row r="1475" spans="1:7" x14ac:dyDescent="0.25">
      <c r="A1475" s="3" t="s">
        <v>466</v>
      </c>
      <c r="B1475" s="6" t="s">
        <v>582</v>
      </c>
      <c r="C1475" s="6">
        <v>0</v>
      </c>
      <c r="D1475">
        <f t="shared" si="22"/>
        <v>70</v>
      </c>
      <c r="G1475" s="1"/>
    </row>
    <row r="1476" spans="1:7" x14ac:dyDescent="0.25">
      <c r="A1476" s="4" t="s">
        <v>466</v>
      </c>
      <c r="B1476" s="5" t="s">
        <v>583</v>
      </c>
      <c r="C1476" s="5">
        <v>0</v>
      </c>
      <c r="D1476">
        <f t="shared" ref="D1476:D1539" si="23">IF(B1476="CCM", D1475+1, D1475)</f>
        <v>70</v>
      </c>
      <c r="G1476" s="1"/>
    </row>
    <row r="1477" spans="1:7" x14ac:dyDescent="0.25">
      <c r="A1477" s="3" t="s">
        <v>466</v>
      </c>
      <c r="B1477" s="6" t="s">
        <v>584</v>
      </c>
      <c r="C1477" s="6" t="s">
        <v>627</v>
      </c>
      <c r="D1477">
        <f t="shared" si="23"/>
        <v>70</v>
      </c>
      <c r="G1477" s="1"/>
    </row>
    <row r="1478" spans="1:7" x14ac:dyDescent="0.25">
      <c r="A1478" s="4" t="s">
        <v>466</v>
      </c>
      <c r="B1478" s="5" t="s">
        <v>585</v>
      </c>
      <c r="C1478" s="5">
        <v>0</v>
      </c>
      <c r="D1478">
        <f t="shared" si="23"/>
        <v>70</v>
      </c>
      <c r="G1478" s="1"/>
    </row>
    <row r="1479" spans="1:7" x14ac:dyDescent="0.25">
      <c r="A1479" s="3" t="s">
        <v>466</v>
      </c>
      <c r="B1479" s="6" t="s">
        <v>586</v>
      </c>
      <c r="C1479" s="6">
        <v>0</v>
      </c>
      <c r="D1479">
        <f t="shared" si="23"/>
        <v>70</v>
      </c>
      <c r="G1479" s="1"/>
    </row>
    <row r="1480" spans="1:7" x14ac:dyDescent="0.25">
      <c r="A1480" s="4" t="s">
        <v>466</v>
      </c>
      <c r="B1480" s="5" t="s">
        <v>588</v>
      </c>
      <c r="C1480" s="5">
        <v>0</v>
      </c>
      <c r="D1480">
        <f t="shared" si="23"/>
        <v>70</v>
      </c>
      <c r="G1480" s="1"/>
    </row>
    <row r="1481" spans="1:7" x14ac:dyDescent="0.25">
      <c r="A1481" s="3" t="s">
        <v>466</v>
      </c>
      <c r="B1481" s="6" t="s">
        <v>589</v>
      </c>
      <c r="C1481" s="6" t="s">
        <v>246</v>
      </c>
      <c r="D1481">
        <f t="shared" si="23"/>
        <v>70</v>
      </c>
      <c r="G1481" s="1"/>
    </row>
    <row r="1482" spans="1:7" x14ac:dyDescent="0.25">
      <c r="A1482" s="4" t="s">
        <v>466</v>
      </c>
      <c r="B1482" s="5" t="s">
        <v>591</v>
      </c>
      <c r="C1482" s="5" t="s">
        <v>246</v>
      </c>
      <c r="D1482">
        <f t="shared" si="23"/>
        <v>70</v>
      </c>
      <c r="G1482" s="1"/>
    </row>
    <row r="1483" spans="1:7" x14ac:dyDescent="0.25">
      <c r="A1483" s="3" t="s">
        <v>467</v>
      </c>
      <c r="B1483" s="6" t="s">
        <v>576</v>
      </c>
      <c r="C1483" s="6">
        <v>0</v>
      </c>
      <c r="D1483">
        <f t="shared" si="23"/>
        <v>70</v>
      </c>
      <c r="G1483" s="1"/>
    </row>
    <row r="1484" spans="1:7" x14ac:dyDescent="0.25">
      <c r="A1484" s="4" t="s">
        <v>467</v>
      </c>
      <c r="B1484" s="5" t="s">
        <v>577</v>
      </c>
      <c r="C1484" s="5">
        <v>0</v>
      </c>
      <c r="D1484">
        <f t="shared" si="23"/>
        <v>70</v>
      </c>
      <c r="G1484" s="1"/>
    </row>
    <row r="1485" spans="1:7" x14ac:dyDescent="0.25">
      <c r="A1485" s="3" t="s">
        <v>467</v>
      </c>
      <c r="B1485" s="6" t="s">
        <v>579</v>
      </c>
      <c r="C1485" s="6">
        <v>0</v>
      </c>
      <c r="D1485">
        <f t="shared" si="23"/>
        <v>70</v>
      </c>
      <c r="G1485" s="1"/>
    </row>
    <row r="1486" spans="1:7" x14ac:dyDescent="0.25">
      <c r="A1486" s="4" t="s">
        <v>467</v>
      </c>
      <c r="B1486" s="5" t="s">
        <v>580</v>
      </c>
      <c r="C1486" s="5">
        <v>0</v>
      </c>
      <c r="D1486">
        <f t="shared" si="23"/>
        <v>70</v>
      </c>
      <c r="G1486" s="1"/>
    </row>
    <row r="1487" spans="1:7" x14ac:dyDescent="0.25">
      <c r="A1487" s="3" t="s">
        <v>467</v>
      </c>
      <c r="B1487" s="6" t="s">
        <v>581</v>
      </c>
      <c r="C1487" s="6">
        <v>0</v>
      </c>
      <c r="D1487">
        <f t="shared" si="23"/>
        <v>70</v>
      </c>
      <c r="G1487" s="1"/>
    </row>
    <row r="1488" spans="1:7" x14ac:dyDescent="0.25">
      <c r="A1488" s="4" t="s">
        <v>467</v>
      </c>
      <c r="B1488" s="5" t="s">
        <v>582</v>
      </c>
      <c r="C1488" s="5">
        <v>1</v>
      </c>
      <c r="D1488">
        <f t="shared" si="23"/>
        <v>70</v>
      </c>
      <c r="G1488" s="1"/>
    </row>
    <row r="1489" spans="1:7" x14ac:dyDescent="0.25">
      <c r="A1489" s="3" t="s">
        <v>467</v>
      </c>
      <c r="B1489" s="6" t="s">
        <v>583</v>
      </c>
      <c r="C1489" s="6">
        <v>1</v>
      </c>
      <c r="D1489">
        <f t="shared" si="23"/>
        <v>70</v>
      </c>
      <c r="G1489" s="1"/>
    </row>
    <row r="1490" spans="1:7" x14ac:dyDescent="0.25">
      <c r="A1490" s="4" t="s">
        <v>467</v>
      </c>
      <c r="B1490" s="5" t="s">
        <v>584</v>
      </c>
      <c r="C1490" s="5">
        <v>0</v>
      </c>
      <c r="D1490">
        <f t="shared" si="23"/>
        <v>70</v>
      </c>
      <c r="G1490" s="1"/>
    </row>
    <row r="1491" spans="1:7" x14ac:dyDescent="0.25">
      <c r="A1491" s="3" t="s">
        <v>467</v>
      </c>
      <c r="B1491" s="6" t="s">
        <v>585</v>
      </c>
      <c r="C1491" s="6">
        <v>0</v>
      </c>
      <c r="D1491">
        <f t="shared" si="23"/>
        <v>70</v>
      </c>
      <c r="G1491" s="1"/>
    </row>
    <row r="1492" spans="1:7" x14ac:dyDescent="0.25">
      <c r="A1492" s="4" t="s">
        <v>467</v>
      </c>
      <c r="B1492" s="5" t="s">
        <v>586</v>
      </c>
      <c r="C1492" s="5">
        <v>0</v>
      </c>
      <c r="D1492">
        <f t="shared" si="23"/>
        <v>70</v>
      </c>
      <c r="G1492" s="1"/>
    </row>
    <row r="1493" spans="1:7" x14ac:dyDescent="0.25">
      <c r="A1493" s="3" t="s">
        <v>467</v>
      </c>
      <c r="B1493" s="6" t="s">
        <v>588</v>
      </c>
      <c r="C1493" s="6">
        <v>0</v>
      </c>
      <c r="D1493">
        <f t="shared" si="23"/>
        <v>70</v>
      </c>
      <c r="G1493" s="1"/>
    </row>
    <row r="1494" spans="1:7" x14ac:dyDescent="0.25">
      <c r="A1494" s="4" t="s">
        <v>467</v>
      </c>
      <c r="B1494" s="5" t="s">
        <v>589</v>
      </c>
      <c r="C1494" s="5" t="s">
        <v>246</v>
      </c>
      <c r="D1494">
        <f t="shared" si="23"/>
        <v>70</v>
      </c>
      <c r="G1494" s="1"/>
    </row>
    <row r="1495" spans="1:7" x14ac:dyDescent="0.25">
      <c r="A1495" s="3" t="s">
        <v>467</v>
      </c>
      <c r="B1495" s="6" t="s">
        <v>591</v>
      </c>
      <c r="C1495" s="6" t="s">
        <v>246</v>
      </c>
      <c r="D1495">
        <f t="shared" si="23"/>
        <v>70</v>
      </c>
      <c r="G1495" s="1"/>
    </row>
    <row r="1496" spans="1:7" x14ac:dyDescent="0.25">
      <c r="A1496" s="4" t="s">
        <v>468</v>
      </c>
      <c r="B1496" s="5" t="s">
        <v>579</v>
      </c>
      <c r="C1496" s="5">
        <v>0</v>
      </c>
      <c r="D1496">
        <f t="shared" si="23"/>
        <v>70</v>
      </c>
      <c r="G1496" s="1"/>
    </row>
    <row r="1497" spans="1:7" x14ac:dyDescent="0.25">
      <c r="A1497" s="3" t="s">
        <v>468</v>
      </c>
      <c r="B1497" s="6" t="s">
        <v>580</v>
      </c>
      <c r="C1497" s="6">
        <v>0</v>
      </c>
      <c r="D1497">
        <f t="shared" si="23"/>
        <v>70</v>
      </c>
      <c r="G1497" s="1"/>
    </row>
    <row r="1498" spans="1:7" x14ac:dyDescent="0.25">
      <c r="A1498" s="4" t="s">
        <v>468</v>
      </c>
      <c r="B1498" s="5" t="s">
        <v>581</v>
      </c>
      <c r="C1498" s="5">
        <v>0</v>
      </c>
      <c r="D1498">
        <f t="shared" si="23"/>
        <v>70</v>
      </c>
      <c r="G1498" s="1"/>
    </row>
    <row r="1499" spans="1:7" x14ac:dyDescent="0.25">
      <c r="A1499" s="3" t="s">
        <v>468</v>
      </c>
      <c r="B1499" s="6" t="s">
        <v>582</v>
      </c>
      <c r="C1499" s="6">
        <v>1</v>
      </c>
      <c r="D1499">
        <f t="shared" si="23"/>
        <v>70</v>
      </c>
      <c r="G1499" s="1"/>
    </row>
    <row r="1500" spans="1:7" x14ac:dyDescent="0.25">
      <c r="A1500" s="4" t="s">
        <v>468</v>
      </c>
      <c r="B1500" s="5" t="s">
        <v>583</v>
      </c>
      <c r="C1500" s="5">
        <v>1</v>
      </c>
      <c r="D1500">
        <f t="shared" si="23"/>
        <v>70</v>
      </c>
      <c r="G1500" s="1"/>
    </row>
    <row r="1501" spans="1:7" x14ac:dyDescent="0.25">
      <c r="A1501" s="3" t="s">
        <v>468</v>
      </c>
      <c r="B1501" s="6" t="s">
        <v>584</v>
      </c>
      <c r="C1501" s="6">
        <v>0</v>
      </c>
      <c r="D1501">
        <f t="shared" si="23"/>
        <v>70</v>
      </c>
      <c r="G1501" s="1"/>
    </row>
    <row r="1502" spans="1:7" x14ac:dyDescent="0.25">
      <c r="A1502" s="4" t="s">
        <v>468</v>
      </c>
      <c r="B1502" s="5" t="s">
        <v>585</v>
      </c>
      <c r="C1502" s="5">
        <v>0</v>
      </c>
      <c r="D1502">
        <f t="shared" si="23"/>
        <v>70</v>
      </c>
      <c r="G1502" s="1"/>
    </row>
    <row r="1503" spans="1:7" x14ac:dyDescent="0.25">
      <c r="A1503" s="3" t="s">
        <v>468</v>
      </c>
      <c r="B1503" s="6" t="s">
        <v>586</v>
      </c>
      <c r="C1503" s="6">
        <v>0</v>
      </c>
      <c r="D1503">
        <f t="shared" si="23"/>
        <v>70</v>
      </c>
      <c r="G1503" s="1"/>
    </row>
    <row r="1504" spans="1:7" x14ac:dyDescent="0.25">
      <c r="A1504" s="4" t="s">
        <v>468</v>
      </c>
      <c r="B1504" s="5" t="s">
        <v>588</v>
      </c>
      <c r="C1504" s="5">
        <v>0</v>
      </c>
      <c r="D1504">
        <f t="shared" si="23"/>
        <v>70</v>
      </c>
      <c r="G1504" s="1"/>
    </row>
    <row r="1505" spans="1:7" x14ac:dyDescent="0.25">
      <c r="A1505" s="3" t="s">
        <v>468</v>
      </c>
      <c r="B1505" s="6" t="s">
        <v>589</v>
      </c>
      <c r="C1505" s="6" t="s">
        <v>246</v>
      </c>
      <c r="D1505">
        <f t="shared" si="23"/>
        <v>70</v>
      </c>
      <c r="G1505" s="1"/>
    </row>
    <row r="1506" spans="1:7" x14ac:dyDescent="0.25">
      <c r="A1506" s="4" t="s">
        <v>468</v>
      </c>
      <c r="B1506" s="5" t="s">
        <v>591</v>
      </c>
      <c r="C1506" s="5" t="s">
        <v>246</v>
      </c>
      <c r="D1506">
        <f t="shared" si="23"/>
        <v>70</v>
      </c>
      <c r="G1506" s="1"/>
    </row>
    <row r="1507" spans="1:7" x14ac:dyDescent="0.25">
      <c r="A1507" s="3" t="s">
        <v>445</v>
      </c>
      <c r="B1507" s="6" t="s">
        <v>580</v>
      </c>
      <c r="C1507" s="6">
        <v>0</v>
      </c>
      <c r="D1507">
        <f t="shared" si="23"/>
        <v>70</v>
      </c>
      <c r="G1507" s="1"/>
    </row>
    <row r="1508" spans="1:7" x14ac:dyDescent="0.25">
      <c r="A1508" s="4" t="s">
        <v>445</v>
      </c>
      <c r="B1508" s="5" t="s">
        <v>581</v>
      </c>
      <c r="C1508" s="5">
        <v>0</v>
      </c>
      <c r="D1508">
        <f t="shared" si="23"/>
        <v>70</v>
      </c>
      <c r="G1508" s="1"/>
    </row>
    <row r="1509" spans="1:7" x14ac:dyDescent="0.25">
      <c r="A1509" s="3" t="s">
        <v>445</v>
      </c>
      <c r="B1509" s="6" t="s">
        <v>582</v>
      </c>
      <c r="C1509" s="6">
        <v>1</v>
      </c>
      <c r="D1509">
        <f t="shared" si="23"/>
        <v>70</v>
      </c>
      <c r="G1509" s="1"/>
    </row>
    <row r="1510" spans="1:7" x14ac:dyDescent="0.25">
      <c r="A1510" s="4" t="s">
        <v>445</v>
      </c>
      <c r="B1510" s="5" t="s">
        <v>583</v>
      </c>
      <c r="C1510" s="5">
        <v>1</v>
      </c>
      <c r="D1510">
        <f t="shared" si="23"/>
        <v>70</v>
      </c>
      <c r="G1510" s="1"/>
    </row>
    <row r="1511" spans="1:7" x14ac:dyDescent="0.25">
      <c r="A1511" s="3" t="s">
        <v>445</v>
      </c>
      <c r="B1511" s="6" t="s">
        <v>584</v>
      </c>
      <c r="C1511" s="6">
        <v>0</v>
      </c>
      <c r="D1511">
        <f t="shared" si="23"/>
        <v>70</v>
      </c>
      <c r="G1511" s="1"/>
    </row>
    <row r="1512" spans="1:7" x14ac:dyDescent="0.25">
      <c r="A1512" s="4" t="s">
        <v>470</v>
      </c>
      <c r="B1512" s="5" t="s">
        <v>576</v>
      </c>
      <c r="C1512" s="5">
        <v>0</v>
      </c>
      <c r="D1512">
        <f t="shared" si="23"/>
        <v>70</v>
      </c>
      <c r="G1512" s="1"/>
    </row>
    <row r="1513" spans="1:7" x14ac:dyDescent="0.25">
      <c r="A1513" s="3" t="s">
        <v>470</v>
      </c>
      <c r="B1513" s="6" t="s">
        <v>577</v>
      </c>
      <c r="C1513" s="6">
        <v>0</v>
      </c>
      <c r="D1513">
        <f t="shared" si="23"/>
        <v>70</v>
      </c>
      <c r="G1513" s="1"/>
    </row>
    <row r="1514" spans="1:7" x14ac:dyDescent="0.25">
      <c r="A1514" s="4" t="s">
        <v>470</v>
      </c>
      <c r="B1514" s="5" t="s">
        <v>578</v>
      </c>
      <c r="C1514" s="5">
        <v>0</v>
      </c>
      <c r="D1514">
        <f t="shared" si="23"/>
        <v>70</v>
      </c>
      <c r="G1514" s="1"/>
    </row>
    <row r="1515" spans="1:7" x14ac:dyDescent="0.25">
      <c r="A1515" s="3" t="s">
        <v>470</v>
      </c>
      <c r="B1515" s="6" t="s">
        <v>579</v>
      </c>
      <c r="C1515" s="6">
        <v>0</v>
      </c>
      <c r="D1515">
        <f t="shared" si="23"/>
        <v>70</v>
      </c>
      <c r="G1515" s="1"/>
    </row>
    <row r="1516" spans="1:7" x14ac:dyDescent="0.25">
      <c r="A1516" s="4" t="s">
        <v>470</v>
      </c>
      <c r="B1516" s="5" t="s">
        <v>580</v>
      </c>
      <c r="C1516" s="5">
        <v>0</v>
      </c>
      <c r="D1516">
        <f t="shared" si="23"/>
        <v>70</v>
      </c>
      <c r="G1516" s="1"/>
    </row>
    <row r="1517" spans="1:7" x14ac:dyDescent="0.25">
      <c r="A1517" s="3" t="s">
        <v>470</v>
      </c>
      <c r="B1517" s="6" t="s">
        <v>581</v>
      </c>
      <c r="C1517" s="6">
        <v>0</v>
      </c>
      <c r="D1517">
        <f t="shared" si="23"/>
        <v>70</v>
      </c>
      <c r="G1517" s="1"/>
    </row>
    <row r="1518" spans="1:7" x14ac:dyDescent="0.25">
      <c r="A1518" s="4" t="s">
        <v>470</v>
      </c>
      <c r="B1518" s="5" t="s">
        <v>582</v>
      </c>
      <c r="C1518" s="5">
        <v>1</v>
      </c>
      <c r="D1518">
        <f t="shared" si="23"/>
        <v>70</v>
      </c>
      <c r="G1518" s="1"/>
    </row>
    <row r="1519" spans="1:7" x14ac:dyDescent="0.25">
      <c r="A1519" s="3" t="s">
        <v>470</v>
      </c>
      <c r="B1519" s="6" t="s">
        <v>583</v>
      </c>
      <c r="C1519" s="6">
        <v>1</v>
      </c>
      <c r="D1519">
        <f t="shared" si="23"/>
        <v>70</v>
      </c>
      <c r="G1519" s="1"/>
    </row>
    <row r="1520" spans="1:7" x14ac:dyDescent="0.25">
      <c r="A1520" s="4" t="s">
        <v>470</v>
      </c>
      <c r="B1520" s="5" t="s">
        <v>584</v>
      </c>
      <c r="C1520" s="5">
        <v>0</v>
      </c>
      <c r="D1520">
        <f t="shared" si="23"/>
        <v>70</v>
      </c>
      <c r="G1520" s="1"/>
    </row>
    <row r="1521" spans="1:7" x14ac:dyDescent="0.25">
      <c r="A1521" s="3" t="s">
        <v>470</v>
      </c>
      <c r="B1521" s="6" t="s">
        <v>585</v>
      </c>
      <c r="C1521" s="6">
        <v>0</v>
      </c>
      <c r="D1521">
        <f t="shared" si="23"/>
        <v>70</v>
      </c>
      <c r="G1521" s="1"/>
    </row>
    <row r="1522" spans="1:7" x14ac:dyDescent="0.25">
      <c r="A1522" s="4" t="s">
        <v>470</v>
      </c>
      <c r="B1522" s="5" t="s">
        <v>588</v>
      </c>
      <c r="C1522" s="5">
        <v>0</v>
      </c>
      <c r="D1522">
        <f t="shared" si="23"/>
        <v>70</v>
      </c>
      <c r="G1522" s="1"/>
    </row>
    <row r="1523" spans="1:7" x14ac:dyDescent="0.25">
      <c r="A1523" s="3" t="s">
        <v>470</v>
      </c>
      <c r="B1523" s="6" t="s">
        <v>589</v>
      </c>
      <c r="C1523" s="6" t="s">
        <v>246</v>
      </c>
      <c r="D1523">
        <f t="shared" si="23"/>
        <v>70</v>
      </c>
      <c r="G1523" s="1"/>
    </row>
    <row r="1524" spans="1:7" x14ac:dyDescent="0.25">
      <c r="A1524" s="4" t="s">
        <v>470</v>
      </c>
      <c r="B1524" s="5" t="s">
        <v>591</v>
      </c>
      <c r="C1524" s="5" t="s">
        <v>246</v>
      </c>
      <c r="D1524">
        <f t="shared" si="23"/>
        <v>70</v>
      </c>
      <c r="G1524" s="1"/>
    </row>
    <row r="1525" spans="1:7" x14ac:dyDescent="0.25">
      <c r="A1525" s="3" t="s">
        <v>471</v>
      </c>
      <c r="B1525" s="6" t="s">
        <v>579</v>
      </c>
      <c r="C1525" s="6">
        <v>0</v>
      </c>
      <c r="D1525">
        <f t="shared" si="23"/>
        <v>70</v>
      </c>
      <c r="G1525" s="1"/>
    </row>
    <row r="1526" spans="1:7" x14ac:dyDescent="0.25">
      <c r="A1526" s="4" t="s">
        <v>471</v>
      </c>
      <c r="B1526" s="5" t="s">
        <v>580</v>
      </c>
      <c r="C1526" s="5">
        <v>0</v>
      </c>
      <c r="D1526">
        <f t="shared" si="23"/>
        <v>70</v>
      </c>
      <c r="G1526" s="1"/>
    </row>
    <row r="1527" spans="1:7" x14ac:dyDescent="0.25">
      <c r="A1527" s="3" t="s">
        <v>471</v>
      </c>
      <c r="B1527" s="6" t="s">
        <v>581</v>
      </c>
      <c r="C1527" s="6">
        <v>0</v>
      </c>
      <c r="D1527">
        <f t="shared" si="23"/>
        <v>70</v>
      </c>
      <c r="G1527" s="1"/>
    </row>
    <row r="1528" spans="1:7" x14ac:dyDescent="0.25">
      <c r="A1528" s="4" t="s">
        <v>471</v>
      </c>
      <c r="B1528" s="5" t="s">
        <v>582</v>
      </c>
      <c r="C1528" s="5">
        <v>3</v>
      </c>
      <c r="D1528">
        <f t="shared" si="23"/>
        <v>70</v>
      </c>
      <c r="G1528" s="1"/>
    </row>
    <row r="1529" spans="1:7" x14ac:dyDescent="0.25">
      <c r="A1529" s="3" t="s">
        <v>471</v>
      </c>
      <c r="B1529" s="6" t="s">
        <v>583</v>
      </c>
      <c r="C1529" s="6">
        <v>2</v>
      </c>
      <c r="D1529">
        <f t="shared" si="23"/>
        <v>70</v>
      </c>
      <c r="G1529" s="1"/>
    </row>
    <row r="1530" spans="1:7" x14ac:dyDescent="0.25">
      <c r="A1530" s="4" t="s">
        <v>471</v>
      </c>
      <c r="B1530" s="5" t="s">
        <v>584</v>
      </c>
      <c r="C1530" s="5">
        <v>3</v>
      </c>
      <c r="D1530">
        <f t="shared" si="23"/>
        <v>70</v>
      </c>
      <c r="G1530" s="1"/>
    </row>
    <row r="1531" spans="1:7" x14ac:dyDescent="0.25">
      <c r="A1531" s="3" t="s">
        <v>471</v>
      </c>
      <c r="B1531" s="6" t="s">
        <v>585</v>
      </c>
      <c r="C1531" s="6">
        <v>0</v>
      </c>
      <c r="D1531">
        <f t="shared" si="23"/>
        <v>70</v>
      </c>
      <c r="G1531" s="1"/>
    </row>
    <row r="1532" spans="1:7" x14ac:dyDescent="0.25">
      <c r="A1532" s="4" t="s">
        <v>471</v>
      </c>
      <c r="B1532" s="5" t="s">
        <v>586</v>
      </c>
      <c r="C1532" s="5">
        <v>0</v>
      </c>
      <c r="D1532">
        <f t="shared" si="23"/>
        <v>70</v>
      </c>
      <c r="G1532" s="1"/>
    </row>
    <row r="1533" spans="1:7" x14ac:dyDescent="0.25">
      <c r="A1533" s="3" t="s">
        <v>471</v>
      </c>
      <c r="B1533" s="6" t="s">
        <v>588</v>
      </c>
      <c r="C1533" s="6">
        <v>0</v>
      </c>
      <c r="D1533">
        <f t="shared" si="23"/>
        <v>70</v>
      </c>
      <c r="G1533" s="1"/>
    </row>
    <row r="1534" spans="1:7" x14ac:dyDescent="0.25">
      <c r="A1534" s="4" t="s">
        <v>471</v>
      </c>
      <c r="B1534" s="5" t="s">
        <v>589</v>
      </c>
      <c r="C1534" s="5" t="s">
        <v>246</v>
      </c>
      <c r="D1534">
        <f t="shared" si="23"/>
        <v>70</v>
      </c>
      <c r="G1534" s="1"/>
    </row>
    <row r="1535" spans="1:7" x14ac:dyDescent="0.25">
      <c r="A1535" s="3" t="s">
        <v>471</v>
      </c>
      <c r="B1535" s="6" t="s">
        <v>591</v>
      </c>
      <c r="C1535" s="6" t="s">
        <v>246</v>
      </c>
      <c r="D1535">
        <f t="shared" si="23"/>
        <v>70</v>
      </c>
      <c r="G1535" s="1"/>
    </row>
    <row r="1536" spans="1:7" x14ac:dyDescent="0.25">
      <c r="A1536" s="4" t="s">
        <v>475</v>
      </c>
      <c r="B1536" s="5" t="s">
        <v>579</v>
      </c>
      <c r="C1536" s="5">
        <v>0</v>
      </c>
      <c r="D1536">
        <f t="shared" si="23"/>
        <v>70</v>
      </c>
      <c r="G1536" s="1"/>
    </row>
    <row r="1537" spans="1:7" x14ac:dyDescent="0.25">
      <c r="A1537" s="3" t="s">
        <v>475</v>
      </c>
      <c r="B1537" s="6" t="s">
        <v>580</v>
      </c>
      <c r="C1537" s="6">
        <v>0</v>
      </c>
      <c r="D1537">
        <f t="shared" si="23"/>
        <v>70</v>
      </c>
      <c r="G1537" s="1"/>
    </row>
    <row r="1538" spans="1:7" x14ac:dyDescent="0.25">
      <c r="A1538" s="4" t="s">
        <v>475</v>
      </c>
      <c r="B1538" s="5" t="s">
        <v>581</v>
      </c>
      <c r="C1538" s="5">
        <v>0</v>
      </c>
      <c r="D1538">
        <f t="shared" si="23"/>
        <v>70</v>
      </c>
      <c r="G1538" s="1"/>
    </row>
    <row r="1539" spans="1:7" x14ac:dyDescent="0.25">
      <c r="A1539" s="3" t="s">
        <v>475</v>
      </c>
      <c r="B1539" s="6" t="s">
        <v>582</v>
      </c>
      <c r="C1539" s="6">
        <v>3</v>
      </c>
      <c r="D1539">
        <f t="shared" si="23"/>
        <v>70</v>
      </c>
      <c r="G1539" s="1"/>
    </row>
    <row r="1540" spans="1:7" x14ac:dyDescent="0.25">
      <c r="A1540" s="4" t="s">
        <v>475</v>
      </c>
      <c r="B1540" s="5" t="s">
        <v>583</v>
      </c>
      <c r="C1540" s="5">
        <v>2</v>
      </c>
      <c r="D1540">
        <f t="shared" ref="D1540:D1603" si="24">IF(B1540="CCM", D1539+1, D1539)</f>
        <v>70</v>
      </c>
      <c r="G1540" s="1"/>
    </row>
    <row r="1541" spans="1:7" x14ac:dyDescent="0.25">
      <c r="A1541" s="3" t="s">
        <v>475</v>
      </c>
      <c r="B1541" s="6" t="s">
        <v>584</v>
      </c>
      <c r="C1541" s="6">
        <v>3</v>
      </c>
      <c r="D1541">
        <f t="shared" si="24"/>
        <v>70</v>
      </c>
      <c r="G1541" s="1"/>
    </row>
    <row r="1542" spans="1:7" x14ac:dyDescent="0.25">
      <c r="A1542" s="4" t="s">
        <v>475</v>
      </c>
      <c r="B1542" s="5" t="s">
        <v>585</v>
      </c>
      <c r="C1542" s="5">
        <v>0</v>
      </c>
      <c r="D1542">
        <f t="shared" si="24"/>
        <v>70</v>
      </c>
      <c r="G1542" s="1"/>
    </row>
    <row r="1543" spans="1:7" x14ac:dyDescent="0.25">
      <c r="A1543" s="3" t="s">
        <v>475</v>
      </c>
      <c r="B1543" s="6" t="s">
        <v>586</v>
      </c>
      <c r="C1543" s="6">
        <v>0</v>
      </c>
      <c r="D1543">
        <f t="shared" si="24"/>
        <v>70</v>
      </c>
      <c r="G1543" s="1"/>
    </row>
    <row r="1544" spans="1:7" x14ac:dyDescent="0.25">
      <c r="A1544" s="4" t="s">
        <v>475</v>
      </c>
      <c r="B1544" s="5" t="s">
        <v>588</v>
      </c>
      <c r="C1544" s="5">
        <v>0</v>
      </c>
      <c r="D1544">
        <f t="shared" si="24"/>
        <v>70</v>
      </c>
      <c r="G1544" s="1"/>
    </row>
    <row r="1545" spans="1:7" x14ac:dyDescent="0.25">
      <c r="A1545" s="3" t="s">
        <v>475</v>
      </c>
      <c r="B1545" s="6" t="s">
        <v>589</v>
      </c>
      <c r="C1545" s="6" t="s">
        <v>246</v>
      </c>
      <c r="D1545">
        <f t="shared" si="24"/>
        <v>70</v>
      </c>
      <c r="G1545" s="1"/>
    </row>
    <row r="1546" spans="1:7" x14ac:dyDescent="0.25">
      <c r="A1546" s="4" t="s">
        <v>475</v>
      </c>
      <c r="B1546" s="5" t="s">
        <v>591</v>
      </c>
      <c r="C1546" s="5" t="s">
        <v>246</v>
      </c>
      <c r="D1546">
        <f t="shared" si="24"/>
        <v>70</v>
      </c>
      <c r="G1546" s="1"/>
    </row>
    <row r="1547" spans="1:7" x14ac:dyDescent="0.25">
      <c r="A1547" s="3" t="s">
        <v>477</v>
      </c>
      <c r="B1547" s="6" t="s">
        <v>574</v>
      </c>
      <c r="C1547" s="6">
        <v>0</v>
      </c>
      <c r="D1547">
        <f t="shared" si="24"/>
        <v>71</v>
      </c>
      <c r="G1547" s="1"/>
    </row>
    <row r="1548" spans="1:7" x14ac:dyDescent="0.25">
      <c r="A1548" s="4" t="s">
        <v>477</v>
      </c>
      <c r="B1548" s="5" t="s">
        <v>575</v>
      </c>
      <c r="C1548" s="5">
        <v>0</v>
      </c>
      <c r="D1548">
        <f t="shared" si="24"/>
        <v>71</v>
      </c>
      <c r="G1548" s="1"/>
    </row>
    <row r="1549" spans="1:7" x14ac:dyDescent="0.25">
      <c r="A1549" s="3" t="s">
        <v>477</v>
      </c>
      <c r="B1549" s="6" t="s">
        <v>576</v>
      </c>
      <c r="C1549" s="6">
        <v>0</v>
      </c>
      <c r="D1549">
        <f t="shared" si="24"/>
        <v>71</v>
      </c>
      <c r="G1549" s="1"/>
    </row>
    <row r="1550" spans="1:7" x14ac:dyDescent="0.25">
      <c r="A1550" s="4" t="s">
        <v>477</v>
      </c>
      <c r="B1550" s="5" t="s">
        <v>577</v>
      </c>
      <c r="C1550" s="5">
        <v>0</v>
      </c>
      <c r="D1550">
        <f t="shared" si="24"/>
        <v>71</v>
      </c>
      <c r="G1550" s="1"/>
    </row>
    <row r="1551" spans="1:7" x14ac:dyDescent="0.25">
      <c r="A1551" s="3" t="s">
        <v>477</v>
      </c>
      <c r="B1551" s="6" t="s">
        <v>578</v>
      </c>
      <c r="C1551" s="6">
        <v>0</v>
      </c>
      <c r="D1551">
        <f t="shared" si="24"/>
        <v>71</v>
      </c>
      <c r="G1551" s="1"/>
    </row>
    <row r="1552" spans="1:7" x14ac:dyDescent="0.25">
      <c r="A1552" s="4" t="s">
        <v>477</v>
      </c>
      <c r="B1552" s="5" t="s">
        <v>579</v>
      </c>
      <c r="C1552" s="5">
        <v>0</v>
      </c>
      <c r="D1552">
        <f t="shared" si="24"/>
        <v>71</v>
      </c>
      <c r="G1552" s="1"/>
    </row>
    <row r="1553" spans="1:7" x14ac:dyDescent="0.25">
      <c r="A1553" s="3" t="s">
        <v>477</v>
      </c>
      <c r="B1553" s="6" t="s">
        <v>580</v>
      </c>
      <c r="C1553" s="6" t="s">
        <v>627</v>
      </c>
      <c r="D1553">
        <f t="shared" si="24"/>
        <v>71</v>
      </c>
      <c r="G1553" s="1"/>
    </row>
    <row r="1554" spans="1:7" x14ac:dyDescent="0.25">
      <c r="A1554" s="4" t="s">
        <v>477</v>
      </c>
      <c r="B1554" s="5" t="s">
        <v>581</v>
      </c>
      <c r="C1554" s="5" t="s">
        <v>627</v>
      </c>
      <c r="D1554">
        <f t="shared" si="24"/>
        <v>71</v>
      </c>
      <c r="G1554" s="1"/>
    </row>
    <row r="1555" spans="1:7" x14ac:dyDescent="0.25">
      <c r="A1555" s="3" t="s">
        <v>477</v>
      </c>
      <c r="B1555" s="6" t="s">
        <v>582</v>
      </c>
      <c r="C1555" s="6">
        <v>0</v>
      </c>
      <c r="D1555">
        <f t="shared" si="24"/>
        <v>71</v>
      </c>
      <c r="G1555" s="1"/>
    </row>
    <row r="1556" spans="1:7" x14ac:dyDescent="0.25">
      <c r="A1556" s="4" t="s">
        <v>477</v>
      </c>
      <c r="B1556" s="5" t="s">
        <v>583</v>
      </c>
      <c r="C1556" s="5">
        <v>0</v>
      </c>
      <c r="D1556">
        <f t="shared" si="24"/>
        <v>71</v>
      </c>
      <c r="G1556" s="1"/>
    </row>
    <row r="1557" spans="1:7" x14ac:dyDescent="0.25">
      <c r="A1557" s="3" t="s">
        <v>477</v>
      </c>
      <c r="B1557" s="6" t="s">
        <v>584</v>
      </c>
      <c r="C1557" s="6" t="s">
        <v>627</v>
      </c>
      <c r="D1557">
        <f t="shared" si="24"/>
        <v>71</v>
      </c>
      <c r="G1557" s="1"/>
    </row>
    <row r="1558" spans="1:7" x14ac:dyDescent="0.25">
      <c r="A1558" s="4" t="s">
        <v>477</v>
      </c>
      <c r="B1558" s="5" t="s">
        <v>585</v>
      </c>
      <c r="C1558" s="5">
        <v>0</v>
      </c>
      <c r="D1558">
        <f t="shared" si="24"/>
        <v>71</v>
      </c>
      <c r="G1558" s="1"/>
    </row>
    <row r="1559" spans="1:7" x14ac:dyDescent="0.25">
      <c r="A1559" s="3" t="s">
        <v>477</v>
      </c>
      <c r="B1559" s="6" t="s">
        <v>586</v>
      </c>
      <c r="C1559" s="6">
        <v>0</v>
      </c>
      <c r="D1559">
        <f t="shared" si="24"/>
        <v>71</v>
      </c>
      <c r="G1559" s="1"/>
    </row>
    <row r="1560" spans="1:7" x14ac:dyDescent="0.25">
      <c r="A1560" s="4" t="s">
        <v>477</v>
      </c>
      <c r="B1560" s="5" t="s">
        <v>587</v>
      </c>
      <c r="C1560" s="5">
        <v>0</v>
      </c>
      <c r="D1560">
        <f t="shared" si="24"/>
        <v>71</v>
      </c>
      <c r="G1560" s="1"/>
    </row>
    <row r="1561" spans="1:7" x14ac:dyDescent="0.25">
      <c r="A1561" s="3" t="s">
        <v>477</v>
      </c>
      <c r="B1561" s="6" t="s">
        <v>588</v>
      </c>
      <c r="C1561" s="6">
        <v>0</v>
      </c>
      <c r="D1561">
        <f t="shared" si="24"/>
        <v>71</v>
      </c>
      <c r="G1561" s="1"/>
    </row>
    <row r="1562" spans="1:7" x14ac:dyDescent="0.25">
      <c r="A1562" s="4" t="s">
        <v>477</v>
      </c>
      <c r="B1562" s="5" t="s">
        <v>589</v>
      </c>
      <c r="C1562" s="5" t="s">
        <v>246</v>
      </c>
      <c r="D1562">
        <f t="shared" si="24"/>
        <v>71</v>
      </c>
      <c r="G1562" s="1"/>
    </row>
    <row r="1563" spans="1:7" x14ac:dyDescent="0.25">
      <c r="A1563" s="3" t="s">
        <v>477</v>
      </c>
      <c r="B1563" s="6" t="s">
        <v>590</v>
      </c>
      <c r="C1563" s="6">
        <v>1</v>
      </c>
      <c r="D1563">
        <f t="shared" si="24"/>
        <v>71</v>
      </c>
      <c r="G1563" s="1"/>
    </row>
    <row r="1564" spans="1:7" x14ac:dyDescent="0.25">
      <c r="A1564" s="4" t="s">
        <v>477</v>
      </c>
      <c r="B1564" s="5" t="s">
        <v>591</v>
      </c>
      <c r="C1564" s="5" t="s">
        <v>246</v>
      </c>
      <c r="D1564">
        <f t="shared" si="24"/>
        <v>71</v>
      </c>
      <c r="G1564" s="1"/>
    </row>
    <row r="1565" spans="1:7" x14ac:dyDescent="0.25">
      <c r="A1565" s="3" t="s">
        <v>477</v>
      </c>
      <c r="B1565" s="6" t="s">
        <v>592</v>
      </c>
      <c r="C1565" s="6">
        <v>0</v>
      </c>
      <c r="D1565">
        <f t="shared" si="24"/>
        <v>71</v>
      </c>
      <c r="G1565" s="1"/>
    </row>
    <row r="1566" spans="1:7" x14ac:dyDescent="0.25">
      <c r="A1566" s="4" t="s">
        <v>478</v>
      </c>
      <c r="B1566" s="5" t="s">
        <v>574</v>
      </c>
      <c r="C1566" s="5">
        <v>0</v>
      </c>
      <c r="D1566">
        <f t="shared" si="24"/>
        <v>72</v>
      </c>
      <c r="G1566" s="1"/>
    </row>
    <row r="1567" spans="1:7" x14ac:dyDescent="0.25">
      <c r="A1567" s="3" t="s">
        <v>478</v>
      </c>
      <c r="B1567" s="6" t="s">
        <v>575</v>
      </c>
      <c r="C1567" s="6">
        <v>0</v>
      </c>
      <c r="D1567">
        <f t="shared" si="24"/>
        <v>72</v>
      </c>
      <c r="G1567" s="1"/>
    </row>
    <row r="1568" spans="1:7" x14ac:dyDescent="0.25">
      <c r="A1568" s="4" t="s">
        <v>478</v>
      </c>
      <c r="B1568" s="5" t="s">
        <v>576</v>
      </c>
      <c r="C1568" s="5">
        <v>0</v>
      </c>
      <c r="D1568">
        <f t="shared" si="24"/>
        <v>72</v>
      </c>
      <c r="G1568" s="1"/>
    </row>
    <row r="1569" spans="1:7" x14ac:dyDescent="0.25">
      <c r="A1569" s="3" t="s">
        <v>478</v>
      </c>
      <c r="B1569" s="6" t="s">
        <v>577</v>
      </c>
      <c r="C1569" s="6">
        <v>0</v>
      </c>
      <c r="D1569">
        <f t="shared" si="24"/>
        <v>72</v>
      </c>
      <c r="G1569" s="1"/>
    </row>
    <row r="1570" spans="1:7" x14ac:dyDescent="0.25">
      <c r="A1570" s="4" t="s">
        <v>478</v>
      </c>
      <c r="B1570" s="5" t="s">
        <v>579</v>
      </c>
      <c r="C1570" s="5">
        <v>0</v>
      </c>
      <c r="D1570">
        <f t="shared" si="24"/>
        <v>72</v>
      </c>
      <c r="G1570" s="1"/>
    </row>
    <row r="1571" spans="1:7" x14ac:dyDescent="0.25">
      <c r="A1571" s="3" t="s">
        <v>478</v>
      </c>
      <c r="B1571" s="6" t="s">
        <v>580</v>
      </c>
      <c r="C1571" s="6" t="s">
        <v>627</v>
      </c>
      <c r="D1571">
        <f t="shared" si="24"/>
        <v>72</v>
      </c>
      <c r="G1571" s="1"/>
    </row>
    <row r="1572" spans="1:7" x14ac:dyDescent="0.25">
      <c r="A1572" s="4" t="s">
        <v>478</v>
      </c>
      <c r="B1572" s="5" t="s">
        <v>581</v>
      </c>
      <c r="C1572" s="5" t="s">
        <v>627</v>
      </c>
      <c r="D1572">
        <f t="shared" si="24"/>
        <v>72</v>
      </c>
      <c r="G1572" s="1"/>
    </row>
    <row r="1573" spans="1:7" x14ac:dyDescent="0.25">
      <c r="A1573" s="3" t="s">
        <v>478</v>
      </c>
      <c r="B1573" s="6" t="s">
        <v>582</v>
      </c>
      <c r="C1573" s="6">
        <v>0</v>
      </c>
      <c r="D1573">
        <f t="shared" si="24"/>
        <v>72</v>
      </c>
      <c r="G1573" s="1"/>
    </row>
    <row r="1574" spans="1:7" x14ac:dyDescent="0.25">
      <c r="A1574" s="4" t="s">
        <v>478</v>
      </c>
      <c r="B1574" s="5" t="s">
        <v>583</v>
      </c>
      <c r="C1574" s="5">
        <v>0</v>
      </c>
      <c r="D1574">
        <f t="shared" si="24"/>
        <v>72</v>
      </c>
      <c r="G1574" s="1"/>
    </row>
    <row r="1575" spans="1:7" x14ac:dyDescent="0.25">
      <c r="A1575" s="3" t="s">
        <v>478</v>
      </c>
      <c r="B1575" s="6" t="s">
        <v>584</v>
      </c>
      <c r="C1575" s="6" t="s">
        <v>627</v>
      </c>
      <c r="D1575">
        <f t="shared" si="24"/>
        <v>72</v>
      </c>
      <c r="G1575" s="1"/>
    </row>
    <row r="1576" spans="1:7" x14ac:dyDescent="0.25">
      <c r="A1576" s="4" t="s">
        <v>478</v>
      </c>
      <c r="B1576" s="5" t="s">
        <v>585</v>
      </c>
      <c r="C1576" s="5">
        <v>0</v>
      </c>
      <c r="D1576">
        <f t="shared" si="24"/>
        <v>72</v>
      </c>
      <c r="G1576" s="1"/>
    </row>
    <row r="1577" spans="1:7" x14ac:dyDescent="0.25">
      <c r="A1577" s="3" t="s">
        <v>478</v>
      </c>
      <c r="B1577" s="6" t="s">
        <v>586</v>
      </c>
      <c r="C1577" s="6">
        <v>0</v>
      </c>
      <c r="D1577">
        <f t="shared" si="24"/>
        <v>72</v>
      </c>
      <c r="G1577" s="1"/>
    </row>
    <row r="1578" spans="1:7" x14ac:dyDescent="0.25">
      <c r="A1578" s="4" t="s">
        <v>478</v>
      </c>
      <c r="B1578" s="5" t="s">
        <v>587</v>
      </c>
      <c r="C1578" s="5">
        <v>0</v>
      </c>
      <c r="D1578">
        <f t="shared" si="24"/>
        <v>72</v>
      </c>
      <c r="G1578" s="1"/>
    </row>
    <row r="1579" spans="1:7" x14ac:dyDescent="0.25">
      <c r="A1579" s="3" t="s">
        <v>478</v>
      </c>
      <c r="B1579" s="6" t="s">
        <v>588</v>
      </c>
      <c r="C1579" s="6">
        <v>0</v>
      </c>
      <c r="D1579">
        <f t="shared" si="24"/>
        <v>72</v>
      </c>
      <c r="G1579" s="1"/>
    </row>
    <row r="1580" spans="1:7" x14ac:dyDescent="0.25">
      <c r="A1580" s="4" t="s">
        <v>478</v>
      </c>
      <c r="B1580" s="5" t="s">
        <v>589</v>
      </c>
      <c r="C1580" s="5" t="s">
        <v>246</v>
      </c>
      <c r="D1580">
        <f t="shared" si="24"/>
        <v>72</v>
      </c>
      <c r="G1580" s="1"/>
    </row>
    <row r="1581" spans="1:7" x14ac:dyDescent="0.25">
      <c r="A1581" s="3" t="s">
        <v>478</v>
      </c>
      <c r="B1581" s="6" t="s">
        <v>590</v>
      </c>
      <c r="C1581" s="6">
        <v>1</v>
      </c>
      <c r="D1581">
        <f t="shared" si="24"/>
        <v>72</v>
      </c>
      <c r="G1581" s="1"/>
    </row>
    <row r="1582" spans="1:7" x14ac:dyDescent="0.25">
      <c r="A1582" s="4" t="s">
        <v>478</v>
      </c>
      <c r="B1582" s="5" t="s">
        <v>591</v>
      </c>
      <c r="C1582" s="5" t="s">
        <v>246</v>
      </c>
      <c r="D1582">
        <f t="shared" si="24"/>
        <v>72</v>
      </c>
      <c r="G1582" s="1"/>
    </row>
    <row r="1583" spans="1:7" x14ac:dyDescent="0.25">
      <c r="A1583" s="3" t="s">
        <v>478</v>
      </c>
      <c r="B1583" s="6" t="s">
        <v>592</v>
      </c>
      <c r="C1583" s="6">
        <v>0</v>
      </c>
      <c r="D1583">
        <f t="shared" si="24"/>
        <v>72</v>
      </c>
      <c r="G1583" s="1"/>
    </row>
    <row r="1584" spans="1:7" x14ac:dyDescent="0.25">
      <c r="A1584" s="4"/>
      <c r="B1584" s="5"/>
      <c r="C1584" s="5"/>
      <c r="D1584">
        <f t="shared" si="24"/>
        <v>72</v>
      </c>
      <c r="G1584" s="1"/>
    </row>
    <row r="1585" spans="1:7" x14ac:dyDescent="0.25">
      <c r="A1585" s="3" t="s">
        <v>491</v>
      </c>
      <c r="B1585" s="6" t="s">
        <v>574</v>
      </c>
      <c r="C1585" s="6">
        <v>0</v>
      </c>
      <c r="D1585">
        <f t="shared" si="24"/>
        <v>73</v>
      </c>
      <c r="G1585" s="1"/>
    </row>
    <row r="1586" spans="1:7" x14ac:dyDescent="0.25">
      <c r="A1586" s="4" t="s">
        <v>491</v>
      </c>
      <c r="B1586" s="5" t="s">
        <v>575</v>
      </c>
      <c r="C1586" s="5">
        <v>0</v>
      </c>
      <c r="D1586">
        <f t="shared" si="24"/>
        <v>73</v>
      </c>
      <c r="G1586" s="1"/>
    </row>
    <row r="1587" spans="1:7" x14ac:dyDescent="0.25">
      <c r="A1587" s="3" t="s">
        <v>491</v>
      </c>
      <c r="B1587" s="6" t="s">
        <v>576</v>
      </c>
      <c r="C1587" s="6">
        <v>0</v>
      </c>
      <c r="D1587">
        <f t="shared" si="24"/>
        <v>73</v>
      </c>
      <c r="G1587" s="1"/>
    </row>
    <row r="1588" spans="1:7" x14ac:dyDescent="0.25">
      <c r="A1588" s="4" t="s">
        <v>491</v>
      </c>
      <c r="B1588" s="5" t="s">
        <v>577</v>
      </c>
      <c r="C1588" s="5">
        <v>0</v>
      </c>
      <c r="D1588">
        <f t="shared" si="24"/>
        <v>73</v>
      </c>
      <c r="G1588" s="1"/>
    </row>
    <row r="1589" spans="1:7" x14ac:dyDescent="0.25">
      <c r="A1589" s="3" t="s">
        <v>491</v>
      </c>
      <c r="B1589" s="6" t="s">
        <v>578</v>
      </c>
      <c r="C1589" s="6">
        <v>0</v>
      </c>
      <c r="D1589">
        <f t="shared" si="24"/>
        <v>73</v>
      </c>
      <c r="G1589" s="1"/>
    </row>
    <row r="1590" spans="1:7" x14ac:dyDescent="0.25">
      <c r="A1590" s="4" t="s">
        <v>491</v>
      </c>
      <c r="B1590" s="5" t="s">
        <v>579</v>
      </c>
      <c r="C1590" s="5">
        <v>0</v>
      </c>
      <c r="D1590">
        <f t="shared" si="24"/>
        <v>73</v>
      </c>
      <c r="G1590" s="1"/>
    </row>
    <row r="1591" spans="1:7" x14ac:dyDescent="0.25">
      <c r="A1591" s="3" t="s">
        <v>491</v>
      </c>
      <c r="B1591" s="6" t="s">
        <v>580</v>
      </c>
      <c r="C1591" s="6">
        <v>0</v>
      </c>
      <c r="D1591">
        <f t="shared" si="24"/>
        <v>73</v>
      </c>
      <c r="G1591" s="1"/>
    </row>
    <row r="1592" spans="1:7" x14ac:dyDescent="0.25">
      <c r="A1592" s="4" t="s">
        <v>491</v>
      </c>
      <c r="B1592" s="5" t="s">
        <v>581</v>
      </c>
      <c r="C1592" s="5">
        <v>0</v>
      </c>
      <c r="D1592">
        <f t="shared" si="24"/>
        <v>73</v>
      </c>
      <c r="G1592" s="1"/>
    </row>
    <row r="1593" spans="1:7" x14ac:dyDescent="0.25">
      <c r="A1593" s="3" t="s">
        <v>491</v>
      </c>
      <c r="B1593" s="6" t="s">
        <v>582</v>
      </c>
      <c r="C1593" s="6">
        <v>1</v>
      </c>
      <c r="D1593">
        <f t="shared" si="24"/>
        <v>73</v>
      </c>
      <c r="G1593" s="1"/>
    </row>
    <row r="1594" spans="1:7" x14ac:dyDescent="0.25">
      <c r="A1594" s="4" t="s">
        <v>491</v>
      </c>
      <c r="B1594" s="5" t="s">
        <v>583</v>
      </c>
      <c r="C1594" s="5">
        <v>1</v>
      </c>
      <c r="D1594">
        <f t="shared" si="24"/>
        <v>73</v>
      </c>
      <c r="G1594" s="1"/>
    </row>
    <row r="1595" spans="1:7" x14ac:dyDescent="0.25">
      <c r="A1595" s="3" t="s">
        <v>491</v>
      </c>
      <c r="B1595" s="6" t="s">
        <v>584</v>
      </c>
      <c r="C1595" s="6">
        <v>0</v>
      </c>
      <c r="D1595">
        <f t="shared" si="24"/>
        <v>73</v>
      </c>
      <c r="G1595" s="1"/>
    </row>
    <row r="1596" spans="1:7" x14ac:dyDescent="0.25">
      <c r="A1596" s="4" t="s">
        <v>491</v>
      </c>
      <c r="B1596" s="5" t="s">
        <v>585</v>
      </c>
      <c r="C1596" s="5">
        <v>0</v>
      </c>
      <c r="D1596">
        <f t="shared" si="24"/>
        <v>73</v>
      </c>
      <c r="G1596" s="1"/>
    </row>
    <row r="1597" spans="1:7" x14ac:dyDescent="0.25">
      <c r="A1597" s="3" t="s">
        <v>491</v>
      </c>
      <c r="B1597" s="6" t="s">
        <v>586</v>
      </c>
      <c r="C1597" s="6">
        <v>0</v>
      </c>
      <c r="D1597">
        <f t="shared" si="24"/>
        <v>73</v>
      </c>
      <c r="G1597" s="1"/>
    </row>
    <row r="1598" spans="1:7" x14ac:dyDescent="0.25">
      <c r="A1598" s="4" t="s">
        <v>491</v>
      </c>
      <c r="B1598" s="5" t="s">
        <v>587</v>
      </c>
      <c r="C1598" s="5">
        <v>1</v>
      </c>
      <c r="D1598">
        <f t="shared" si="24"/>
        <v>73</v>
      </c>
      <c r="G1598" s="1"/>
    </row>
    <row r="1599" spans="1:7" x14ac:dyDescent="0.25">
      <c r="A1599" s="3" t="s">
        <v>491</v>
      </c>
      <c r="B1599" s="6" t="s">
        <v>588</v>
      </c>
      <c r="C1599" s="6">
        <v>0</v>
      </c>
      <c r="D1599">
        <f t="shared" si="24"/>
        <v>73</v>
      </c>
      <c r="G1599" s="1"/>
    </row>
    <row r="1600" spans="1:7" x14ac:dyDescent="0.25">
      <c r="A1600" s="4" t="s">
        <v>491</v>
      </c>
      <c r="B1600" s="5" t="s">
        <v>589</v>
      </c>
      <c r="C1600" s="5" t="s">
        <v>246</v>
      </c>
      <c r="D1600">
        <f t="shared" si="24"/>
        <v>73</v>
      </c>
      <c r="G1600" s="1"/>
    </row>
    <row r="1601" spans="1:7" x14ac:dyDescent="0.25">
      <c r="A1601" s="3" t="s">
        <v>491</v>
      </c>
      <c r="B1601" s="6" t="s">
        <v>590</v>
      </c>
      <c r="C1601" s="6">
        <v>1</v>
      </c>
      <c r="D1601">
        <f t="shared" si="24"/>
        <v>73</v>
      </c>
      <c r="G1601" s="1"/>
    </row>
    <row r="1602" spans="1:7" x14ac:dyDescent="0.25">
      <c r="A1602" s="4" t="s">
        <v>491</v>
      </c>
      <c r="B1602" s="5" t="s">
        <v>591</v>
      </c>
      <c r="C1602" s="5" t="s">
        <v>246</v>
      </c>
      <c r="D1602">
        <f t="shared" si="24"/>
        <v>73</v>
      </c>
      <c r="G1602" s="1"/>
    </row>
    <row r="1603" spans="1:7" x14ac:dyDescent="0.25">
      <c r="A1603" s="3" t="s">
        <v>491</v>
      </c>
      <c r="B1603" s="6" t="s">
        <v>592</v>
      </c>
      <c r="C1603" s="6">
        <v>1</v>
      </c>
      <c r="D1603">
        <f t="shared" si="24"/>
        <v>73</v>
      </c>
      <c r="G1603" s="1"/>
    </row>
    <row r="1604" spans="1:7" x14ac:dyDescent="0.25">
      <c r="A1604" s="4" t="s">
        <v>491</v>
      </c>
      <c r="B1604" s="5" t="s">
        <v>593</v>
      </c>
      <c r="C1604" s="5">
        <v>0</v>
      </c>
      <c r="D1604">
        <f t="shared" ref="D1604:D1667" si="25">IF(B1604="CCM", D1603+1, D1603)</f>
        <v>73</v>
      </c>
      <c r="G1604" s="1"/>
    </row>
    <row r="1605" spans="1:7" x14ac:dyDescent="0.25">
      <c r="A1605" s="3" t="s">
        <v>492</v>
      </c>
      <c r="B1605" s="6" t="s">
        <v>574</v>
      </c>
      <c r="C1605" s="6">
        <v>0</v>
      </c>
      <c r="D1605">
        <f t="shared" si="25"/>
        <v>74</v>
      </c>
      <c r="G1605" s="1"/>
    </row>
    <row r="1606" spans="1:7" x14ac:dyDescent="0.25">
      <c r="A1606" s="4" t="s">
        <v>492</v>
      </c>
      <c r="B1606" s="5" t="s">
        <v>575</v>
      </c>
      <c r="C1606" s="5">
        <v>0</v>
      </c>
      <c r="D1606">
        <f t="shared" si="25"/>
        <v>74</v>
      </c>
      <c r="G1606" s="1"/>
    </row>
    <row r="1607" spans="1:7" x14ac:dyDescent="0.25">
      <c r="A1607" s="3" t="s">
        <v>492</v>
      </c>
      <c r="B1607" s="6" t="s">
        <v>576</v>
      </c>
      <c r="C1607" s="6">
        <v>0</v>
      </c>
      <c r="D1607">
        <f t="shared" si="25"/>
        <v>74</v>
      </c>
      <c r="G1607" s="1"/>
    </row>
    <row r="1608" spans="1:7" x14ac:dyDescent="0.25">
      <c r="A1608" s="4" t="s">
        <v>492</v>
      </c>
      <c r="B1608" s="5" t="s">
        <v>577</v>
      </c>
      <c r="C1608" s="5">
        <v>0</v>
      </c>
      <c r="D1608">
        <f t="shared" si="25"/>
        <v>74</v>
      </c>
      <c r="G1608" s="1"/>
    </row>
    <row r="1609" spans="1:7" x14ac:dyDescent="0.25">
      <c r="A1609" s="3" t="s">
        <v>492</v>
      </c>
      <c r="B1609" s="6" t="s">
        <v>578</v>
      </c>
      <c r="C1609" s="6">
        <v>0</v>
      </c>
      <c r="D1609">
        <f t="shared" si="25"/>
        <v>74</v>
      </c>
      <c r="G1609" s="1"/>
    </row>
    <row r="1610" spans="1:7" x14ac:dyDescent="0.25">
      <c r="A1610" s="4" t="s">
        <v>492</v>
      </c>
      <c r="B1610" s="5" t="s">
        <v>579</v>
      </c>
      <c r="C1610" s="5">
        <v>0</v>
      </c>
      <c r="D1610">
        <f t="shared" si="25"/>
        <v>74</v>
      </c>
      <c r="G1610" s="1"/>
    </row>
    <row r="1611" spans="1:7" x14ac:dyDescent="0.25">
      <c r="A1611" s="3" t="s">
        <v>492</v>
      </c>
      <c r="B1611" s="6" t="s">
        <v>580</v>
      </c>
      <c r="C1611" s="6" t="s">
        <v>627</v>
      </c>
      <c r="D1611">
        <f t="shared" si="25"/>
        <v>74</v>
      </c>
      <c r="G1611" s="1"/>
    </row>
    <row r="1612" spans="1:7" x14ac:dyDescent="0.25">
      <c r="A1612" s="4" t="s">
        <v>492</v>
      </c>
      <c r="B1612" s="5" t="s">
        <v>581</v>
      </c>
      <c r="C1612" s="5" t="s">
        <v>627</v>
      </c>
      <c r="D1612">
        <f t="shared" si="25"/>
        <v>74</v>
      </c>
      <c r="G1612" s="1"/>
    </row>
    <row r="1613" spans="1:7" x14ac:dyDescent="0.25">
      <c r="A1613" s="3" t="s">
        <v>492</v>
      </c>
      <c r="B1613" s="6" t="s">
        <v>582</v>
      </c>
      <c r="C1613" s="6">
        <v>0</v>
      </c>
      <c r="D1613">
        <f t="shared" si="25"/>
        <v>74</v>
      </c>
      <c r="G1613" s="1"/>
    </row>
    <row r="1614" spans="1:7" x14ac:dyDescent="0.25">
      <c r="A1614" s="4" t="s">
        <v>492</v>
      </c>
      <c r="B1614" s="5" t="s">
        <v>583</v>
      </c>
      <c r="C1614" s="5">
        <v>0</v>
      </c>
      <c r="D1614">
        <f t="shared" si="25"/>
        <v>74</v>
      </c>
      <c r="G1614" s="1"/>
    </row>
    <row r="1615" spans="1:7" x14ac:dyDescent="0.25">
      <c r="A1615" s="3" t="s">
        <v>492</v>
      </c>
      <c r="B1615" s="6" t="s">
        <v>584</v>
      </c>
      <c r="C1615" s="6" t="s">
        <v>627</v>
      </c>
      <c r="D1615">
        <f t="shared" si="25"/>
        <v>74</v>
      </c>
      <c r="G1615" s="1"/>
    </row>
    <row r="1616" spans="1:7" x14ac:dyDescent="0.25">
      <c r="A1616" s="4" t="s">
        <v>492</v>
      </c>
      <c r="B1616" s="5" t="s">
        <v>585</v>
      </c>
      <c r="C1616" s="5">
        <v>0</v>
      </c>
      <c r="D1616">
        <f t="shared" si="25"/>
        <v>74</v>
      </c>
      <c r="G1616" s="1"/>
    </row>
    <row r="1617" spans="1:7" x14ac:dyDescent="0.25">
      <c r="A1617" s="3" t="s">
        <v>492</v>
      </c>
      <c r="B1617" s="6" t="s">
        <v>586</v>
      </c>
      <c r="C1617" s="6">
        <v>0</v>
      </c>
      <c r="D1617">
        <f t="shared" si="25"/>
        <v>74</v>
      </c>
      <c r="G1617" s="1"/>
    </row>
    <row r="1618" spans="1:7" x14ac:dyDescent="0.25">
      <c r="A1618" s="4" t="s">
        <v>492</v>
      </c>
      <c r="B1618" s="5" t="s">
        <v>587</v>
      </c>
      <c r="C1618" s="5">
        <v>1</v>
      </c>
      <c r="D1618">
        <f t="shared" si="25"/>
        <v>74</v>
      </c>
      <c r="G1618" s="1"/>
    </row>
    <row r="1619" spans="1:7" x14ac:dyDescent="0.25">
      <c r="A1619" s="3" t="s">
        <v>492</v>
      </c>
      <c r="B1619" s="6" t="s">
        <v>588</v>
      </c>
      <c r="C1619" s="6">
        <v>0</v>
      </c>
      <c r="D1619">
        <f t="shared" si="25"/>
        <v>74</v>
      </c>
      <c r="G1619" s="1"/>
    </row>
    <row r="1620" spans="1:7" x14ac:dyDescent="0.25">
      <c r="A1620" s="4" t="s">
        <v>492</v>
      </c>
      <c r="B1620" s="5" t="s">
        <v>589</v>
      </c>
      <c r="C1620" s="5" t="s">
        <v>246</v>
      </c>
      <c r="D1620">
        <f t="shared" si="25"/>
        <v>74</v>
      </c>
      <c r="G1620" s="1"/>
    </row>
    <row r="1621" spans="1:7" x14ac:dyDescent="0.25">
      <c r="A1621" s="3" t="s">
        <v>492</v>
      </c>
      <c r="B1621" s="6" t="s">
        <v>590</v>
      </c>
      <c r="C1621" s="6">
        <v>1</v>
      </c>
      <c r="D1621">
        <f t="shared" si="25"/>
        <v>74</v>
      </c>
      <c r="G1621" s="1"/>
    </row>
    <row r="1622" spans="1:7" x14ac:dyDescent="0.25">
      <c r="A1622" s="4" t="s">
        <v>492</v>
      </c>
      <c r="B1622" s="5" t="s">
        <v>591</v>
      </c>
      <c r="C1622" s="5" t="s">
        <v>246</v>
      </c>
      <c r="D1622">
        <f t="shared" si="25"/>
        <v>74</v>
      </c>
      <c r="G1622" s="1"/>
    </row>
    <row r="1623" spans="1:7" x14ac:dyDescent="0.25">
      <c r="A1623" s="3" t="s">
        <v>492</v>
      </c>
      <c r="B1623" s="6" t="s">
        <v>592</v>
      </c>
      <c r="C1623" s="6">
        <v>1</v>
      </c>
      <c r="D1623">
        <f t="shared" si="25"/>
        <v>74</v>
      </c>
      <c r="G1623" s="1"/>
    </row>
    <row r="1624" spans="1:7" x14ac:dyDescent="0.25">
      <c r="A1624" s="4" t="s">
        <v>492</v>
      </c>
      <c r="B1624" s="5" t="s">
        <v>593</v>
      </c>
      <c r="C1624" s="5">
        <v>0</v>
      </c>
      <c r="D1624">
        <f t="shared" si="25"/>
        <v>74</v>
      </c>
      <c r="G1624" s="1"/>
    </row>
    <row r="1625" spans="1:7" x14ac:dyDescent="0.25">
      <c r="A1625" s="3" t="s">
        <v>493</v>
      </c>
      <c r="B1625" s="6" t="s">
        <v>574</v>
      </c>
      <c r="C1625" s="6">
        <v>0</v>
      </c>
      <c r="D1625">
        <f t="shared" si="25"/>
        <v>75</v>
      </c>
      <c r="G1625" s="1"/>
    </row>
    <row r="1626" spans="1:7" x14ac:dyDescent="0.25">
      <c r="A1626" s="4" t="s">
        <v>493</v>
      </c>
      <c r="B1626" s="5" t="s">
        <v>575</v>
      </c>
      <c r="C1626" s="5">
        <v>0</v>
      </c>
      <c r="D1626">
        <f t="shared" si="25"/>
        <v>75</v>
      </c>
      <c r="G1626" s="1"/>
    </row>
    <row r="1627" spans="1:7" x14ac:dyDescent="0.25">
      <c r="A1627" s="3" t="s">
        <v>493</v>
      </c>
      <c r="B1627" s="6" t="s">
        <v>576</v>
      </c>
      <c r="C1627" s="6">
        <v>0</v>
      </c>
      <c r="D1627">
        <f t="shared" si="25"/>
        <v>75</v>
      </c>
      <c r="G1627" s="1"/>
    </row>
    <row r="1628" spans="1:7" x14ac:dyDescent="0.25">
      <c r="A1628" s="4" t="s">
        <v>493</v>
      </c>
      <c r="B1628" s="5" t="s">
        <v>577</v>
      </c>
      <c r="C1628" s="5">
        <v>0</v>
      </c>
      <c r="D1628">
        <f t="shared" si="25"/>
        <v>75</v>
      </c>
      <c r="G1628" s="1"/>
    </row>
    <row r="1629" spans="1:7" x14ac:dyDescent="0.25">
      <c r="A1629" s="3" t="s">
        <v>493</v>
      </c>
      <c r="B1629" s="6" t="s">
        <v>578</v>
      </c>
      <c r="C1629" s="6">
        <v>0</v>
      </c>
      <c r="D1629">
        <f t="shared" si="25"/>
        <v>75</v>
      </c>
      <c r="G1629" s="1"/>
    </row>
    <row r="1630" spans="1:7" x14ac:dyDescent="0.25">
      <c r="A1630" s="4" t="s">
        <v>493</v>
      </c>
      <c r="B1630" s="5" t="s">
        <v>579</v>
      </c>
      <c r="C1630" s="5">
        <v>0</v>
      </c>
      <c r="D1630">
        <f t="shared" si="25"/>
        <v>75</v>
      </c>
      <c r="G1630" s="1"/>
    </row>
    <row r="1631" spans="1:7" x14ac:dyDescent="0.25">
      <c r="A1631" s="3" t="s">
        <v>493</v>
      </c>
      <c r="B1631" s="6" t="s">
        <v>580</v>
      </c>
      <c r="C1631" s="6" t="s">
        <v>627</v>
      </c>
      <c r="D1631">
        <f t="shared" si="25"/>
        <v>75</v>
      </c>
      <c r="G1631" s="1"/>
    </row>
    <row r="1632" spans="1:7" x14ac:dyDescent="0.25">
      <c r="A1632" s="4" t="s">
        <v>493</v>
      </c>
      <c r="B1632" s="5" t="s">
        <v>581</v>
      </c>
      <c r="C1632" s="5" t="s">
        <v>627</v>
      </c>
      <c r="D1632">
        <f t="shared" si="25"/>
        <v>75</v>
      </c>
      <c r="G1632" s="1"/>
    </row>
    <row r="1633" spans="1:7" x14ac:dyDescent="0.25">
      <c r="A1633" s="3" t="s">
        <v>493</v>
      </c>
      <c r="B1633" s="6" t="s">
        <v>582</v>
      </c>
      <c r="C1633" s="6">
        <v>0</v>
      </c>
      <c r="D1633">
        <f t="shared" si="25"/>
        <v>75</v>
      </c>
      <c r="G1633" s="1"/>
    </row>
    <row r="1634" spans="1:7" x14ac:dyDescent="0.25">
      <c r="A1634" s="4" t="s">
        <v>493</v>
      </c>
      <c r="B1634" s="5" t="s">
        <v>583</v>
      </c>
      <c r="C1634" s="5">
        <v>0</v>
      </c>
      <c r="D1634">
        <f t="shared" si="25"/>
        <v>75</v>
      </c>
      <c r="G1634" s="1"/>
    </row>
    <row r="1635" spans="1:7" x14ac:dyDescent="0.25">
      <c r="A1635" s="3" t="s">
        <v>493</v>
      </c>
      <c r="B1635" s="6" t="s">
        <v>584</v>
      </c>
      <c r="C1635" s="6" t="s">
        <v>627</v>
      </c>
      <c r="D1635">
        <f t="shared" si="25"/>
        <v>75</v>
      </c>
      <c r="G1635" s="1"/>
    </row>
    <row r="1636" spans="1:7" x14ac:dyDescent="0.25">
      <c r="A1636" s="4" t="s">
        <v>493</v>
      </c>
      <c r="B1636" s="5" t="s">
        <v>585</v>
      </c>
      <c r="C1636" s="5">
        <v>0</v>
      </c>
      <c r="D1636">
        <f t="shared" si="25"/>
        <v>75</v>
      </c>
      <c r="G1636" s="1"/>
    </row>
    <row r="1637" spans="1:7" x14ac:dyDescent="0.25">
      <c r="A1637" s="3" t="s">
        <v>493</v>
      </c>
      <c r="B1637" s="6" t="s">
        <v>586</v>
      </c>
      <c r="C1637" s="6">
        <v>0</v>
      </c>
      <c r="D1637">
        <f t="shared" si="25"/>
        <v>75</v>
      </c>
      <c r="G1637" s="1"/>
    </row>
    <row r="1638" spans="1:7" x14ac:dyDescent="0.25">
      <c r="A1638" s="4" t="s">
        <v>493</v>
      </c>
      <c r="B1638" s="5" t="s">
        <v>587</v>
      </c>
      <c r="C1638" s="5">
        <v>1</v>
      </c>
      <c r="D1638">
        <f t="shared" si="25"/>
        <v>75</v>
      </c>
      <c r="G1638" s="1"/>
    </row>
    <row r="1639" spans="1:7" x14ac:dyDescent="0.25">
      <c r="A1639" s="3" t="s">
        <v>493</v>
      </c>
      <c r="B1639" s="6" t="s">
        <v>588</v>
      </c>
      <c r="C1639" s="6">
        <v>0</v>
      </c>
      <c r="D1639">
        <f t="shared" si="25"/>
        <v>75</v>
      </c>
      <c r="G1639" s="1"/>
    </row>
    <row r="1640" spans="1:7" x14ac:dyDescent="0.25">
      <c r="A1640" s="4" t="s">
        <v>493</v>
      </c>
      <c r="B1640" s="5" t="s">
        <v>589</v>
      </c>
      <c r="C1640" s="5" t="s">
        <v>246</v>
      </c>
      <c r="D1640">
        <f t="shared" si="25"/>
        <v>75</v>
      </c>
      <c r="G1640" s="1"/>
    </row>
    <row r="1641" spans="1:7" x14ac:dyDescent="0.25">
      <c r="A1641" s="3" t="s">
        <v>493</v>
      </c>
      <c r="B1641" s="6" t="s">
        <v>590</v>
      </c>
      <c r="C1641" s="6">
        <v>1</v>
      </c>
      <c r="D1641">
        <f t="shared" si="25"/>
        <v>75</v>
      </c>
      <c r="G1641" s="1"/>
    </row>
    <row r="1642" spans="1:7" x14ac:dyDescent="0.25">
      <c r="A1642" s="4" t="s">
        <v>493</v>
      </c>
      <c r="B1642" s="5" t="s">
        <v>591</v>
      </c>
      <c r="C1642" s="5" t="s">
        <v>246</v>
      </c>
      <c r="D1642">
        <f t="shared" si="25"/>
        <v>75</v>
      </c>
      <c r="G1642" s="1"/>
    </row>
    <row r="1643" spans="1:7" x14ac:dyDescent="0.25">
      <c r="A1643" s="3" t="s">
        <v>493</v>
      </c>
      <c r="B1643" s="6" t="s">
        <v>592</v>
      </c>
      <c r="C1643" s="6">
        <v>1</v>
      </c>
      <c r="D1643">
        <f t="shared" si="25"/>
        <v>75</v>
      </c>
      <c r="G1643" s="1"/>
    </row>
    <row r="1644" spans="1:7" x14ac:dyDescent="0.25">
      <c r="A1644" s="4" t="s">
        <v>493</v>
      </c>
      <c r="B1644" s="5" t="s">
        <v>593</v>
      </c>
      <c r="C1644" s="5">
        <v>0</v>
      </c>
      <c r="D1644">
        <f t="shared" si="25"/>
        <v>75</v>
      </c>
      <c r="G1644" s="1"/>
    </row>
    <row r="1645" spans="1:7" x14ac:dyDescent="0.25">
      <c r="A1645" s="3" t="s">
        <v>494</v>
      </c>
      <c r="B1645" s="6" t="s">
        <v>574</v>
      </c>
      <c r="C1645" s="6">
        <v>0</v>
      </c>
      <c r="D1645">
        <f t="shared" si="25"/>
        <v>76</v>
      </c>
      <c r="G1645" s="1"/>
    </row>
    <row r="1646" spans="1:7" x14ac:dyDescent="0.25">
      <c r="A1646" s="4" t="s">
        <v>494</v>
      </c>
      <c r="B1646" s="5" t="s">
        <v>575</v>
      </c>
      <c r="C1646" s="5">
        <v>0</v>
      </c>
      <c r="D1646">
        <f t="shared" si="25"/>
        <v>76</v>
      </c>
      <c r="G1646" s="1"/>
    </row>
    <row r="1647" spans="1:7" x14ac:dyDescent="0.25">
      <c r="A1647" s="3" t="s">
        <v>494</v>
      </c>
      <c r="B1647" s="6" t="s">
        <v>576</v>
      </c>
      <c r="C1647" s="6">
        <v>0</v>
      </c>
      <c r="D1647">
        <f t="shared" si="25"/>
        <v>76</v>
      </c>
      <c r="G1647" s="1"/>
    </row>
    <row r="1648" spans="1:7" x14ac:dyDescent="0.25">
      <c r="A1648" s="4" t="s">
        <v>494</v>
      </c>
      <c r="B1648" s="5" t="s">
        <v>577</v>
      </c>
      <c r="C1648" s="5">
        <v>0</v>
      </c>
      <c r="D1648">
        <f t="shared" si="25"/>
        <v>76</v>
      </c>
      <c r="G1648" s="1"/>
    </row>
    <row r="1649" spans="1:7" x14ac:dyDescent="0.25">
      <c r="A1649" s="3" t="s">
        <v>494</v>
      </c>
      <c r="B1649" s="6" t="s">
        <v>578</v>
      </c>
      <c r="C1649" s="6">
        <v>0</v>
      </c>
      <c r="D1649">
        <f t="shared" si="25"/>
        <v>76</v>
      </c>
      <c r="G1649" s="1"/>
    </row>
    <row r="1650" spans="1:7" x14ac:dyDescent="0.25">
      <c r="A1650" s="4" t="s">
        <v>494</v>
      </c>
      <c r="B1650" s="5" t="s">
        <v>579</v>
      </c>
      <c r="C1650" s="5">
        <v>0</v>
      </c>
      <c r="D1650">
        <f t="shared" si="25"/>
        <v>76</v>
      </c>
      <c r="G1650" s="1"/>
    </row>
    <row r="1651" spans="1:7" x14ac:dyDescent="0.25">
      <c r="A1651" s="3" t="s">
        <v>494</v>
      </c>
      <c r="B1651" s="6" t="s">
        <v>580</v>
      </c>
      <c r="C1651" s="6">
        <v>0</v>
      </c>
      <c r="D1651">
        <f t="shared" si="25"/>
        <v>76</v>
      </c>
      <c r="G1651" s="1"/>
    </row>
    <row r="1652" spans="1:7" x14ac:dyDescent="0.25">
      <c r="A1652" s="4" t="s">
        <v>494</v>
      </c>
      <c r="B1652" s="5" t="s">
        <v>581</v>
      </c>
      <c r="C1652" s="5">
        <v>0</v>
      </c>
      <c r="D1652">
        <f t="shared" si="25"/>
        <v>76</v>
      </c>
      <c r="G1652" s="1"/>
    </row>
    <row r="1653" spans="1:7" x14ac:dyDescent="0.25">
      <c r="A1653" s="3" t="s">
        <v>494</v>
      </c>
      <c r="B1653" s="6" t="s">
        <v>582</v>
      </c>
      <c r="C1653" s="6">
        <v>1</v>
      </c>
      <c r="D1653">
        <f t="shared" si="25"/>
        <v>76</v>
      </c>
      <c r="G1653" s="1"/>
    </row>
    <row r="1654" spans="1:7" x14ac:dyDescent="0.25">
      <c r="A1654" s="4" t="s">
        <v>494</v>
      </c>
      <c r="B1654" s="5" t="s">
        <v>583</v>
      </c>
      <c r="C1654" s="5">
        <v>1</v>
      </c>
      <c r="D1654">
        <f t="shared" si="25"/>
        <v>76</v>
      </c>
      <c r="G1654" s="1"/>
    </row>
    <row r="1655" spans="1:7" x14ac:dyDescent="0.25">
      <c r="A1655" s="3" t="s">
        <v>494</v>
      </c>
      <c r="B1655" s="6" t="s">
        <v>584</v>
      </c>
      <c r="C1655" s="6">
        <v>0</v>
      </c>
      <c r="D1655">
        <f t="shared" si="25"/>
        <v>76</v>
      </c>
      <c r="G1655" s="1"/>
    </row>
    <row r="1656" spans="1:7" x14ac:dyDescent="0.25">
      <c r="A1656" s="4" t="s">
        <v>494</v>
      </c>
      <c r="B1656" s="5" t="s">
        <v>585</v>
      </c>
      <c r="C1656" s="5">
        <v>0</v>
      </c>
      <c r="D1656">
        <f t="shared" si="25"/>
        <v>76</v>
      </c>
      <c r="G1656" s="1"/>
    </row>
    <row r="1657" spans="1:7" x14ac:dyDescent="0.25">
      <c r="A1657" s="3" t="s">
        <v>494</v>
      </c>
      <c r="B1657" s="6" t="s">
        <v>586</v>
      </c>
      <c r="C1657" s="6">
        <v>0</v>
      </c>
      <c r="D1657">
        <f t="shared" si="25"/>
        <v>76</v>
      </c>
      <c r="G1657" s="1"/>
    </row>
    <row r="1658" spans="1:7" x14ac:dyDescent="0.25">
      <c r="A1658" s="4" t="s">
        <v>494</v>
      </c>
      <c r="B1658" s="5" t="s">
        <v>587</v>
      </c>
      <c r="C1658" s="5">
        <v>1</v>
      </c>
      <c r="D1658">
        <f t="shared" si="25"/>
        <v>76</v>
      </c>
      <c r="G1658" s="1"/>
    </row>
    <row r="1659" spans="1:7" x14ac:dyDescent="0.25">
      <c r="A1659" s="3" t="s">
        <v>494</v>
      </c>
      <c r="B1659" s="6" t="s">
        <v>588</v>
      </c>
      <c r="C1659" s="6">
        <v>0</v>
      </c>
      <c r="D1659">
        <f t="shared" si="25"/>
        <v>76</v>
      </c>
      <c r="G1659" s="1"/>
    </row>
    <row r="1660" spans="1:7" x14ac:dyDescent="0.25">
      <c r="A1660" s="4" t="s">
        <v>494</v>
      </c>
      <c r="B1660" s="5" t="s">
        <v>589</v>
      </c>
      <c r="C1660" s="5" t="s">
        <v>246</v>
      </c>
      <c r="D1660">
        <f t="shared" si="25"/>
        <v>76</v>
      </c>
      <c r="G1660" s="1"/>
    </row>
    <row r="1661" spans="1:7" x14ac:dyDescent="0.25">
      <c r="A1661" s="3" t="s">
        <v>494</v>
      </c>
      <c r="B1661" s="6" t="s">
        <v>590</v>
      </c>
      <c r="C1661" s="6">
        <v>1</v>
      </c>
      <c r="D1661">
        <f t="shared" si="25"/>
        <v>76</v>
      </c>
      <c r="G1661" s="1"/>
    </row>
    <row r="1662" spans="1:7" x14ac:dyDescent="0.25">
      <c r="A1662" s="4" t="s">
        <v>494</v>
      </c>
      <c r="B1662" s="5" t="s">
        <v>591</v>
      </c>
      <c r="C1662" s="5" t="s">
        <v>246</v>
      </c>
      <c r="D1662">
        <f t="shared" si="25"/>
        <v>76</v>
      </c>
      <c r="G1662" s="1"/>
    </row>
    <row r="1663" spans="1:7" x14ac:dyDescent="0.25">
      <c r="A1663" s="3" t="s">
        <v>494</v>
      </c>
      <c r="B1663" s="6" t="s">
        <v>592</v>
      </c>
      <c r="C1663" s="6">
        <v>1</v>
      </c>
      <c r="D1663">
        <f t="shared" si="25"/>
        <v>76</v>
      </c>
      <c r="G1663" s="1"/>
    </row>
    <row r="1664" spans="1:7" x14ac:dyDescent="0.25">
      <c r="A1664" s="4" t="s">
        <v>494</v>
      </c>
      <c r="B1664" s="5" t="s">
        <v>593</v>
      </c>
      <c r="C1664" s="5">
        <v>1</v>
      </c>
      <c r="D1664">
        <f t="shared" si="25"/>
        <v>76</v>
      </c>
      <c r="G1664" s="1"/>
    </row>
    <row r="1665" spans="1:7" x14ac:dyDescent="0.25">
      <c r="A1665" s="3" t="s">
        <v>495</v>
      </c>
      <c r="B1665" s="6" t="s">
        <v>574</v>
      </c>
      <c r="C1665" s="6">
        <v>1</v>
      </c>
      <c r="D1665">
        <f t="shared" si="25"/>
        <v>77</v>
      </c>
      <c r="G1665" s="1"/>
    </row>
    <row r="1666" spans="1:7" x14ac:dyDescent="0.25">
      <c r="A1666" s="4" t="s">
        <v>495</v>
      </c>
      <c r="B1666" s="5" t="s">
        <v>575</v>
      </c>
      <c r="C1666" s="5">
        <v>0</v>
      </c>
      <c r="D1666">
        <f t="shared" si="25"/>
        <v>77</v>
      </c>
      <c r="G1666" s="1"/>
    </row>
    <row r="1667" spans="1:7" x14ac:dyDescent="0.25">
      <c r="A1667" s="3" t="s">
        <v>495</v>
      </c>
      <c r="B1667" s="6" t="s">
        <v>576</v>
      </c>
      <c r="C1667" s="6">
        <v>1</v>
      </c>
      <c r="D1667">
        <f t="shared" si="25"/>
        <v>77</v>
      </c>
      <c r="G1667" s="1"/>
    </row>
    <row r="1668" spans="1:7" x14ac:dyDescent="0.25">
      <c r="A1668" s="4" t="s">
        <v>495</v>
      </c>
      <c r="B1668" s="5" t="s">
        <v>577</v>
      </c>
      <c r="C1668" s="5">
        <v>2</v>
      </c>
      <c r="D1668">
        <f t="shared" ref="D1668:D1731" si="26">IF(B1668="CCM", D1667+1, D1667)</f>
        <v>77</v>
      </c>
      <c r="G1668" s="1"/>
    </row>
    <row r="1669" spans="1:7" x14ac:dyDescent="0.25">
      <c r="A1669" s="3" t="s">
        <v>495</v>
      </c>
      <c r="B1669" s="6" t="s">
        <v>578</v>
      </c>
      <c r="C1669" s="6">
        <v>0</v>
      </c>
      <c r="D1669">
        <f t="shared" si="26"/>
        <v>77</v>
      </c>
      <c r="G1669" s="1"/>
    </row>
    <row r="1670" spans="1:7" x14ac:dyDescent="0.25">
      <c r="A1670" s="4" t="s">
        <v>495</v>
      </c>
      <c r="B1670" s="5" t="s">
        <v>579</v>
      </c>
      <c r="C1670" s="5">
        <v>6.75</v>
      </c>
      <c r="D1670">
        <f t="shared" si="26"/>
        <v>77</v>
      </c>
      <c r="G1670" s="1"/>
    </row>
    <row r="1671" spans="1:7" x14ac:dyDescent="0.25">
      <c r="A1671" s="3" t="s">
        <v>495</v>
      </c>
      <c r="B1671" s="6" t="s">
        <v>580</v>
      </c>
      <c r="C1671" s="6">
        <v>827.71119999999996</v>
      </c>
      <c r="D1671">
        <f t="shared" si="26"/>
        <v>77</v>
      </c>
      <c r="G1671" s="1"/>
    </row>
    <row r="1672" spans="1:7" x14ac:dyDescent="0.25">
      <c r="A1672" s="4" t="s">
        <v>495</v>
      </c>
      <c r="B1672" s="5" t="s">
        <v>581</v>
      </c>
      <c r="C1672" s="5">
        <v>2.9399999999999999E-2</v>
      </c>
      <c r="D1672">
        <f t="shared" si="26"/>
        <v>77</v>
      </c>
      <c r="G1672" s="1"/>
    </row>
    <row r="1673" spans="1:7" x14ac:dyDescent="0.25">
      <c r="A1673" s="3" t="s">
        <v>495</v>
      </c>
      <c r="B1673" s="6" t="s">
        <v>582</v>
      </c>
      <c r="C1673" s="6">
        <v>30</v>
      </c>
      <c r="D1673">
        <f t="shared" si="26"/>
        <v>77</v>
      </c>
      <c r="G1673" s="1"/>
    </row>
    <row r="1674" spans="1:7" x14ac:dyDescent="0.25">
      <c r="A1674" s="4" t="s">
        <v>495</v>
      </c>
      <c r="B1674" s="5" t="s">
        <v>583</v>
      </c>
      <c r="C1674" s="5">
        <v>17</v>
      </c>
      <c r="D1674">
        <f t="shared" si="26"/>
        <v>77</v>
      </c>
      <c r="G1674" s="1"/>
    </row>
    <row r="1675" spans="1:7" x14ac:dyDescent="0.25">
      <c r="A1675" s="3" t="s">
        <v>495</v>
      </c>
      <c r="B1675" s="6" t="s">
        <v>584</v>
      </c>
      <c r="C1675" s="6">
        <v>122.62390000000001</v>
      </c>
      <c r="D1675">
        <f t="shared" si="26"/>
        <v>77</v>
      </c>
      <c r="G1675" s="1"/>
    </row>
    <row r="1676" spans="1:7" x14ac:dyDescent="0.25">
      <c r="A1676" s="4" t="s">
        <v>495</v>
      </c>
      <c r="B1676" s="5" t="s">
        <v>585</v>
      </c>
      <c r="C1676" s="5">
        <v>10</v>
      </c>
      <c r="D1676">
        <f t="shared" si="26"/>
        <v>77</v>
      </c>
      <c r="G1676" s="1"/>
    </row>
    <row r="1677" spans="1:7" x14ac:dyDescent="0.25">
      <c r="A1677" s="3" t="s">
        <v>495</v>
      </c>
      <c r="B1677" s="6" t="s">
        <v>586</v>
      </c>
      <c r="C1677" s="6">
        <v>0</v>
      </c>
      <c r="D1677">
        <f t="shared" si="26"/>
        <v>77</v>
      </c>
      <c r="G1677" s="1"/>
    </row>
    <row r="1678" spans="1:7" x14ac:dyDescent="0.25">
      <c r="A1678" s="4" t="s">
        <v>495</v>
      </c>
      <c r="B1678" s="5" t="s">
        <v>587</v>
      </c>
      <c r="C1678" s="5">
        <v>1</v>
      </c>
      <c r="D1678">
        <f t="shared" si="26"/>
        <v>77</v>
      </c>
      <c r="G1678" s="1"/>
    </row>
    <row r="1679" spans="1:7" x14ac:dyDescent="0.25">
      <c r="A1679" s="3" t="s">
        <v>495</v>
      </c>
      <c r="B1679" s="6" t="s">
        <v>588</v>
      </c>
      <c r="C1679" s="6">
        <v>63.484099999999998</v>
      </c>
      <c r="D1679">
        <f t="shared" si="26"/>
        <v>77</v>
      </c>
      <c r="G1679" s="1"/>
    </row>
    <row r="1680" spans="1:7" x14ac:dyDescent="0.25">
      <c r="A1680" s="4" t="s">
        <v>495</v>
      </c>
      <c r="B1680" s="5" t="s">
        <v>589</v>
      </c>
      <c r="C1680" s="5">
        <v>1</v>
      </c>
      <c r="D1680">
        <f t="shared" si="26"/>
        <v>77</v>
      </c>
      <c r="G1680" s="1"/>
    </row>
    <row r="1681" spans="1:7" x14ac:dyDescent="0.25">
      <c r="A1681" s="3" t="s">
        <v>495</v>
      </c>
      <c r="B1681" s="6" t="s">
        <v>590</v>
      </c>
      <c r="C1681" s="6">
        <v>2</v>
      </c>
      <c r="D1681">
        <f t="shared" si="26"/>
        <v>77</v>
      </c>
      <c r="G1681" s="1"/>
    </row>
    <row r="1682" spans="1:7" x14ac:dyDescent="0.25">
      <c r="A1682" s="4" t="s">
        <v>495</v>
      </c>
      <c r="B1682" s="5" t="s">
        <v>591</v>
      </c>
      <c r="C1682" s="5">
        <v>7</v>
      </c>
      <c r="D1682">
        <f t="shared" si="26"/>
        <v>77</v>
      </c>
      <c r="G1682" s="1"/>
    </row>
    <row r="1683" spans="1:7" x14ac:dyDescent="0.25">
      <c r="A1683" s="3" t="s">
        <v>495</v>
      </c>
      <c r="B1683" s="6" t="s">
        <v>592</v>
      </c>
      <c r="C1683" s="6">
        <v>1</v>
      </c>
      <c r="D1683">
        <f t="shared" si="26"/>
        <v>77</v>
      </c>
      <c r="G1683" s="1"/>
    </row>
    <row r="1684" spans="1:7" x14ac:dyDescent="0.25">
      <c r="A1684" s="4" t="s">
        <v>495</v>
      </c>
      <c r="B1684" s="5" t="s">
        <v>593</v>
      </c>
      <c r="C1684" s="5">
        <v>2</v>
      </c>
      <c r="D1684">
        <f t="shared" si="26"/>
        <v>77</v>
      </c>
      <c r="G1684" s="1"/>
    </row>
    <row r="1685" spans="1:7" x14ac:dyDescent="0.25">
      <c r="A1685" s="3" t="s">
        <v>435</v>
      </c>
      <c r="B1685" s="6" t="s">
        <v>579</v>
      </c>
      <c r="C1685" s="6">
        <v>0</v>
      </c>
      <c r="D1685">
        <f t="shared" si="26"/>
        <v>77</v>
      </c>
      <c r="G1685" s="1"/>
    </row>
    <row r="1686" spans="1:7" x14ac:dyDescent="0.25">
      <c r="A1686" s="4" t="s">
        <v>435</v>
      </c>
      <c r="B1686" s="5" t="s">
        <v>580</v>
      </c>
      <c r="C1686" s="5" t="s">
        <v>627</v>
      </c>
      <c r="D1686">
        <f t="shared" si="26"/>
        <v>77</v>
      </c>
      <c r="G1686" s="1"/>
    </row>
    <row r="1687" spans="1:7" x14ac:dyDescent="0.25">
      <c r="A1687" s="3" t="s">
        <v>435</v>
      </c>
      <c r="B1687" s="6" t="s">
        <v>581</v>
      </c>
      <c r="C1687" s="6" t="s">
        <v>627</v>
      </c>
      <c r="D1687">
        <f t="shared" si="26"/>
        <v>77</v>
      </c>
      <c r="G1687" s="1"/>
    </row>
    <row r="1688" spans="1:7" x14ac:dyDescent="0.25">
      <c r="A1688" s="4" t="s">
        <v>435</v>
      </c>
      <c r="B1688" s="5" t="s">
        <v>582</v>
      </c>
      <c r="C1688" s="5">
        <v>0</v>
      </c>
      <c r="D1688">
        <f t="shared" si="26"/>
        <v>77</v>
      </c>
      <c r="G1688" s="1"/>
    </row>
    <row r="1689" spans="1:7" x14ac:dyDescent="0.25">
      <c r="A1689" s="3" t="s">
        <v>435</v>
      </c>
      <c r="B1689" s="6" t="s">
        <v>583</v>
      </c>
      <c r="C1689" s="6">
        <v>0</v>
      </c>
      <c r="D1689">
        <f t="shared" si="26"/>
        <v>77</v>
      </c>
      <c r="G1689" s="1"/>
    </row>
    <row r="1690" spans="1:7" x14ac:dyDescent="0.25">
      <c r="A1690" s="4" t="s">
        <v>435</v>
      </c>
      <c r="B1690" s="5" t="s">
        <v>584</v>
      </c>
      <c r="C1690" s="5" t="s">
        <v>627</v>
      </c>
      <c r="D1690">
        <f t="shared" si="26"/>
        <v>77</v>
      </c>
      <c r="G1690" s="1"/>
    </row>
    <row r="1691" spans="1:7" x14ac:dyDescent="0.25">
      <c r="A1691" s="3" t="s">
        <v>435</v>
      </c>
      <c r="B1691" s="6" t="s">
        <v>585</v>
      </c>
      <c r="C1691" s="6">
        <v>0</v>
      </c>
      <c r="D1691">
        <f t="shared" si="26"/>
        <v>77</v>
      </c>
      <c r="G1691" s="1"/>
    </row>
    <row r="1692" spans="1:7" x14ac:dyDescent="0.25">
      <c r="A1692" s="4" t="s">
        <v>435</v>
      </c>
      <c r="B1692" s="5" t="s">
        <v>586</v>
      </c>
      <c r="C1692" s="5">
        <v>0</v>
      </c>
      <c r="D1692">
        <f t="shared" si="26"/>
        <v>77</v>
      </c>
      <c r="G1692" s="1"/>
    </row>
    <row r="1693" spans="1:7" x14ac:dyDescent="0.25">
      <c r="A1693" s="3" t="s">
        <v>435</v>
      </c>
      <c r="B1693" s="6" t="s">
        <v>587</v>
      </c>
      <c r="C1693" s="6">
        <v>1</v>
      </c>
      <c r="D1693">
        <f t="shared" si="26"/>
        <v>77</v>
      </c>
      <c r="G1693" s="1"/>
    </row>
    <row r="1694" spans="1:7" x14ac:dyDescent="0.25">
      <c r="A1694" s="4" t="s">
        <v>435</v>
      </c>
      <c r="B1694" s="5" t="s">
        <v>588</v>
      </c>
      <c r="C1694" s="5">
        <v>0</v>
      </c>
      <c r="D1694">
        <f t="shared" si="26"/>
        <v>77</v>
      </c>
      <c r="G1694" s="1"/>
    </row>
    <row r="1695" spans="1:7" x14ac:dyDescent="0.25">
      <c r="A1695" s="3" t="s">
        <v>435</v>
      </c>
      <c r="B1695" s="6" t="s">
        <v>589</v>
      </c>
      <c r="C1695" s="6" t="s">
        <v>246</v>
      </c>
      <c r="D1695">
        <f t="shared" si="26"/>
        <v>77</v>
      </c>
      <c r="G1695" s="1"/>
    </row>
    <row r="1696" spans="1:7" x14ac:dyDescent="0.25">
      <c r="A1696" s="4" t="s">
        <v>435</v>
      </c>
      <c r="B1696" s="5" t="s">
        <v>591</v>
      </c>
      <c r="C1696" s="5" t="s">
        <v>246</v>
      </c>
      <c r="D1696">
        <f t="shared" si="26"/>
        <v>77</v>
      </c>
      <c r="G1696" s="1"/>
    </row>
    <row r="1697" spans="1:7" x14ac:dyDescent="0.25">
      <c r="A1697" s="3" t="s">
        <v>435</v>
      </c>
      <c r="B1697" s="6" t="s">
        <v>592</v>
      </c>
      <c r="C1697" s="6">
        <v>1</v>
      </c>
      <c r="D1697">
        <f t="shared" si="26"/>
        <v>77</v>
      </c>
      <c r="G1697" s="1"/>
    </row>
    <row r="1698" spans="1:7" x14ac:dyDescent="0.25">
      <c r="A1698" s="4" t="s">
        <v>496</v>
      </c>
      <c r="B1698" s="5" t="s">
        <v>574</v>
      </c>
      <c r="C1698" s="5">
        <v>0</v>
      </c>
      <c r="D1698">
        <f t="shared" si="26"/>
        <v>78</v>
      </c>
      <c r="G1698" s="1"/>
    </row>
    <row r="1699" spans="1:7" x14ac:dyDescent="0.25">
      <c r="A1699" s="3" t="s">
        <v>496</v>
      </c>
      <c r="B1699" s="6" t="s">
        <v>575</v>
      </c>
      <c r="C1699" s="6">
        <v>0</v>
      </c>
      <c r="D1699">
        <f t="shared" si="26"/>
        <v>78</v>
      </c>
      <c r="G1699" s="1"/>
    </row>
    <row r="1700" spans="1:7" x14ac:dyDescent="0.25">
      <c r="A1700" s="4" t="s">
        <v>496</v>
      </c>
      <c r="B1700" s="5" t="s">
        <v>576</v>
      </c>
      <c r="C1700" s="5">
        <v>0</v>
      </c>
      <c r="D1700">
        <f t="shared" si="26"/>
        <v>78</v>
      </c>
      <c r="G1700" s="1"/>
    </row>
    <row r="1701" spans="1:7" x14ac:dyDescent="0.25">
      <c r="A1701" s="3" t="s">
        <v>496</v>
      </c>
      <c r="B1701" s="6" t="s">
        <v>577</v>
      </c>
      <c r="C1701" s="6">
        <v>0</v>
      </c>
      <c r="D1701">
        <f t="shared" si="26"/>
        <v>78</v>
      </c>
      <c r="G1701" s="1"/>
    </row>
    <row r="1702" spans="1:7" x14ac:dyDescent="0.25">
      <c r="A1702" s="4" t="s">
        <v>496</v>
      </c>
      <c r="B1702" s="5" t="s">
        <v>578</v>
      </c>
      <c r="C1702" s="5">
        <v>0</v>
      </c>
      <c r="D1702">
        <f t="shared" si="26"/>
        <v>78</v>
      </c>
      <c r="G1702" s="1"/>
    </row>
    <row r="1703" spans="1:7" x14ac:dyDescent="0.25">
      <c r="A1703" s="3" t="s">
        <v>496</v>
      </c>
      <c r="B1703" s="6" t="s">
        <v>579</v>
      </c>
      <c r="C1703" s="6">
        <v>0</v>
      </c>
      <c r="D1703">
        <f t="shared" si="26"/>
        <v>78</v>
      </c>
      <c r="G1703" s="1"/>
    </row>
    <row r="1704" spans="1:7" x14ac:dyDescent="0.25">
      <c r="A1704" s="4" t="s">
        <v>496</v>
      </c>
      <c r="B1704" s="5" t="s">
        <v>580</v>
      </c>
      <c r="C1704" s="5" t="s">
        <v>627</v>
      </c>
      <c r="D1704">
        <f t="shared" si="26"/>
        <v>78</v>
      </c>
      <c r="G1704" s="1"/>
    </row>
    <row r="1705" spans="1:7" x14ac:dyDescent="0.25">
      <c r="A1705" s="3" t="s">
        <v>496</v>
      </c>
      <c r="B1705" s="6" t="s">
        <v>581</v>
      </c>
      <c r="C1705" s="6" t="s">
        <v>627</v>
      </c>
      <c r="D1705">
        <f t="shared" si="26"/>
        <v>78</v>
      </c>
      <c r="G1705" s="1"/>
    </row>
    <row r="1706" spans="1:7" x14ac:dyDescent="0.25">
      <c r="A1706" s="4" t="s">
        <v>496</v>
      </c>
      <c r="B1706" s="5" t="s">
        <v>582</v>
      </c>
      <c r="C1706" s="5">
        <v>0</v>
      </c>
      <c r="D1706">
        <f t="shared" si="26"/>
        <v>78</v>
      </c>
      <c r="G1706" s="1"/>
    </row>
    <row r="1707" spans="1:7" x14ac:dyDescent="0.25">
      <c r="A1707" s="3" t="s">
        <v>496</v>
      </c>
      <c r="B1707" s="6" t="s">
        <v>583</v>
      </c>
      <c r="C1707" s="6">
        <v>0</v>
      </c>
      <c r="D1707">
        <f t="shared" si="26"/>
        <v>78</v>
      </c>
      <c r="G1707" s="1"/>
    </row>
    <row r="1708" spans="1:7" x14ac:dyDescent="0.25">
      <c r="A1708" s="4" t="s">
        <v>496</v>
      </c>
      <c r="B1708" s="5" t="s">
        <v>584</v>
      </c>
      <c r="C1708" s="5" t="s">
        <v>627</v>
      </c>
      <c r="D1708">
        <f t="shared" si="26"/>
        <v>78</v>
      </c>
      <c r="G1708" s="1"/>
    </row>
    <row r="1709" spans="1:7" x14ac:dyDescent="0.25">
      <c r="A1709" s="3" t="s">
        <v>496</v>
      </c>
      <c r="B1709" s="6" t="s">
        <v>585</v>
      </c>
      <c r="C1709" s="6">
        <v>0</v>
      </c>
      <c r="D1709">
        <f t="shared" si="26"/>
        <v>78</v>
      </c>
      <c r="G1709" s="1"/>
    </row>
    <row r="1710" spans="1:7" x14ac:dyDescent="0.25">
      <c r="A1710" s="4" t="s">
        <v>496</v>
      </c>
      <c r="B1710" s="5" t="s">
        <v>586</v>
      </c>
      <c r="C1710" s="5">
        <v>0</v>
      </c>
      <c r="D1710">
        <f t="shared" si="26"/>
        <v>78</v>
      </c>
      <c r="G1710" s="1"/>
    </row>
    <row r="1711" spans="1:7" x14ac:dyDescent="0.25">
      <c r="A1711" s="3" t="s">
        <v>496</v>
      </c>
      <c r="B1711" s="6" t="s">
        <v>587</v>
      </c>
      <c r="C1711" s="6">
        <v>0</v>
      </c>
      <c r="D1711">
        <f t="shared" si="26"/>
        <v>78</v>
      </c>
      <c r="G1711" s="1"/>
    </row>
    <row r="1712" spans="1:7" x14ac:dyDescent="0.25">
      <c r="A1712" s="4" t="s">
        <v>496</v>
      </c>
      <c r="B1712" s="5" t="s">
        <v>588</v>
      </c>
      <c r="C1712" s="5">
        <v>0</v>
      </c>
      <c r="D1712">
        <f t="shared" si="26"/>
        <v>78</v>
      </c>
      <c r="G1712" s="1"/>
    </row>
    <row r="1713" spans="1:7" x14ac:dyDescent="0.25">
      <c r="A1713" s="3" t="s">
        <v>496</v>
      </c>
      <c r="B1713" s="6" t="s">
        <v>589</v>
      </c>
      <c r="C1713" s="6" t="s">
        <v>246</v>
      </c>
      <c r="D1713">
        <f t="shared" si="26"/>
        <v>78</v>
      </c>
      <c r="G1713" s="1"/>
    </row>
    <row r="1714" spans="1:7" x14ac:dyDescent="0.25">
      <c r="A1714" s="4" t="s">
        <v>496</v>
      </c>
      <c r="B1714" s="5" t="s">
        <v>590</v>
      </c>
      <c r="C1714" s="5">
        <v>1</v>
      </c>
      <c r="D1714">
        <f t="shared" si="26"/>
        <v>78</v>
      </c>
      <c r="G1714" s="1"/>
    </row>
    <row r="1715" spans="1:7" x14ac:dyDescent="0.25">
      <c r="A1715" s="3" t="s">
        <v>496</v>
      </c>
      <c r="B1715" s="6" t="s">
        <v>591</v>
      </c>
      <c r="C1715" s="6" t="s">
        <v>246</v>
      </c>
      <c r="D1715">
        <f t="shared" si="26"/>
        <v>78</v>
      </c>
      <c r="G1715" s="1"/>
    </row>
    <row r="1716" spans="1:7" x14ac:dyDescent="0.25">
      <c r="A1716" s="4" t="s">
        <v>496</v>
      </c>
      <c r="B1716" s="5" t="s">
        <v>592</v>
      </c>
      <c r="C1716" s="5">
        <v>0</v>
      </c>
      <c r="D1716">
        <f t="shared" si="26"/>
        <v>78</v>
      </c>
      <c r="G1716" s="1"/>
    </row>
    <row r="1717" spans="1:7" x14ac:dyDescent="0.25">
      <c r="A1717" s="3" t="s">
        <v>496</v>
      </c>
      <c r="B1717" s="6" t="s">
        <v>593</v>
      </c>
      <c r="C1717" s="6">
        <v>0</v>
      </c>
      <c r="D1717">
        <f t="shared" si="26"/>
        <v>78</v>
      </c>
      <c r="G1717" s="1"/>
    </row>
    <row r="1718" spans="1:7" x14ac:dyDescent="0.25">
      <c r="A1718" s="4" t="s">
        <v>497</v>
      </c>
      <c r="B1718" s="5" t="s">
        <v>574</v>
      </c>
      <c r="C1718" s="5">
        <v>0</v>
      </c>
      <c r="D1718">
        <f t="shared" si="26"/>
        <v>79</v>
      </c>
      <c r="G1718" s="1"/>
    </row>
    <row r="1719" spans="1:7" x14ac:dyDescent="0.25">
      <c r="A1719" s="3" t="s">
        <v>497</v>
      </c>
      <c r="B1719" s="6" t="s">
        <v>575</v>
      </c>
      <c r="C1719" s="6">
        <v>0</v>
      </c>
      <c r="D1719">
        <f t="shared" si="26"/>
        <v>79</v>
      </c>
      <c r="G1719" s="1"/>
    </row>
    <row r="1720" spans="1:7" x14ac:dyDescent="0.25">
      <c r="A1720" s="4" t="s">
        <v>497</v>
      </c>
      <c r="B1720" s="5" t="s">
        <v>576</v>
      </c>
      <c r="C1720" s="5">
        <v>0</v>
      </c>
      <c r="D1720">
        <f t="shared" si="26"/>
        <v>79</v>
      </c>
      <c r="G1720" s="1"/>
    </row>
    <row r="1721" spans="1:7" x14ac:dyDescent="0.25">
      <c r="A1721" s="3" t="s">
        <v>497</v>
      </c>
      <c r="B1721" s="6" t="s">
        <v>577</v>
      </c>
      <c r="C1721" s="6">
        <v>0</v>
      </c>
      <c r="D1721">
        <f t="shared" si="26"/>
        <v>79</v>
      </c>
      <c r="G1721" s="1"/>
    </row>
    <row r="1722" spans="1:7" x14ac:dyDescent="0.25">
      <c r="A1722" s="4" t="s">
        <v>497</v>
      </c>
      <c r="B1722" s="5" t="s">
        <v>578</v>
      </c>
      <c r="C1722" s="5">
        <v>0</v>
      </c>
      <c r="D1722">
        <f t="shared" si="26"/>
        <v>79</v>
      </c>
      <c r="G1722" s="1"/>
    </row>
    <row r="1723" spans="1:7" x14ac:dyDescent="0.25">
      <c r="A1723" s="3" t="s">
        <v>497</v>
      </c>
      <c r="B1723" s="6" t="s">
        <v>579</v>
      </c>
      <c r="C1723" s="6">
        <v>0</v>
      </c>
      <c r="D1723">
        <f t="shared" si="26"/>
        <v>79</v>
      </c>
      <c r="G1723" s="1"/>
    </row>
    <row r="1724" spans="1:7" x14ac:dyDescent="0.25">
      <c r="A1724" s="4" t="s">
        <v>497</v>
      </c>
      <c r="B1724" s="5" t="s">
        <v>580</v>
      </c>
      <c r="C1724" s="5">
        <v>0</v>
      </c>
      <c r="D1724">
        <f t="shared" si="26"/>
        <v>79</v>
      </c>
      <c r="G1724" s="1"/>
    </row>
    <row r="1725" spans="1:7" x14ac:dyDescent="0.25">
      <c r="A1725" s="3" t="s">
        <v>497</v>
      </c>
      <c r="B1725" s="6" t="s">
        <v>581</v>
      </c>
      <c r="C1725" s="6">
        <v>0</v>
      </c>
      <c r="D1725">
        <f t="shared" si="26"/>
        <v>79</v>
      </c>
      <c r="G1725" s="1"/>
    </row>
    <row r="1726" spans="1:7" x14ac:dyDescent="0.25">
      <c r="A1726" s="4" t="s">
        <v>497</v>
      </c>
      <c r="B1726" s="5" t="s">
        <v>582</v>
      </c>
      <c r="C1726" s="5">
        <v>1</v>
      </c>
      <c r="D1726">
        <f t="shared" si="26"/>
        <v>79</v>
      </c>
      <c r="G1726" s="1"/>
    </row>
    <row r="1727" spans="1:7" x14ac:dyDescent="0.25">
      <c r="A1727" s="3" t="s">
        <v>497</v>
      </c>
      <c r="B1727" s="6" t="s">
        <v>583</v>
      </c>
      <c r="C1727" s="6">
        <v>1</v>
      </c>
      <c r="D1727">
        <f t="shared" si="26"/>
        <v>79</v>
      </c>
      <c r="G1727" s="1"/>
    </row>
    <row r="1728" spans="1:7" x14ac:dyDescent="0.25">
      <c r="A1728" s="4" t="s">
        <v>497</v>
      </c>
      <c r="B1728" s="5" t="s">
        <v>584</v>
      </c>
      <c r="C1728" s="5">
        <v>0</v>
      </c>
      <c r="D1728">
        <f t="shared" si="26"/>
        <v>79</v>
      </c>
      <c r="G1728" s="1"/>
    </row>
    <row r="1729" spans="1:7" x14ac:dyDescent="0.25">
      <c r="A1729" s="3" t="s">
        <v>497</v>
      </c>
      <c r="B1729" s="6" t="s">
        <v>585</v>
      </c>
      <c r="C1729" s="6">
        <v>0</v>
      </c>
      <c r="D1729">
        <f t="shared" si="26"/>
        <v>79</v>
      </c>
      <c r="G1729" s="1"/>
    </row>
    <row r="1730" spans="1:7" x14ac:dyDescent="0.25">
      <c r="A1730" s="4" t="s">
        <v>497</v>
      </c>
      <c r="B1730" s="5" t="s">
        <v>586</v>
      </c>
      <c r="C1730" s="5">
        <v>0</v>
      </c>
      <c r="D1730">
        <f t="shared" si="26"/>
        <v>79</v>
      </c>
      <c r="G1730" s="1"/>
    </row>
    <row r="1731" spans="1:7" x14ac:dyDescent="0.25">
      <c r="A1731" s="3" t="s">
        <v>497</v>
      </c>
      <c r="B1731" s="6" t="s">
        <v>587</v>
      </c>
      <c r="C1731" s="6">
        <v>0</v>
      </c>
      <c r="D1731">
        <f t="shared" si="26"/>
        <v>79</v>
      </c>
      <c r="G1731" s="1"/>
    </row>
    <row r="1732" spans="1:7" x14ac:dyDescent="0.25">
      <c r="A1732" s="4" t="s">
        <v>497</v>
      </c>
      <c r="B1732" s="5" t="s">
        <v>588</v>
      </c>
      <c r="C1732" s="5">
        <v>0</v>
      </c>
      <c r="D1732">
        <f t="shared" ref="D1732:D1795" si="27">IF(B1732="CCM", D1731+1, D1731)</f>
        <v>79</v>
      </c>
      <c r="G1732" s="1"/>
    </row>
    <row r="1733" spans="1:7" x14ac:dyDescent="0.25">
      <c r="A1733" s="3" t="s">
        <v>497</v>
      </c>
      <c r="B1733" s="6" t="s">
        <v>589</v>
      </c>
      <c r="C1733" s="6" t="s">
        <v>246</v>
      </c>
      <c r="D1733">
        <f t="shared" si="27"/>
        <v>79</v>
      </c>
      <c r="G1733" s="1"/>
    </row>
    <row r="1734" spans="1:7" x14ac:dyDescent="0.25">
      <c r="A1734" s="4" t="s">
        <v>497</v>
      </c>
      <c r="B1734" s="5" t="s">
        <v>590</v>
      </c>
      <c r="C1734" s="5">
        <v>1</v>
      </c>
      <c r="D1734">
        <f t="shared" si="27"/>
        <v>79</v>
      </c>
      <c r="G1734" s="1"/>
    </row>
    <row r="1735" spans="1:7" x14ac:dyDescent="0.25">
      <c r="A1735" s="3" t="s">
        <v>497</v>
      </c>
      <c r="B1735" s="6" t="s">
        <v>591</v>
      </c>
      <c r="C1735" s="6" t="s">
        <v>246</v>
      </c>
      <c r="D1735">
        <f t="shared" si="27"/>
        <v>79</v>
      </c>
      <c r="G1735" s="1"/>
    </row>
    <row r="1736" spans="1:7" x14ac:dyDescent="0.25">
      <c r="A1736" s="4" t="s">
        <v>497</v>
      </c>
      <c r="B1736" s="5" t="s">
        <v>592</v>
      </c>
      <c r="C1736" s="5">
        <v>0</v>
      </c>
      <c r="D1736">
        <f t="shared" si="27"/>
        <v>79</v>
      </c>
      <c r="G1736" s="1"/>
    </row>
    <row r="1737" spans="1:7" x14ac:dyDescent="0.25">
      <c r="A1737" s="3" t="s">
        <v>497</v>
      </c>
      <c r="B1737" s="6" t="s">
        <v>593</v>
      </c>
      <c r="C1737" s="6">
        <v>1</v>
      </c>
      <c r="D1737">
        <f t="shared" si="27"/>
        <v>79</v>
      </c>
      <c r="G1737" s="1"/>
    </row>
    <row r="1738" spans="1:7" x14ac:dyDescent="0.25">
      <c r="A1738" s="4" t="s">
        <v>498</v>
      </c>
      <c r="B1738" s="5" t="s">
        <v>574</v>
      </c>
      <c r="C1738" s="5">
        <v>0</v>
      </c>
      <c r="D1738">
        <f t="shared" si="27"/>
        <v>80</v>
      </c>
      <c r="G1738" s="1"/>
    </row>
    <row r="1739" spans="1:7" x14ac:dyDescent="0.25">
      <c r="A1739" s="3" t="s">
        <v>498</v>
      </c>
      <c r="B1739" s="6" t="s">
        <v>575</v>
      </c>
      <c r="C1739" s="6">
        <v>0</v>
      </c>
      <c r="D1739">
        <f t="shared" si="27"/>
        <v>80</v>
      </c>
      <c r="G1739" s="1"/>
    </row>
    <row r="1740" spans="1:7" x14ac:dyDescent="0.25">
      <c r="A1740" s="4" t="s">
        <v>498</v>
      </c>
      <c r="B1740" s="5" t="s">
        <v>576</v>
      </c>
      <c r="C1740" s="5">
        <v>0</v>
      </c>
      <c r="D1740">
        <f t="shared" si="27"/>
        <v>80</v>
      </c>
      <c r="G1740" s="1"/>
    </row>
    <row r="1741" spans="1:7" x14ac:dyDescent="0.25">
      <c r="A1741" s="3" t="s">
        <v>498</v>
      </c>
      <c r="B1741" s="6" t="s">
        <v>577</v>
      </c>
      <c r="C1741" s="6">
        <v>0</v>
      </c>
      <c r="D1741">
        <f t="shared" si="27"/>
        <v>80</v>
      </c>
      <c r="G1741" s="1"/>
    </row>
    <row r="1742" spans="1:7" x14ac:dyDescent="0.25">
      <c r="A1742" s="4" t="s">
        <v>498</v>
      </c>
      <c r="B1742" s="5" t="s">
        <v>578</v>
      </c>
      <c r="C1742" s="5">
        <v>0</v>
      </c>
      <c r="D1742">
        <f t="shared" si="27"/>
        <v>80</v>
      </c>
      <c r="G1742" s="1"/>
    </row>
    <row r="1743" spans="1:7" x14ac:dyDescent="0.25">
      <c r="A1743" s="3" t="s">
        <v>498</v>
      </c>
      <c r="B1743" s="6" t="s">
        <v>579</v>
      </c>
      <c r="C1743" s="6">
        <v>0</v>
      </c>
      <c r="D1743">
        <f t="shared" si="27"/>
        <v>80</v>
      </c>
      <c r="G1743" s="1"/>
    </row>
    <row r="1744" spans="1:7" x14ac:dyDescent="0.25">
      <c r="A1744" s="4" t="s">
        <v>498</v>
      </c>
      <c r="B1744" s="5" t="s">
        <v>580</v>
      </c>
      <c r="C1744" s="5">
        <v>0</v>
      </c>
      <c r="D1744">
        <f t="shared" si="27"/>
        <v>80</v>
      </c>
      <c r="G1744" s="1"/>
    </row>
    <row r="1745" spans="1:7" x14ac:dyDescent="0.25">
      <c r="A1745" s="3" t="s">
        <v>498</v>
      </c>
      <c r="B1745" s="6" t="s">
        <v>581</v>
      </c>
      <c r="C1745" s="6">
        <v>0</v>
      </c>
      <c r="D1745">
        <f t="shared" si="27"/>
        <v>80</v>
      </c>
      <c r="G1745" s="1"/>
    </row>
    <row r="1746" spans="1:7" x14ac:dyDescent="0.25">
      <c r="A1746" s="4" t="s">
        <v>498</v>
      </c>
      <c r="B1746" s="5" t="s">
        <v>582</v>
      </c>
      <c r="C1746" s="5">
        <v>1</v>
      </c>
      <c r="D1746">
        <f t="shared" si="27"/>
        <v>80</v>
      </c>
      <c r="G1746" s="1"/>
    </row>
    <row r="1747" spans="1:7" x14ac:dyDescent="0.25">
      <c r="A1747" s="3" t="s">
        <v>498</v>
      </c>
      <c r="B1747" s="6" t="s">
        <v>583</v>
      </c>
      <c r="C1747" s="6">
        <v>1</v>
      </c>
      <c r="D1747">
        <f t="shared" si="27"/>
        <v>80</v>
      </c>
      <c r="G1747" s="1"/>
    </row>
    <row r="1748" spans="1:7" x14ac:dyDescent="0.25">
      <c r="A1748" s="4" t="s">
        <v>498</v>
      </c>
      <c r="B1748" s="5" t="s">
        <v>584</v>
      </c>
      <c r="C1748" s="5">
        <v>0</v>
      </c>
      <c r="D1748">
        <f t="shared" si="27"/>
        <v>80</v>
      </c>
      <c r="G1748" s="1"/>
    </row>
    <row r="1749" spans="1:7" x14ac:dyDescent="0.25">
      <c r="A1749" s="3" t="s">
        <v>498</v>
      </c>
      <c r="B1749" s="6" t="s">
        <v>585</v>
      </c>
      <c r="C1749" s="6">
        <v>0</v>
      </c>
      <c r="D1749">
        <f t="shared" si="27"/>
        <v>80</v>
      </c>
      <c r="G1749" s="1"/>
    </row>
    <row r="1750" spans="1:7" x14ac:dyDescent="0.25">
      <c r="A1750" s="4" t="s">
        <v>498</v>
      </c>
      <c r="B1750" s="5" t="s">
        <v>586</v>
      </c>
      <c r="C1750" s="5">
        <v>0</v>
      </c>
      <c r="D1750">
        <f t="shared" si="27"/>
        <v>80</v>
      </c>
      <c r="G1750" s="1"/>
    </row>
    <row r="1751" spans="1:7" x14ac:dyDescent="0.25">
      <c r="A1751" s="3" t="s">
        <v>498</v>
      </c>
      <c r="B1751" s="6" t="s">
        <v>587</v>
      </c>
      <c r="C1751" s="6">
        <v>0</v>
      </c>
      <c r="D1751">
        <f t="shared" si="27"/>
        <v>80</v>
      </c>
      <c r="G1751" s="1"/>
    </row>
    <row r="1752" spans="1:7" x14ac:dyDescent="0.25">
      <c r="A1752" s="4" t="s">
        <v>498</v>
      </c>
      <c r="B1752" s="5" t="s">
        <v>588</v>
      </c>
      <c r="C1752" s="5">
        <v>0</v>
      </c>
      <c r="D1752">
        <f t="shared" si="27"/>
        <v>80</v>
      </c>
      <c r="G1752" s="1"/>
    </row>
    <row r="1753" spans="1:7" x14ac:dyDescent="0.25">
      <c r="A1753" s="3" t="s">
        <v>498</v>
      </c>
      <c r="B1753" s="6" t="s">
        <v>589</v>
      </c>
      <c r="C1753" s="6" t="s">
        <v>246</v>
      </c>
      <c r="D1753">
        <f t="shared" si="27"/>
        <v>80</v>
      </c>
      <c r="G1753" s="1"/>
    </row>
    <row r="1754" spans="1:7" x14ac:dyDescent="0.25">
      <c r="A1754" s="4" t="s">
        <v>498</v>
      </c>
      <c r="B1754" s="5" t="s">
        <v>590</v>
      </c>
      <c r="C1754" s="5">
        <v>1</v>
      </c>
      <c r="D1754">
        <f t="shared" si="27"/>
        <v>80</v>
      </c>
      <c r="G1754" s="1"/>
    </row>
    <row r="1755" spans="1:7" x14ac:dyDescent="0.25">
      <c r="A1755" s="3" t="s">
        <v>498</v>
      </c>
      <c r="B1755" s="6" t="s">
        <v>591</v>
      </c>
      <c r="C1755" s="6" t="s">
        <v>246</v>
      </c>
      <c r="D1755">
        <f t="shared" si="27"/>
        <v>80</v>
      </c>
      <c r="G1755" s="1"/>
    </row>
    <row r="1756" spans="1:7" x14ac:dyDescent="0.25">
      <c r="A1756" s="4" t="s">
        <v>498</v>
      </c>
      <c r="B1756" s="5" t="s">
        <v>592</v>
      </c>
      <c r="C1756" s="5">
        <v>0</v>
      </c>
      <c r="D1756">
        <f t="shared" si="27"/>
        <v>80</v>
      </c>
      <c r="G1756" s="1"/>
    </row>
    <row r="1757" spans="1:7" x14ac:dyDescent="0.25">
      <c r="A1757" s="3" t="s">
        <v>498</v>
      </c>
      <c r="B1757" s="6" t="s">
        <v>593</v>
      </c>
      <c r="C1757" s="6">
        <v>0</v>
      </c>
      <c r="D1757">
        <f t="shared" si="27"/>
        <v>80</v>
      </c>
      <c r="G1757" s="1"/>
    </row>
    <row r="1758" spans="1:7" x14ac:dyDescent="0.25">
      <c r="A1758" s="4" t="s">
        <v>499</v>
      </c>
      <c r="B1758" s="5" t="s">
        <v>574</v>
      </c>
      <c r="C1758" s="5">
        <v>0</v>
      </c>
      <c r="D1758">
        <f t="shared" si="27"/>
        <v>81</v>
      </c>
      <c r="G1758" s="1"/>
    </row>
    <row r="1759" spans="1:7" x14ac:dyDescent="0.25">
      <c r="A1759" s="3" t="s">
        <v>499</v>
      </c>
      <c r="B1759" s="6" t="s">
        <v>575</v>
      </c>
      <c r="C1759" s="6">
        <v>0</v>
      </c>
      <c r="D1759">
        <f t="shared" si="27"/>
        <v>81</v>
      </c>
      <c r="G1759" s="1"/>
    </row>
    <row r="1760" spans="1:7" x14ac:dyDescent="0.25">
      <c r="A1760" s="4" t="s">
        <v>499</v>
      </c>
      <c r="B1760" s="5" t="s">
        <v>576</v>
      </c>
      <c r="C1760" s="5">
        <v>0</v>
      </c>
      <c r="D1760">
        <f t="shared" si="27"/>
        <v>81</v>
      </c>
      <c r="G1760" s="1"/>
    </row>
    <row r="1761" spans="1:7" x14ac:dyDescent="0.25">
      <c r="A1761" s="3" t="s">
        <v>499</v>
      </c>
      <c r="B1761" s="6" t="s">
        <v>577</v>
      </c>
      <c r="C1761" s="6">
        <v>0</v>
      </c>
      <c r="D1761">
        <f t="shared" si="27"/>
        <v>81</v>
      </c>
      <c r="G1761" s="1"/>
    </row>
    <row r="1762" spans="1:7" x14ac:dyDescent="0.25">
      <c r="A1762" s="4" t="s">
        <v>499</v>
      </c>
      <c r="B1762" s="5" t="s">
        <v>578</v>
      </c>
      <c r="C1762" s="5">
        <v>0</v>
      </c>
      <c r="D1762">
        <f t="shared" si="27"/>
        <v>81</v>
      </c>
      <c r="G1762" s="1"/>
    </row>
    <row r="1763" spans="1:7" x14ac:dyDescent="0.25">
      <c r="A1763" s="3" t="s">
        <v>499</v>
      </c>
      <c r="B1763" s="6" t="s">
        <v>579</v>
      </c>
      <c r="C1763" s="6">
        <v>0</v>
      </c>
      <c r="D1763">
        <f t="shared" si="27"/>
        <v>81</v>
      </c>
      <c r="G1763" s="1"/>
    </row>
    <row r="1764" spans="1:7" x14ac:dyDescent="0.25">
      <c r="A1764" s="4" t="s">
        <v>499</v>
      </c>
      <c r="B1764" s="5" t="s">
        <v>580</v>
      </c>
      <c r="C1764" s="5">
        <v>0</v>
      </c>
      <c r="D1764">
        <f t="shared" si="27"/>
        <v>81</v>
      </c>
      <c r="G1764" s="1"/>
    </row>
    <row r="1765" spans="1:7" x14ac:dyDescent="0.25">
      <c r="A1765" s="3" t="s">
        <v>499</v>
      </c>
      <c r="B1765" s="6" t="s">
        <v>581</v>
      </c>
      <c r="C1765" s="6">
        <v>0</v>
      </c>
      <c r="D1765">
        <f t="shared" si="27"/>
        <v>81</v>
      </c>
      <c r="G1765" s="1"/>
    </row>
    <row r="1766" spans="1:7" x14ac:dyDescent="0.25">
      <c r="A1766" s="4" t="s">
        <v>499</v>
      </c>
      <c r="B1766" s="5" t="s">
        <v>582</v>
      </c>
      <c r="C1766" s="5">
        <v>1</v>
      </c>
      <c r="D1766">
        <f t="shared" si="27"/>
        <v>81</v>
      </c>
      <c r="G1766" s="1"/>
    </row>
    <row r="1767" spans="1:7" x14ac:dyDescent="0.25">
      <c r="A1767" s="3" t="s">
        <v>499</v>
      </c>
      <c r="B1767" s="6" t="s">
        <v>583</v>
      </c>
      <c r="C1767" s="6">
        <v>1</v>
      </c>
      <c r="D1767">
        <f t="shared" si="27"/>
        <v>81</v>
      </c>
      <c r="G1767" s="1"/>
    </row>
    <row r="1768" spans="1:7" x14ac:dyDescent="0.25">
      <c r="A1768" s="4" t="s">
        <v>499</v>
      </c>
      <c r="B1768" s="5" t="s">
        <v>584</v>
      </c>
      <c r="C1768" s="5">
        <v>0</v>
      </c>
      <c r="D1768">
        <f t="shared" si="27"/>
        <v>81</v>
      </c>
      <c r="G1768" s="1"/>
    </row>
    <row r="1769" spans="1:7" x14ac:dyDescent="0.25">
      <c r="A1769" s="3" t="s">
        <v>499</v>
      </c>
      <c r="B1769" s="6" t="s">
        <v>585</v>
      </c>
      <c r="C1769" s="6">
        <v>0</v>
      </c>
      <c r="D1769">
        <f t="shared" si="27"/>
        <v>81</v>
      </c>
      <c r="G1769" s="1"/>
    </row>
    <row r="1770" spans="1:7" x14ac:dyDescent="0.25">
      <c r="A1770" s="4" t="s">
        <v>499</v>
      </c>
      <c r="B1770" s="5" t="s">
        <v>586</v>
      </c>
      <c r="C1770" s="5">
        <v>0</v>
      </c>
      <c r="D1770">
        <f t="shared" si="27"/>
        <v>81</v>
      </c>
      <c r="G1770" s="1"/>
    </row>
    <row r="1771" spans="1:7" x14ac:dyDescent="0.25">
      <c r="A1771" s="3" t="s">
        <v>499</v>
      </c>
      <c r="B1771" s="6" t="s">
        <v>587</v>
      </c>
      <c r="C1771" s="6">
        <v>0</v>
      </c>
      <c r="D1771">
        <f t="shared" si="27"/>
        <v>81</v>
      </c>
      <c r="G1771" s="1"/>
    </row>
    <row r="1772" spans="1:7" x14ac:dyDescent="0.25">
      <c r="A1772" s="4" t="s">
        <v>499</v>
      </c>
      <c r="B1772" s="5" t="s">
        <v>588</v>
      </c>
      <c r="C1772" s="5">
        <v>0</v>
      </c>
      <c r="D1772">
        <f t="shared" si="27"/>
        <v>81</v>
      </c>
      <c r="G1772" s="1"/>
    </row>
    <row r="1773" spans="1:7" x14ac:dyDescent="0.25">
      <c r="A1773" s="3" t="s">
        <v>499</v>
      </c>
      <c r="B1773" s="6" t="s">
        <v>589</v>
      </c>
      <c r="C1773" s="6" t="s">
        <v>246</v>
      </c>
      <c r="D1773">
        <f t="shared" si="27"/>
        <v>81</v>
      </c>
      <c r="G1773" s="1"/>
    </row>
    <row r="1774" spans="1:7" x14ac:dyDescent="0.25">
      <c r="A1774" s="4" t="s">
        <v>499</v>
      </c>
      <c r="B1774" s="5" t="s">
        <v>590</v>
      </c>
      <c r="C1774" s="5">
        <v>1</v>
      </c>
      <c r="D1774">
        <f t="shared" si="27"/>
        <v>81</v>
      </c>
      <c r="G1774" s="1"/>
    </row>
    <row r="1775" spans="1:7" x14ac:dyDescent="0.25">
      <c r="A1775" s="3" t="s">
        <v>499</v>
      </c>
      <c r="B1775" s="6" t="s">
        <v>591</v>
      </c>
      <c r="C1775" s="6" t="s">
        <v>246</v>
      </c>
      <c r="D1775">
        <f t="shared" si="27"/>
        <v>81</v>
      </c>
      <c r="G1775" s="1"/>
    </row>
    <row r="1776" spans="1:7" x14ac:dyDescent="0.25">
      <c r="A1776" s="4" t="s">
        <v>499</v>
      </c>
      <c r="B1776" s="5" t="s">
        <v>592</v>
      </c>
      <c r="C1776" s="5">
        <v>0</v>
      </c>
      <c r="D1776">
        <f t="shared" si="27"/>
        <v>81</v>
      </c>
      <c r="G1776" s="1"/>
    </row>
    <row r="1777" spans="1:7" x14ac:dyDescent="0.25">
      <c r="A1777" s="3" t="s">
        <v>499</v>
      </c>
      <c r="B1777" s="6" t="s">
        <v>593</v>
      </c>
      <c r="C1777" s="6">
        <v>0</v>
      </c>
      <c r="D1777">
        <f t="shared" si="27"/>
        <v>81</v>
      </c>
      <c r="G1777" s="1"/>
    </row>
    <row r="1778" spans="1:7" x14ac:dyDescent="0.25">
      <c r="A1778" s="4" t="s">
        <v>500</v>
      </c>
      <c r="B1778" s="5" t="s">
        <v>574</v>
      </c>
      <c r="C1778" s="5">
        <v>0</v>
      </c>
      <c r="D1778">
        <f t="shared" si="27"/>
        <v>82</v>
      </c>
      <c r="G1778" s="1"/>
    </row>
    <row r="1779" spans="1:7" x14ac:dyDescent="0.25">
      <c r="A1779" s="3" t="s">
        <v>500</v>
      </c>
      <c r="B1779" s="6" t="s">
        <v>575</v>
      </c>
      <c r="C1779" s="6">
        <v>0</v>
      </c>
      <c r="D1779">
        <f t="shared" si="27"/>
        <v>82</v>
      </c>
      <c r="G1779" s="1"/>
    </row>
    <row r="1780" spans="1:7" x14ac:dyDescent="0.25">
      <c r="A1780" s="4" t="s">
        <v>500</v>
      </c>
      <c r="B1780" s="5" t="s">
        <v>576</v>
      </c>
      <c r="C1780" s="5">
        <v>0</v>
      </c>
      <c r="D1780">
        <f t="shared" si="27"/>
        <v>82</v>
      </c>
      <c r="G1780" s="1"/>
    </row>
    <row r="1781" spans="1:7" x14ac:dyDescent="0.25">
      <c r="A1781" s="3" t="s">
        <v>500</v>
      </c>
      <c r="B1781" s="6" t="s">
        <v>577</v>
      </c>
      <c r="C1781" s="6">
        <v>0</v>
      </c>
      <c r="D1781">
        <f t="shared" si="27"/>
        <v>82</v>
      </c>
      <c r="G1781" s="1"/>
    </row>
    <row r="1782" spans="1:7" x14ac:dyDescent="0.25">
      <c r="A1782" s="4" t="s">
        <v>500</v>
      </c>
      <c r="B1782" s="5" t="s">
        <v>578</v>
      </c>
      <c r="C1782" s="5">
        <v>0</v>
      </c>
      <c r="D1782">
        <f t="shared" si="27"/>
        <v>82</v>
      </c>
      <c r="G1782" s="1"/>
    </row>
    <row r="1783" spans="1:7" x14ac:dyDescent="0.25">
      <c r="A1783" s="3" t="s">
        <v>500</v>
      </c>
      <c r="B1783" s="6" t="s">
        <v>579</v>
      </c>
      <c r="C1783" s="6">
        <v>0</v>
      </c>
      <c r="D1783">
        <f t="shared" si="27"/>
        <v>82</v>
      </c>
      <c r="G1783" s="1"/>
    </row>
    <row r="1784" spans="1:7" x14ac:dyDescent="0.25">
      <c r="A1784" s="4" t="s">
        <v>500</v>
      </c>
      <c r="B1784" s="5" t="s">
        <v>580</v>
      </c>
      <c r="C1784" s="5">
        <v>0</v>
      </c>
      <c r="D1784">
        <f t="shared" si="27"/>
        <v>82</v>
      </c>
      <c r="G1784" s="1"/>
    </row>
    <row r="1785" spans="1:7" x14ac:dyDescent="0.25">
      <c r="A1785" s="3" t="s">
        <v>500</v>
      </c>
      <c r="B1785" s="6" t="s">
        <v>581</v>
      </c>
      <c r="C1785" s="6">
        <v>0</v>
      </c>
      <c r="D1785">
        <f t="shared" si="27"/>
        <v>82</v>
      </c>
      <c r="G1785" s="1"/>
    </row>
    <row r="1786" spans="1:7" x14ac:dyDescent="0.25">
      <c r="A1786" s="4" t="s">
        <v>500</v>
      </c>
      <c r="B1786" s="5" t="s">
        <v>582</v>
      </c>
      <c r="C1786" s="5">
        <v>1</v>
      </c>
      <c r="D1786">
        <f t="shared" si="27"/>
        <v>82</v>
      </c>
      <c r="G1786" s="1"/>
    </row>
    <row r="1787" spans="1:7" x14ac:dyDescent="0.25">
      <c r="A1787" s="3" t="s">
        <v>500</v>
      </c>
      <c r="B1787" s="6" t="s">
        <v>583</v>
      </c>
      <c r="C1787" s="6">
        <v>1</v>
      </c>
      <c r="D1787">
        <f t="shared" si="27"/>
        <v>82</v>
      </c>
      <c r="G1787" s="1"/>
    </row>
    <row r="1788" spans="1:7" x14ac:dyDescent="0.25">
      <c r="A1788" s="4" t="s">
        <v>500</v>
      </c>
      <c r="B1788" s="5" t="s">
        <v>584</v>
      </c>
      <c r="C1788" s="5">
        <v>0</v>
      </c>
      <c r="D1788">
        <f t="shared" si="27"/>
        <v>82</v>
      </c>
      <c r="G1788" s="1"/>
    </row>
    <row r="1789" spans="1:7" x14ac:dyDescent="0.25">
      <c r="A1789" s="3" t="s">
        <v>500</v>
      </c>
      <c r="B1789" s="6" t="s">
        <v>585</v>
      </c>
      <c r="C1789" s="6">
        <v>0</v>
      </c>
      <c r="D1789">
        <f t="shared" si="27"/>
        <v>82</v>
      </c>
      <c r="G1789" s="1"/>
    </row>
    <row r="1790" spans="1:7" x14ac:dyDescent="0.25">
      <c r="A1790" s="4" t="s">
        <v>500</v>
      </c>
      <c r="B1790" s="5" t="s">
        <v>586</v>
      </c>
      <c r="C1790" s="5">
        <v>0</v>
      </c>
      <c r="D1790">
        <f t="shared" si="27"/>
        <v>82</v>
      </c>
      <c r="G1790" s="1"/>
    </row>
    <row r="1791" spans="1:7" x14ac:dyDescent="0.25">
      <c r="A1791" s="3" t="s">
        <v>500</v>
      </c>
      <c r="B1791" s="6" t="s">
        <v>587</v>
      </c>
      <c r="C1791" s="6">
        <v>0</v>
      </c>
      <c r="D1791">
        <f t="shared" si="27"/>
        <v>82</v>
      </c>
      <c r="G1791" s="1"/>
    </row>
    <row r="1792" spans="1:7" x14ac:dyDescent="0.25">
      <c r="A1792" s="4" t="s">
        <v>500</v>
      </c>
      <c r="B1792" s="5" t="s">
        <v>588</v>
      </c>
      <c r="C1792" s="5">
        <v>0</v>
      </c>
      <c r="D1792">
        <f t="shared" si="27"/>
        <v>82</v>
      </c>
      <c r="G1792" s="1"/>
    </row>
    <row r="1793" spans="1:7" x14ac:dyDescent="0.25">
      <c r="A1793" s="3" t="s">
        <v>500</v>
      </c>
      <c r="B1793" s="6" t="s">
        <v>589</v>
      </c>
      <c r="C1793" s="6" t="s">
        <v>246</v>
      </c>
      <c r="D1793">
        <f t="shared" si="27"/>
        <v>82</v>
      </c>
      <c r="G1793" s="1"/>
    </row>
    <row r="1794" spans="1:7" x14ac:dyDescent="0.25">
      <c r="A1794" s="4" t="s">
        <v>500</v>
      </c>
      <c r="B1794" s="5" t="s">
        <v>590</v>
      </c>
      <c r="C1794" s="5">
        <v>1</v>
      </c>
      <c r="D1794">
        <f t="shared" si="27"/>
        <v>82</v>
      </c>
      <c r="G1794" s="1"/>
    </row>
    <row r="1795" spans="1:7" x14ac:dyDescent="0.25">
      <c r="A1795" s="3" t="s">
        <v>500</v>
      </c>
      <c r="B1795" s="6" t="s">
        <v>591</v>
      </c>
      <c r="C1795" s="6" t="s">
        <v>246</v>
      </c>
      <c r="D1795">
        <f t="shared" si="27"/>
        <v>82</v>
      </c>
      <c r="G1795" s="1"/>
    </row>
    <row r="1796" spans="1:7" x14ac:dyDescent="0.25">
      <c r="A1796" s="4" t="s">
        <v>500</v>
      </c>
      <c r="B1796" s="5" t="s">
        <v>592</v>
      </c>
      <c r="C1796" s="5">
        <v>0</v>
      </c>
      <c r="D1796">
        <f t="shared" ref="D1796:D1859" si="28">IF(B1796="CCM", D1795+1, D1795)</f>
        <v>82</v>
      </c>
      <c r="G1796" s="1"/>
    </row>
    <row r="1797" spans="1:7" x14ac:dyDescent="0.25">
      <c r="A1797" s="3" t="s">
        <v>500</v>
      </c>
      <c r="B1797" s="6" t="s">
        <v>593</v>
      </c>
      <c r="C1797" s="6">
        <v>0</v>
      </c>
      <c r="D1797">
        <f t="shared" si="28"/>
        <v>82</v>
      </c>
      <c r="G1797" s="1"/>
    </row>
    <row r="1798" spans="1:7" x14ac:dyDescent="0.25">
      <c r="A1798" s="4" t="s">
        <v>501</v>
      </c>
      <c r="B1798" s="5" t="s">
        <v>574</v>
      </c>
      <c r="C1798" s="5">
        <v>0</v>
      </c>
      <c r="D1798">
        <f t="shared" si="28"/>
        <v>83</v>
      </c>
      <c r="G1798" s="1"/>
    </row>
    <row r="1799" spans="1:7" x14ac:dyDescent="0.25">
      <c r="A1799" s="3" t="s">
        <v>501</v>
      </c>
      <c r="B1799" s="6" t="s">
        <v>575</v>
      </c>
      <c r="C1799" s="6">
        <v>0</v>
      </c>
      <c r="D1799">
        <f t="shared" si="28"/>
        <v>83</v>
      </c>
      <c r="G1799" s="1"/>
    </row>
    <row r="1800" spans="1:7" x14ac:dyDescent="0.25">
      <c r="A1800" s="4" t="s">
        <v>501</v>
      </c>
      <c r="B1800" s="5" t="s">
        <v>576</v>
      </c>
      <c r="C1800" s="5">
        <v>0</v>
      </c>
      <c r="D1800">
        <f t="shared" si="28"/>
        <v>83</v>
      </c>
      <c r="G1800" s="1"/>
    </row>
    <row r="1801" spans="1:7" x14ac:dyDescent="0.25">
      <c r="A1801" s="3" t="s">
        <v>501</v>
      </c>
      <c r="B1801" s="6" t="s">
        <v>577</v>
      </c>
      <c r="C1801" s="6">
        <v>0</v>
      </c>
      <c r="D1801">
        <f t="shared" si="28"/>
        <v>83</v>
      </c>
      <c r="G1801" s="1"/>
    </row>
    <row r="1802" spans="1:7" x14ac:dyDescent="0.25">
      <c r="A1802" s="4" t="s">
        <v>501</v>
      </c>
      <c r="B1802" s="5" t="s">
        <v>578</v>
      </c>
      <c r="C1802" s="5">
        <v>0</v>
      </c>
      <c r="D1802">
        <f t="shared" si="28"/>
        <v>83</v>
      </c>
      <c r="G1802" s="1"/>
    </row>
    <row r="1803" spans="1:7" x14ac:dyDescent="0.25">
      <c r="A1803" s="3" t="s">
        <v>501</v>
      </c>
      <c r="B1803" s="6" t="s">
        <v>579</v>
      </c>
      <c r="C1803" s="6">
        <v>0</v>
      </c>
      <c r="D1803">
        <f t="shared" si="28"/>
        <v>83</v>
      </c>
      <c r="G1803" s="1"/>
    </row>
    <row r="1804" spans="1:7" x14ac:dyDescent="0.25">
      <c r="A1804" s="4" t="s">
        <v>501</v>
      </c>
      <c r="B1804" s="5" t="s">
        <v>580</v>
      </c>
      <c r="C1804" s="5">
        <v>0</v>
      </c>
      <c r="D1804">
        <f t="shared" si="28"/>
        <v>83</v>
      </c>
      <c r="G1804" s="1"/>
    </row>
    <row r="1805" spans="1:7" x14ac:dyDescent="0.25">
      <c r="A1805" s="3" t="s">
        <v>501</v>
      </c>
      <c r="B1805" s="6" t="s">
        <v>581</v>
      </c>
      <c r="C1805" s="6">
        <v>0</v>
      </c>
      <c r="D1805">
        <f t="shared" si="28"/>
        <v>83</v>
      </c>
      <c r="G1805" s="1"/>
    </row>
    <row r="1806" spans="1:7" x14ac:dyDescent="0.25">
      <c r="A1806" s="4" t="s">
        <v>501</v>
      </c>
      <c r="B1806" s="5" t="s">
        <v>582</v>
      </c>
      <c r="C1806" s="5">
        <v>1</v>
      </c>
      <c r="D1806">
        <f t="shared" si="28"/>
        <v>83</v>
      </c>
      <c r="G1806" s="1"/>
    </row>
    <row r="1807" spans="1:7" x14ac:dyDescent="0.25">
      <c r="A1807" s="3" t="s">
        <v>501</v>
      </c>
      <c r="B1807" s="6" t="s">
        <v>583</v>
      </c>
      <c r="C1807" s="6">
        <v>1</v>
      </c>
      <c r="D1807">
        <f t="shared" si="28"/>
        <v>83</v>
      </c>
      <c r="G1807" s="1"/>
    </row>
    <row r="1808" spans="1:7" x14ac:dyDescent="0.25">
      <c r="A1808" s="4" t="s">
        <v>501</v>
      </c>
      <c r="B1808" s="5" t="s">
        <v>584</v>
      </c>
      <c r="C1808" s="5">
        <v>0</v>
      </c>
      <c r="D1808">
        <f t="shared" si="28"/>
        <v>83</v>
      </c>
      <c r="G1808" s="1"/>
    </row>
    <row r="1809" spans="1:7" x14ac:dyDescent="0.25">
      <c r="A1809" s="3" t="s">
        <v>501</v>
      </c>
      <c r="B1809" s="6" t="s">
        <v>585</v>
      </c>
      <c r="C1809" s="6">
        <v>0</v>
      </c>
      <c r="D1809">
        <f t="shared" si="28"/>
        <v>83</v>
      </c>
      <c r="G1809" s="1"/>
    </row>
    <row r="1810" spans="1:7" x14ac:dyDescent="0.25">
      <c r="A1810" s="4" t="s">
        <v>501</v>
      </c>
      <c r="B1810" s="5" t="s">
        <v>586</v>
      </c>
      <c r="C1810" s="5">
        <v>0</v>
      </c>
      <c r="D1810">
        <f t="shared" si="28"/>
        <v>83</v>
      </c>
      <c r="G1810" s="1"/>
    </row>
    <row r="1811" spans="1:7" x14ac:dyDescent="0.25">
      <c r="A1811" s="3" t="s">
        <v>501</v>
      </c>
      <c r="B1811" s="6" t="s">
        <v>587</v>
      </c>
      <c r="C1811" s="6">
        <v>0</v>
      </c>
      <c r="D1811">
        <f t="shared" si="28"/>
        <v>83</v>
      </c>
      <c r="G1811" s="1"/>
    </row>
    <row r="1812" spans="1:7" x14ac:dyDescent="0.25">
      <c r="A1812" s="4" t="s">
        <v>501</v>
      </c>
      <c r="B1812" s="5" t="s">
        <v>588</v>
      </c>
      <c r="C1812" s="5">
        <v>0</v>
      </c>
      <c r="D1812">
        <f t="shared" si="28"/>
        <v>83</v>
      </c>
      <c r="G1812" s="1"/>
    </row>
    <row r="1813" spans="1:7" x14ac:dyDescent="0.25">
      <c r="A1813" s="3" t="s">
        <v>501</v>
      </c>
      <c r="B1813" s="6" t="s">
        <v>589</v>
      </c>
      <c r="C1813" s="6" t="s">
        <v>246</v>
      </c>
      <c r="D1813">
        <f t="shared" si="28"/>
        <v>83</v>
      </c>
      <c r="G1813" s="1"/>
    </row>
    <row r="1814" spans="1:7" x14ac:dyDescent="0.25">
      <c r="A1814" s="4" t="s">
        <v>501</v>
      </c>
      <c r="B1814" s="5" t="s">
        <v>590</v>
      </c>
      <c r="C1814" s="5">
        <v>1</v>
      </c>
      <c r="D1814">
        <f t="shared" si="28"/>
        <v>83</v>
      </c>
      <c r="G1814" s="1"/>
    </row>
    <row r="1815" spans="1:7" x14ac:dyDescent="0.25">
      <c r="A1815" s="3" t="s">
        <v>501</v>
      </c>
      <c r="B1815" s="6" t="s">
        <v>591</v>
      </c>
      <c r="C1815" s="6" t="s">
        <v>246</v>
      </c>
      <c r="D1815">
        <f t="shared" si="28"/>
        <v>83</v>
      </c>
      <c r="G1815" s="1"/>
    </row>
    <row r="1816" spans="1:7" x14ac:dyDescent="0.25">
      <c r="A1816" s="4" t="s">
        <v>501</v>
      </c>
      <c r="B1816" s="5" t="s">
        <v>592</v>
      </c>
      <c r="C1816" s="5">
        <v>0</v>
      </c>
      <c r="D1816">
        <f t="shared" si="28"/>
        <v>83</v>
      </c>
      <c r="G1816" s="1"/>
    </row>
    <row r="1817" spans="1:7" x14ac:dyDescent="0.25">
      <c r="A1817" s="3" t="s">
        <v>501</v>
      </c>
      <c r="B1817" s="6" t="s">
        <v>593</v>
      </c>
      <c r="C1817" s="6">
        <v>0</v>
      </c>
      <c r="D1817">
        <f t="shared" si="28"/>
        <v>83</v>
      </c>
      <c r="G1817" s="1"/>
    </row>
    <row r="1818" spans="1:7" x14ac:dyDescent="0.25">
      <c r="A1818" s="4" t="s">
        <v>502</v>
      </c>
      <c r="B1818" s="5" t="s">
        <v>574</v>
      </c>
      <c r="C1818" s="5">
        <v>0</v>
      </c>
      <c r="D1818">
        <f t="shared" si="28"/>
        <v>84</v>
      </c>
      <c r="G1818" s="1"/>
    </row>
    <row r="1819" spans="1:7" x14ac:dyDescent="0.25">
      <c r="A1819" s="3" t="s">
        <v>502</v>
      </c>
      <c r="B1819" s="6" t="s">
        <v>575</v>
      </c>
      <c r="C1819" s="6">
        <v>0</v>
      </c>
      <c r="D1819">
        <f t="shared" si="28"/>
        <v>84</v>
      </c>
      <c r="G1819" s="1"/>
    </row>
    <row r="1820" spans="1:7" x14ac:dyDescent="0.25">
      <c r="A1820" s="4" t="s">
        <v>502</v>
      </c>
      <c r="B1820" s="5" t="s">
        <v>576</v>
      </c>
      <c r="C1820" s="5">
        <v>0</v>
      </c>
      <c r="D1820">
        <f t="shared" si="28"/>
        <v>84</v>
      </c>
      <c r="G1820" s="1"/>
    </row>
    <row r="1821" spans="1:7" x14ac:dyDescent="0.25">
      <c r="A1821" s="3" t="s">
        <v>502</v>
      </c>
      <c r="B1821" s="6" t="s">
        <v>577</v>
      </c>
      <c r="C1821" s="6">
        <v>0</v>
      </c>
      <c r="D1821">
        <f t="shared" si="28"/>
        <v>84</v>
      </c>
      <c r="G1821" s="1"/>
    </row>
    <row r="1822" spans="1:7" x14ac:dyDescent="0.25">
      <c r="A1822" s="4" t="s">
        <v>502</v>
      </c>
      <c r="B1822" s="5" t="s">
        <v>578</v>
      </c>
      <c r="C1822" s="5">
        <v>0</v>
      </c>
      <c r="D1822">
        <f t="shared" si="28"/>
        <v>84</v>
      </c>
      <c r="G1822" s="1"/>
    </row>
    <row r="1823" spans="1:7" x14ac:dyDescent="0.25">
      <c r="A1823" s="3" t="s">
        <v>502</v>
      </c>
      <c r="B1823" s="6" t="s">
        <v>579</v>
      </c>
      <c r="C1823" s="6">
        <v>0</v>
      </c>
      <c r="D1823">
        <f t="shared" si="28"/>
        <v>84</v>
      </c>
      <c r="G1823" s="1"/>
    </row>
    <row r="1824" spans="1:7" x14ac:dyDescent="0.25">
      <c r="A1824" s="4" t="s">
        <v>502</v>
      </c>
      <c r="B1824" s="5" t="s">
        <v>580</v>
      </c>
      <c r="C1824" s="5">
        <v>0</v>
      </c>
      <c r="D1824">
        <f t="shared" si="28"/>
        <v>84</v>
      </c>
      <c r="G1824" s="1"/>
    </row>
    <row r="1825" spans="1:7" x14ac:dyDescent="0.25">
      <c r="A1825" s="3" t="s">
        <v>502</v>
      </c>
      <c r="B1825" s="6" t="s">
        <v>581</v>
      </c>
      <c r="C1825" s="6">
        <v>0</v>
      </c>
      <c r="D1825">
        <f t="shared" si="28"/>
        <v>84</v>
      </c>
      <c r="G1825" s="1"/>
    </row>
    <row r="1826" spans="1:7" x14ac:dyDescent="0.25">
      <c r="A1826" s="4" t="s">
        <v>502</v>
      </c>
      <c r="B1826" s="5" t="s">
        <v>582</v>
      </c>
      <c r="C1826" s="5">
        <v>1</v>
      </c>
      <c r="D1826">
        <f t="shared" si="28"/>
        <v>84</v>
      </c>
      <c r="G1826" s="1"/>
    </row>
    <row r="1827" spans="1:7" x14ac:dyDescent="0.25">
      <c r="A1827" s="3" t="s">
        <v>502</v>
      </c>
      <c r="B1827" s="6" t="s">
        <v>583</v>
      </c>
      <c r="C1827" s="6">
        <v>1</v>
      </c>
      <c r="D1827">
        <f t="shared" si="28"/>
        <v>84</v>
      </c>
      <c r="G1827" s="1"/>
    </row>
    <row r="1828" spans="1:7" x14ac:dyDescent="0.25">
      <c r="A1828" s="4" t="s">
        <v>502</v>
      </c>
      <c r="B1828" s="5" t="s">
        <v>584</v>
      </c>
      <c r="C1828" s="5">
        <v>0</v>
      </c>
      <c r="D1828">
        <f t="shared" si="28"/>
        <v>84</v>
      </c>
      <c r="G1828" s="1"/>
    </row>
    <row r="1829" spans="1:7" x14ac:dyDescent="0.25">
      <c r="A1829" s="3" t="s">
        <v>502</v>
      </c>
      <c r="B1829" s="6" t="s">
        <v>585</v>
      </c>
      <c r="C1829" s="6">
        <v>0</v>
      </c>
      <c r="D1829">
        <f t="shared" si="28"/>
        <v>84</v>
      </c>
      <c r="G1829" s="1"/>
    </row>
    <row r="1830" spans="1:7" x14ac:dyDescent="0.25">
      <c r="A1830" s="4" t="s">
        <v>502</v>
      </c>
      <c r="B1830" s="5" t="s">
        <v>586</v>
      </c>
      <c r="C1830" s="5">
        <v>0</v>
      </c>
      <c r="D1830">
        <f t="shared" si="28"/>
        <v>84</v>
      </c>
      <c r="G1830" s="1"/>
    </row>
    <row r="1831" spans="1:7" x14ac:dyDescent="0.25">
      <c r="A1831" s="3" t="s">
        <v>502</v>
      </c>
      <c r="B1831" s="6" t="s">
        <v>587</v>
      </c>
      <c r="C1831" s="6">
        <v>0</v>
      </c>
      <c r="D1831">
        <f t="shared" si="28"/>
        <v>84</v>
      </c>
      <c r="G1831" s="1"/>
    </row>
    <row r="1832" spans="1:7" x14ac:dyDescent="0.25">
      <c r="A1832" s="4" t="s">
        <v>502</v>
      </c>
      <c r="B1832" s="5" t="s">
        <v>588</v>
      </c>
      <c r="C1832" s="5">
        <v>0</v>
      </c>
      <c r="D1832">
        <f t="shared" si="28"/>
        <v>84</v>
      </c>
      <c r="G1832" s="1"/>
    </row>
    <row r="1833" spans="1:7" x14ac:dyDescent="0.25">
      <c r="A1833" s="3" t="s">
        <v>502</v>
      </c>
      <c r="B1833" s="6" t="s">
        <v>589</v>
      </c>
      <c r="C1833" s="6" t="s">
        <v>246</v>
      </c>
      <c r="D1833">
        <f t="shared" si="28"/>
        <v>84</v>
      </c>
      <c r="G1833" s="1"/>
    </row>
    <row r="1834" spans="1:7" x14ac:dyDescent="0.25">
      <c r="A1834" s="4" t="s">
        <v>502</v>
      </c>
      <c r="B1834" s="5" t="s">
        <v>590</v>
      </c>
      <c r="C1834" s="5">
        <v>1</v>
      </c>
      <c r="D1834">
        <f t="shared" si="28"/>
        <v>84</v>
      </c>
      <c r="G1834" s="1"/>
    </row>
    <row r="1835" spans="1:7" x14ac:dyDescent="0.25">
      <c r="A1835" s="3" t="s">
        <v>502</v>
      </c>
      <c r="B1835" s="6" t="s">
        <v>591</v>
      </c>
      <c r="C1835" s="6" t="s">
        <v>246</v>
      </c>
      <c r="D1835">
        <f t="shared" si="28"/>
        <v>84</v>
      </c>
      <c r="G1835" s="1"/>
    </row>
    <row r="1836" spans="1:7" x14ac:dyDescent="0.25">
      <c r="A1836" s="4" t="s">
        <v>502</v>
      </c>
      <c r="B1836" s="5" t="s">
        <v>592</v>
      </c>
      <c r="C1836" s="5">
        <v>0</v>
      </c>
      <c r="D1836">
        <f t="shared" si="28"/>
        <v>84</v>
      </c>
      <c r="G1836" s="1"/>
    </row>
    <row r="1837" spans="1:7" x14ac:dyDescent="0.25">
      <c r="A1837" s="3" t="s">
        <v>502</v>
      </c>
      <c r="B1837" s="6" t="s">
        <v>593</v>
      </c>
      <c r="C1837" s="6">
        <v>1</v>
      </c>
      <c r="D1837">
        <f t="shared" si="28"/>
        <v>84</v>
      </c>
      <c r="G1837" s="1"/>
    </row>
    <row r="1838" spans="1:7" x14ac:dyDescent="0.25">
      <c r="A1838" s="4" t="s">
        <v>503</v>
      </c>
      <c r="B1838" s="5" t="s">
        <v>574</v>
      </c>
      <c r="C1838" s="5">
        <v>0</v>
      </c>
      <c r="D1838">
        <f t="shared" si="28"/>
        <v>85</v>
      </c>
      <c r="G1838" s="1"/>
    </row>
    <row r="1839" spans="1:7" x14ac:dyDescent="0.25">
      <c r="A1839" s="3" t="s">
        <v>503</v>
      </c>
      <c r="B1839" s="6" t="s">
        <v>575</v>
      </c>
      <c r="C1839" s="6">
        <v>0</v>
      </c>
      <c r="D1839">
        <f t="shared" si="28"/>
        <v>85</v>
      </c>
      <c r="G1839" s="1"/>
    </row>
    <row r="1840" spans="1:7" x14ac:dyDescent="0.25">
      <c r="A1840" s="4" t="s">
        <v>503</v>
      </c>
      <c r="B1840" s="5" t="s">
        <v>576</v>
      </c>
      <c r="C1840" s="5">
        <v>0</v>
      </c>
      <c r="D1840">
        <f t="shared" si="28"/>
        <v>85</v>
      </c>
      <c r="G1840" s="1"/>
    </row>
    <row r="1841" spans="1:7" x14ac:dyDescent="0.25">
      <c r="A1841" s="3" t="s">
        <v>503</v>
      </c>
      <c r="B1841" s="6" t="s">
        <v>577</v>
      </c>
      <c r="C1841" s="6">
        <v>0</v>
      </c>
      <c r="D1841">
        <f t="shared" si="28"/>
        <v>85</v>
      </c>
      <c r="G1841" s="1"/>
    </row>
    <row r="1842" spans="1:7" x14ac:dyDescent="0.25">
      <c r="A1842" s="4" t="s">
        <v>503</v>
      </c>
      <c r="B1842" s="5" t="s">
        <v>578</v>
      </c>
      <c r="C1842" s="5">
        <v>0</v>
      </c>
      <c r="D1842">
        <f t="shared" si="28"/>
        <v>85</v>
      </c>
      <c r="G1842" s="1"/>
    </row>
    <row r="1843" spans="1:7" x14ac:dyDescent="0.25">
      <c r="A1843" s="3" t="s">
        <v>503</v>
      </c>
      <c r="B1843" s="6" t="s">
        <v>579</v>
      </c>
      <c r="C1843" s="6">
        <v>0</v>
      </c>
      <c r="D1843">
        <f t="shared" si="28"/>
        <v>85</v>
      </c>
      <c r="G1843" s="1"/>
    </row>
    <row r="1844" spans="1:7" x14ac:dyDescent="0.25">
      <c r="A1844" s="4" t="s">
        <v>503</v>
      </c>
      <c r="B1844" s="5" t="s">
        <v>580</v>
      </c>
      <c r="C1844" s="5">
        <v>0</v>
      </c>
      <c r="D1844">
        <f t="shared" si="28"/>
        <v>85</v>
      </c>
      <c r="G1844" s="1"/>
    </row>
    <row r="1845" spans="1:7" x14ac:dyDescent="0.25">
      <c r="A1845" s="3" t="s">
        <v>503</v>
      </c>
      <c r="B1845" s="6" t="s">
        <v>581</v>
      </c>
      <c r="C1845" s="6">
        <v>0</v>
      </c>
      <c r="D1845">
        <f t="shared" si="28"/>
        <v>85</v>
      </c>
      <c r="G1845" s="1"/>
    </row>
    <row r="1846" spans="1:7" x14ac:dyDescent="0.25">
      <c r="A1846" s="4" t="s">
        <v>503</v>
      </c>
      <c r="B1846" s="5" t="s">
        <v>582</v>
      </c>
      <c r="C1846" s="5">
        <v>1</v>
      </c>
      <c r="D1846">
        <f t="shared" si="28"/>
        <v>85</v>
      </c>
      <c r="G1846" s="1"/>
    </row>
    <row r="1847" spans="1:7" x14ac:dyDescent="0.25">
      <c r="A1847" s="3" t="s">
        <v>503</v>
      </c>
      <c r="B1847" s="6" t="s">
        <v>583</v>
      </c>
      <c r="C1847" s="6">
        <v>1</v>
      </c>
      <c r="D1847">
        <f t="shared" si="28"/>
        <v>85</v>
      </c>
      <c r="G1847" s="1"/>
    </row>
    <row r="1848" spans="1:7" x14ac:dyDescent="0.25">
      <c r="A1848" s="4" t="s">
        <v>503</v>
      </c>
      <c r="B1848" s="5" t="s">
        <v>584</v>
      </c>
      <c r="C1848" s="5">
        <v>0</v>
      </c>
      <c r="D1848">
        <f t="shared" si="28"/>
        <v>85</v>
      </c>
      <c r="G1848" s="1"/>
    </row>
    <row r="1849" spans="1:7" x14ac:dyDescent="0.25">
      <c r="A1849" s="3" t="s">
        <v>503</v>
      </c>
      <c r="B1849" s="6" t="s">
        <v>585</v>
      </c>
      <c r="C1849" s="6">
        <v>0</v>
      </c>
      <c r="D1849">
        <f t="shared" si="28"/>
        <v>85</v>
      </c>
      <c r="G1849" s="1"/>
    </row>
    <row r="1850" spans="1:7" x14ac:dyDescent="0.25">
      <c r="A1850" s="4" t="s">
        <v>503</v>
      </c>
      <c r="B1850" s="5" t="s">
        <v>586</v>
      </c>
      <c r="C1850" s="5">
        <v>0</v>
      </c>
      <c r="D1850">
        <f t="shared" si="28"/>
        <v>85</v>
      </c>
      <c r="G1850" s="1"/>
    </row>
    <row r="1851" spans="1:7" x14ac:dyDescent="0.25">
      <c r="A1851" s="3" t="s">
        <v>503</v>
      </c>
      <c r="B1851" s="6" t="s">
        <v>587</v>
      </c>
      <c r="C1851" s="6">
        <v>0</v>
      </c>
      <c r="D1851">
        <f t="shared" si="28"/>
        <v>85</v>
      </c>
      <c r="G1851" s="1"/>
    </row>
    <row r="1852" spans="1:7" x14ac:dyDescent="0.25">
      <c r="A1852" s="4" t="s">
        <v>503</v>
      </c>
      <c r="B1852" s="5" t="s">
        <v>588</v>
      </c>
      <c r="C1852" s="5">
        <v>0</v>
      </c>
      <c r="D1852">
        <f t="shared" si="28"/>
        <v>85</v>
      </c>
      <c r="G1852" s="1"/>
    </row>
    <row r="1853" spans="1:7" x14ac:dyDescent="0.25">
      <c r="A1853" s="3" t="s">
        <v>503</v>
      </c>
      <c r="B1853" s="6" t="s">
        <v>589</v>
      </c>
      <c r="C1853" s="6" t="s">
        <v>246</v>
      </c>
      <c r="D1853">
        <f t="shared" si="28"/>
        <v>85</v>
      </c>
      <c r="G1853" s="1"/>
    </row>
    <row r="1854" spans="1:7" x14ac:dyDescent="0.25">
      <c r="A1854" s="4" t="s">
        <v>503</v>
      </c>
      <c r="B1854" s="5" t="s">
        <v>590</v>
      </c>
      <c r="C1854" s="5">
        <v>1</v>
      </c>
      <c r="D1854">
        <f t="shared" si="28"/>
        <v>85</v>
      </c>
      <c r="G1854" s="1"/>
    </row>
    <row r="1855" spans="1:7" x14ac:dyDescent="0.25">
      <c r="A1855" s="3" t="s">
        <v>503</v>
      </c>
      <c r="B1855" s="6" t="s">
        <v>591</v>
      </c>
      <c r="C1855" s="6" t="s">
        <v>246</v>
      </c>
      <c r="D1855">
        <f t="shared" si="28"/>
        <v>85</v>
      </c>
      <c r="G1855" s="1"/>
    </row>
    <row r="1856" spans="1:7" x14ac:dyDescent="0.25">
      <c r="A1856" s="4" t="s">
        <v>503</v>
      </c>
      <c r="B1856" s="5" t="s">
        <v>592</v>
      </c>
      <c r="C1856" s="5">
        <v>0</v>
      </c>
      <c r="D1856">
        <f t="shared" si="28"/>
        <v>85</v>
      </c>
      <c r="G1856" s="1"/>
    </row>
    <row r="1857" spans="1:7" x14ac:dyDescent="0.25">
      <c r="A1857" s="3" t="s">
        <v>503</v>
      </c>
      <c r="B1857" s="6" t="s">
        <v>593</v>
      </c>
      <c r="C1857" s="6">
        <v>0</v>
      </c>
      <c r="D1857">
        <f t="shared" si="28"/>
        <v>85</v>
      </c>
      <c r="G1857" s="1"/>
    </row>
    <row r="1858" spans="1:7" x14ac:dyDescent="0.25">
      <c r="A1858" s="4" t="s">
        <v>504</v>
      </c>
      <c r="B1858" s="5" t="s">
        <v>574</v>
      </c>
      <c r="C1858" s="5">
        <v>0</v>
      </c>
      <c r="D1858">
        <f t="shared" si="28"/>
        <v>86</v>
      </c>
      <c r="G1858" s="1"/>
    </row>
    <row r="1859" spans="1:7" x14ac:dyDescent="0.25">
      <c r="A1859" s="3" t="s">
        <v>504</v>
      </c>
      <c r="B1859" s="6" t="s">
        <v>575</v>
      </c>
      <c r="C1859" s="6">
        <v>0</v>
      </c>
      <c r="D1859">
        <f t="shared" si="28"/>
        <v>86</v>
      </c>
      <c r="G1859" s="1"/>
    </row>
    <row r="1860" spans="1:7" x14ac:dyDescent="0.25">
      <c r="A1860" s="4" t="s">
        <v>504</v>
      </c>
      <c r="B1860" s="5" t="s">
        <v>576</v>
      </c>
      <c r="C1860" s="5">
        <v>0</v>
      </c>
      <c r="D1860">
        <f t="shared" ref="D1860:D1923" si="29">IF(B1860="CCM", D1859+1, D1859)</f>
        <v>86</v>
      </c>
      <c r="G1860" s="1"/>
    </row>
    <row r="1861" spans="1:7" x14ac:dyDescent="0.25">
      <c r="A1861" s="3" t="s">
        <v>504</v>
      </c>
      <c r="B1861" s="6" t="s">
        <v>577</v>
      </c>
      <c r="C1861" s="6">
        <v>0</v>
      </c>
      <c r="D1861">
        <f t="shared" si="29"/>
        <v>86</v>
      </c>
      <c r="G1861" s="1"/>
    </row>
    <row r="1862" spans="1:7" x14ac:dyDescent="0.25">
      <c r="A1862" s="4" t="s">
        <v>504</v>
      </c>
      <c r="B1862" s="5" t="s">
        <v>578</v>
      </c>
      <c r="C1862" s="5">
        <v>0</v>
      </c>
      <c r="D1862">
        <f t="shared" si="29"/>
        <v>86</v>
      </c>
      <c r="G1862" s="1"/>
    </row>
    <row r="1863" spans="1:7" x14ac:dyDescent="0.25">
      <c r="A1863" s="3" t="s">
        <v>504</v>
      </c>
      <c r="B1863" s="6" t="s">
        <v>579</v>
      </c>
      <c r="C1863" s="6">
        <v>0</v>
      </c>
      <c r="D1863">
        <f t="shared" si="29"/>
        <v>86</v>
      </c>
      <c r="G1863" s="1"/>
    </row>
    <row r="1864" spans="1:7" x14ac:dyDescent="0.25">
      <c r="A1864" s="4" t="s">
        <v>504</v>
      </c>
      <c r="B1864" s="5" t="s">
        <v>580</v>
      </c>
      <c r="C1864" s="5">
        <v>0</v>
      </c>
      <c r="D1864">
        <f t="shared" si="29"/>
        <v>86</v>
      </c>
      <c r="G1864" s="1"/>
    </row>
    <row r="1865" spans="1:7" x14ac:dyDescent="0.25">
      <c r="A1865" s="3" t="s">
        <v>504</v>
      </c>
      <c r="B1865" s="6" t="s">
        <v>581</v>
      </c>
      <c r="C1865" s="6">
        <v>0</v>
      </c>
      <c r="D1865">
        <f t="shared" si="29"/>
        <v>86</v>
      </c>
      <c r="G1865" s="1"/>
    </row>
    <row r="1866" spans="1:7" x14ac:dyDescent="0.25">
      <c r="A1866" s="4" t="s">
        <v>504</v>
      </c>
      <c r="B1866" s="5" t="s">
        <v>582</v>
      </c>
      <c r="C1866" s="5">
        <v>1</v>
      </c>
      <c r="D1866">
        <f t="shared" si="29"/>
        <v>86</v>
      </c>
      <c r="G1866" s="1"/>
    </row>
    <row r="1867" spans="1:7" x14ac:dyDescent="0.25">
      <c r="A1867" s="3" t="s">
        <v>504</v>
      </c>
      <c r="B1867" s="6" t="s">
        <v>583</v>
      </c>
      <c r="C1867" s="6">
        <v>1</v>
      </c>
      <c r="D1867">
        <f t="shared" si="29"/>
        <v>86</v>
      </c>
      <c r="G1867" s="1"/>
    </row>
    <row r="1868" spans="1:7" x14ac:dyDescent="0.25">
      <c r="A1868" s="4" t="s">
        <v>504</v>
      </c>
      <c r="B1868" s="5" t="s">
        <v>584</v>
      </c>
      <c r="C1868" s="5">
        <v>0</v>
      </c>
      <c r="D1868">
        <f t="shared" si="29"/>
        <v>86</v>
      </c>
      <c r="G1868" s="1"/>
    </row>
    <row r="1869" spans="1:7" x14ac:dyDescent="0.25">
      <c r="A1869" s="3" t="s">
        <v>504</v>
      </c>
      <c r="B1869" s="6" t="s">
        <v>585</v>
      </c>
      <c r="C1869" s="6">
        <v>0</v>
      </c>
      <c r="D1869">
        <f t="shared" si="29"/>
        <v>86</v>
      </c>
      <c r="G1869" s="1"/>
    </row>
    <row r="1870" spans="1:7" x14ac:dyDescent="0.25">
      <c r="A1870" s="4" t="s">
        <v>504</v>
      </c>
      <c r="B1870" s="5" t="s">
        <v>586</v>
      </c>
      <c r="C1870" s="5">
        <v>0</v>
      </c>
      <c r="D1870">
        <f t="shared" si="29"/>
        <v>86</v>
      </c>
      <c r="G1870" s="1"/>
    </row>
    <row r="1871" spans="1:7" x14ac:dyDescent="0.25">
      <c r="A1871" s="3" t="s">
        <v>504</v>
      </c>
      <c r="B1871" s="6" t="s">
        <v>587</v>
      </c>
      <c r="C1871" s="6">
        <v>0</v>
      </c>
      <c r="D1871">
        <f t="shared" si="29"/>
        <v>86</v>
      </c>
      <c r="G1871" s="1"/>
    </row>
    <row r="1872" spans="1:7" x14ac:dyDescent="0.25">
      <c r="A1872" s="4" t="s">
        <v>504</v>
      </c>
      <c r="B1872" s="5" t="s">
        <v>588</v>
      </c>
      <c r="C1872" s="5">
        <v>0</v>
      </c>
      <c r="D1872">
        <f t="shared" si="29"/>
        <v>86</v>
      </c>
      <c r="G1872" s="1"/>
    </row>
    <row r="1873" spans="1:7" x14ac:dyDescent="0.25">
      <c r="A1873" s="3" t="s">
        <v>504</v>
      </c>
      <c r="B1873" s="6" t="s">
        <v>589</v>
      </c>
      <c r="C1873" s="6" t="s">
        <v>246</v>
      </c>
      <c r="D1873">
        <f t="shared" si="29"/>
        <v>86</v>
      </c>
      <c r="G1873" s="1"/>
    </row>
    <row r="1874" spans="1:7" x14ac:dyDescent="0.25">
      <c r="A1874" s="4" t="s">
        <v>504</v>
      </c>
      <c r="B1874" s="5" t="s">
        <v>590</v>
      </c>
      <c r="C1874" s="5">
        <v>1</v>
      </c>
      <c r="D1874">
        <f t="shared" si="29"/>
        <v>86</v>
      </c>
      <c r="G1874" s="1"/>
    </row>
    <row r="1875" spans="1:7" x14ac:dyDescent="0.25">
      <c r="A1875" s="3" t="s">
        <v>504</v>
      </c>
      <c r="B1875" s="6" t="s">
        <v>591</v>
      </c>
      <c r="C1875" s="6" t="s">
        <v>246</v>
      </c>
      <c r="D1875">
        <f t="shared" si="29"/>
        <v>86</v>
      </c>
      <c r="G1875" s="1"/>
    </row>
    <row r="1876" spans="1:7" x14ac:dyDescent="0.25">
      <c r="A1876" s="4" t="s">
        <v>504</v>
      </c>
      <c r="B1876" s="5" t="s">
        <v>592</v>
      </c>
      <c r="C1876" s="5">
        <v>0</v>
      </c>
      <c r="D1876">
        <f t="shared" si="29"/>
        <v>86</v>
      </c>
      <c r="G1876" s="1"/>
    </row>
    <row r="1877" spans="1:7" x14ac:dyDescent="0.25">
      <c r="A1877" s="3" t="s">
        <v>504</v>
      </c>
      <c r="B1877" s="6" t="s">
        <v>593</v>
      </c>
      <c r="C1877" s="6">
        <v>0</v>
      </c>
      <c r="D1877">
        <f t="shared" si="29"/>
        <v>86</v>
      </c>
      <c r="G1877" s="1"/>
    </row>
    <row r="1878" spans="1:7" x14ac:dyDescent="0.25">
      <c r="A1878" s="4" t="s">
        <v>505</v>
      </c>
      <c r="B1878" s="5" t="s">
        <v>574</v>
      </c>
      <c r="C1878" s="5">
        <v>0</v>
      </c>
      <c r="D1878">
        <f t="shared" si="29"/>
        <v>87</v>
      </c>
      <c r="G1878" s="1"/>
    </row>
    <row r="1879" spans="1:7" x14ac:dyDescent="0.25">
      <c r="A1879" s="3" t="s">
        <v>505</v>
      </c>
      <c r="B1879" s="6" t="s">
        <v>575</v>
      </c>
      <c r="C1879" s="6">
        <v>0</v>
      </c>
      <c r="D1879">
        <f t="shared" si="29"/>
        <v>87</v>
      </c>
      <c r="G1879" s="1"/>
    </row>
    <row r="1880" spans="1:7" x14ac:dyDescent="0.25">
      <c r="A1880" s="4" t="s">
        <v>505</v>
      </c>
      <c r="B1880" s="5" t="s">
        <v>576</v>
      </c>
      <c r="C1880" s="5">
        <v>0</v>
      </c>
      <c r="D1880">
        <f t="shared" si="29"/>
        <v>87</v>
      </c>
      <c r="G1880" s="1"/>
    </row>
    <row r="1881" spans="1:7" x14ac:dyDescent="0.25">
      <c r="A1881" s="3" t="s">
        <v>505</v>
      </c>
      <c r="B1881" s="6" t="s">
        <v>577</v>
      </c>
      <c r="C1881" s="6">
        <v>0</v>
      </c>
      <c r="D1881">
        <f t="shared" si="29"/>
        <v>87</v>
      </c>
      <c r="G1881" s="1"/>
    </row>
    <row r="1882" spans="1:7" x14ac:dyDescent="0.25">
      <c r="A1882" s="4" t="s">
        <v>505</v>
      </c>
      <c r="B1882" s="5" t="s">
        <v>578</v>
      </c>
      <c r="C1882" s="5">
        <v>0</v>
      </c>
      <c r="D1882">
        <f t="shared" si="29"/>
        <v>87</v>
      </c>
      <c r="G1882" s="1"/>
    </row>
    <row r="1883" spans="1:7" x14ac:dyDescent="0.25">
      <c r="A1883" s="3" t="s">
        <v>505</v>
      </c>
      <c r="B1883" s="6" t="s">
        <v>579</v>
      </c>
      <c r="C1883" s="6">
        <v>0</v>
      </c>
      <c r="D1883">
        <f t="shared" si="29"/>
        <v>87</v>
      </c>
      <c r="G1883" s="1"/>
    </row>
    <row r="1884" spans="1:7" x14ac:dyDescent="0.25">
      <c r="A1884" s="4" t="s">
        <v>505</v>
      </c>
      <c r="B1884" s="5" t="s">
        <v>580</v>
      </c>
      <c r="C1884" s="5">
        <v>0</v>
      </c>
      <c r="D1884">
        <f t="shared" si="29"/>
        <v>87</v>
      </c>
      <c r="G1884" s="1"/>
    </row>
    <row r="1885" spans="1:7" x14ac:dyDescent="0.25">
      <c r="A1885" s="3" t="s">
        <v>505</v>
      </c>
      <c r="B1885" s="6" t="s">
        <v>581</v>
      </c>
      <c r="C1885" s="6">
        <v>0</v>
      </c>
      <c r="D1885">
        <f t="shared" si="29"/>
        <v>87</v>
      </c>
      <c r="G1885" s="1"/>
    </row>
    <row r="1886" spans="1:7" x14ac:dyDescent="0.25">
      <c r="A1886" s="4" t="s">
        <v>505</v>
      </c>
      <c r="B1886" s="5" t="s">
        <v>582</v>
      </c>
      <c r="C1886" s="5">
        <v>1</v>
      </c>
      <c r="D1886">
        <f t="shared" si="29"/>
        <v>87</v>
      </c>
      <c r="G1886" s="1"/>
    </row>
    <row r="1887" spans="1:7" x14ac:dyDescent="0.25">
      <c r="A1887" s="3" t="s">
        <v>505</v>
      </c>
      <c r="B1887" s="6" t="s">
        <v>583</v>
      </c>
      <c r="C1887" s="6">
        <v>1</v>
      </c>
      <c r="D1887">
        <f t="shared" si="29"/>
        <v>87</v>
      </c>
      <c r="G1887" s="1"/>
    </row>
    <row r="1888" spans="1:7" x14ac:dyDescent="0.25">
      <c r="A1888" s="4" t="s">
        <v>505</v>
      </c>
      <c r="B1888" s="5" t="s">
        <v>584</v>
      </c>
      <c r="C1888" s="5">
        <v>0</v>
      </c>
      <c r="D1888">
        <f t="shared" si="29"/>
        <v>87</v>
      </c>
      <c r="G1888" s="1"/>
    </row>
    <row r="1889" spans="1:7" x14ac:dyDescent="0.25">
      <c r="A1889" s="3" t="s">
        <v>505</v>
      </c>
      <c r="B1889" s="6" t="s">
        <v>585</v>
      </c>
      <c r="C1889" s="6">
        <v>0</v>
      </c>
      <c r="D1889">
        <f t="shared" si="29"/>
        <v>87</v>
      </c>
      <c r="G1889" s="1"/>
    </row>
    <row r="1890" spans="1:7" x14ac:dyDescent="0.25">
      <c r="A1890" s="4" t="s">
        <v>505</v>
      </c>
      <c r="B1890" s="5" t="s">
        <v>586</v>
      </c>
      <c r="C1890" s="5">
        <v>0</v>
      </c>
      <c r="D1890">
        <f t="shared" si="29"/>
        <v>87</v>
      </c>
      <c r="G1890" s="1"/>
    </row>
    <row r="1891" spans="1:7" x14ac:dyDescent="0.25">
      <c r="A1891" s="3" t="s">
        <v>505</v>
      </c>
      <c r="B1891" s="6" t="s">
        <v>587</v>
      </c>
      <c r="C1891" s="6">
        <v>0</v>
      </c>
      <c r="D1891">
        <f t="shared" si="29"/>
        <v>87</v>
      </c>
      <c r="G1891" s="1"/>
    </row>
    <row r="1892" spans="1:7" x14ac:dyDescent="0.25">
      <c r="A1892" s="4" t="s">
        <v>505</v>
      </c>
      <c r="B1892" s="5" t="s">
        <v>588</v>
      </c>
      <c r="C1892" s="5">
        <v>0</v>
      </c>
      <c r="D1892">
        <f t="shared" si="29"/>
        <v>87</v>
      </c>
      <c r="G1892" s="1"/>
    </row>
    <row r="1893" spans="1:7" x14ac:dyDescent="0.25">
      <c r="A1893" s="3" t="s">
        <v>505</v>
      </c>
      <c r="B1893" s="6" t="s">
        <v>589</v>
      </c>
      <c r="C1893" s="6" t="s">
        <v>246</v>
      </c>
      <c r="D1893">
        <f t="shared" si="29"/>
        <v>87</v>
      </c>
      <c r="G1893" s="1"/>
    </row>
    <row r="1894" spans="1:7" x14ac:dyDescent="0.25">
      <c r="A1894" s="4" t="s">
        <v>505</v>
      </c>
      <c r="B1894" s="5" t="s">
        <v>590</v>
      </c>
      <c r="C1894" s="5">
        <v>1</v>
      </c>
      <c r="D1894">
        <f t="shared" si="29"/>
        <v>87</v>
      </c>
      <c r="G1894" s="1"/>
    </row>
    <row r="1895" spans="1:7" x14ac:dyDescent="0.25">
      <c r="A1895" s="3" t="s">
        <v>505</v>
      </c>
      <c r="B1895" s="6" t="s">
        <v>591</v>
      </c>
      <c r="C1895" s="6" t="s">
        <v>246</v>
      </c>
      <c r="D1895">
        <f t="shared" si="29"/>
        <v>87</v>
      </c>
      <c r="G1895" s="1"/>
    </row>
    <row r="1896" spans="1:7" x14ac:dyDescent="0.25">
      <c r="A1896" s="4" t="s">
        <v>505</v>
      </c>
      <c r="B1896" s="5" t="s">
        <v>592</v>
      </c>
      <c r="C1896" s="5">
        <v>0</v>
      </c>
      <c r="D1896">
        <f t="shared" si="29"/>
        <v>87</v>
      </c>
      <c r="G1896" s="1"/>
    </row>
    <row r="1897" spans="1:7" x14ac:dyDescent="0.25">
      <c r="A1897" s="3" t="s">
        <v>505</v>
      </c>
      <c r="B1897" s="6" t="s">
        <v>593</v>
      </c>
      <c r="C1897" s="6">
        <v>0</v>
      </c>
      <c r="D1897">
        <f t="shared" si="29"/>
        <v>87</v>
      </c>
      <c r="G1897" s="1"/>
    </row>
    <row r="1898" spans="1:7" x14ac:dyDescent="0.25">
      <c r="A1898" s="4" t="s">
        <v>506</v>
      </c>
      <c r="B1898" s="5" t="s">
        <v>574</v>
      </c>
      <c r="C1898" s="5">
        <v>0</v>
      </c>
      <c r="D1898">
        <f t="shared" si="29"/>
        <v>88</v>
      </c>
      <c r="G1898" s="1"/>
    </row>
    <row r="1899" spans="1:7" x14ac:dyDescent="0.25">
      <c r="A1899" s="3" t="s">
        <v>506</v>
      </c>
      <c r="B1899" s="6" t="s">
        <v>575</v>
      </c>
      <c r="C1899" s="6">
        <v>0</v>
      </c>
      <c r="D1899">
        <f t="shared" si="29"/>
        <v>88</v>
      </c>
      <c r="G1899" s="1"/>
    </row>
    <row r="1900" spans="1:7" x14ac:dyDescent="0.25">
      <c r="A1900" s="4" t="s">
        <v>506</v>
      </c>
      <c r="B1900" s="5" t="s">
        <v>576</v>
      </c>
      <c r="C1900" s="5">
        <v>0</v>
      </c>
      <c r="D1900">
        <f t="shared" si="29"/>
        <v>88</v>
      </c>
      <c r="G1900" s="1"/>
    </row>
    <row r="1901" spans="1:7" x14ac:dyDescent="0.25">
      <c r="A1901" s="3" t="s">
        <v>506</v>
      </c>
      <c r="B1901" s="6" t="s">
        <v>577</v>
      </c>
      <c r="C1901" s="6">
        <v>0</v>
      </c>
      <c r="D1901">
        <f t="shared" si="29"/>
        <v>88</v>
      </c>
      <c r="G1901" s="1"/>
    </row>
    <row r="1902" spans="1:7" x14ac:dyDescent="0.25">
      <c r="A1902" s="4" t="s">
        <v>506</v>
      </c>
      <c r="B1902" s="5" t="s">
        <v>578</v>
      </c>
      <c r="C1902" s="5">
        <v>0</v>
      </c>
      <c r="D1902">
        <f t="shared" si="29"/>
        <v>88</v>
      </c>
      <c r="G1902" s="1"/>
    </row>
    <row r="1903" spans="1:7" x14ac:dyDescent="0.25">
      <c r="A1903" s="3" t="s">
        <v>506</v>
      </c>
      <c r="B1903" s="6" t="s">
        <v>579</v>
      </c>
      <c r="C1903" s="6">
        <v>0</v>
      </c>
      <c r="D1903">
        <f t="shared" si="29"/>
        <v>88</v>
      </c>
      <c r="G1903" s="1"/>
    </row>
    <row r="1904" spans="1:7" x14ac:dyDescent="0.25">
      <c r="A1904" s="4" t="s">
        <v>506</v>
      </c>
      <c r="B1904" s="5" t="s">
        <v>580</v>
      </c>
      <c r="C1904" s="5">
        <v>0</v>
      </c>
      <c r="D1904">
        <f t="shared" si="29"/>
        <v>88</v>
      </c>
      <c r="G1904" s="1"/>
    </row>
    <row r="1905" spans="1:7" x14ac:dyDescent="0.25">
      <c r="A1905" s="3" t="s">
        <v>506</v>
      </c>
      <c r="B1905" s="6" t="s">
        <v>581</v>
      </c>
      <c r="C1905" s="6">
        <v>0</v>
      </c>
      <c r="D1905">
        <f t="shared" si="29"/>
        <v>88</v>
      </c>
      <c r="G1905" s="1"/>
    </row>
    <row r="1906" spans="1:7" x14ac:dyDescent="0.25">
      <c r="A1906" s="4" t="s">
        <v>506</v>
      </c>
      <c r="B1906" s="5" t="s">
        <v>582</v>
      </c>
      <c r="C1906" s="5">
        <v>1</v>
      </c>
      <c r="D1906">
        <f t="shared" si="29"/>
        <v>88</v>
      </c>
      <c r="G1906" s="1"/>
    </row>
    <row r="1907" spans="1:7" x14ac:dyDescent="0.25">
      <c r="A1907" s="3" t="s">
        <v>506</v>
      </c>
      <c r="B1907" s="6" t="s">
        <v>583</v>
      </c>
      <c r="C1907" s="6">
        <v>1</v>
      </c>
      <c r="D1907">
        <f t="shared" si="29"/>
        <v>88</v>
      </c>
      <c r="G1907" s="1"/>
    </row>
    <row r="1908" spans="1:7" x14ac:dyDescent="0.25">
      <c r="A1908" s="4" t="s">
        <v>506</v>
      </c>
      <c r="B1908" s="5" t="s">
        <v>584</v>
      </c>
      <c r="C1908" s="5">
        <v>0</v>
      </c>
      <c r="D1908">
        <f t="shared" si="29"/>
        <v>88</v>
      </c>
      <c r="G1908" s="1"/>
    </row>
    <row r="1909" spans="1:7" x14ac:dyDescent="0.25">
      <c r="A1909" s="3" t="s">
        <v>506</v>
      </c>
      <c r="B1909" s="6" t="s">
        <v>585</v>
      </c>
      <c r="C1909" s="6">
        <v>0</v>
      </c>
      <c r="D1909">
        <f t="shared" si="29"/>
        <v>88</v>
      </c>
      <c r="G1909" s="1"/>
    </row>
    <row r="1910" spans="1:7" x14ac:dyDescent="0.25">
      <c r="A1910" s="4" t="s">
        <v>506</v>
      </c>
      <c r="B1910" s="5" t="s">
        <v>586</v>
      </c>
      <c r="C1910" s="5">
        <v>0</v>
      </c>
      <c r="D1910">
        <f t="shared" si="29"/>
        <v>88</v>
      </c>
      <c r="G1910" s="1"/>
    </row>
    <row r="1911" spans="1:7" x14ac:dyDescent="0.25">
      <c r="A1911" s="3" t="s">
        <v>506</v>
      </c>
      <c r="B1911" s="6" t="s">
        <v>587</v>
      </c>
      <c r="C1911" s="6">
        <v>0</v>
      </c>
      <c r="D1911">
        <f t="shared" si="29"/>
        <v>88</v>
      </c>
      <c r="G1911" s="1"/>
    </row>
    <row r="1912" spans="1:7" x14ac:dyDescent="0.25">
      <c r="A1912" s="4" t="s">
        <v>506</v>
      </c>
      <c r="B1912" s="5" t="s">
        <v>588</v>
      </c>
      <c r="C1912" s="5">
        <v>0</v>
      </c>
      <c r="D1912">
        <f t="shared" si="29"/>
        <v>88</v>
      </c>
      <c r="G1912" s="1"/>
    </row>
    <row r="1913" spans="1:7" x14ac:dyDescent="0.25">
      <c r="A1913" s="3" t="s">
        <v>506</v>
      </c>
      <c r="B1913" s="6" t="s">
        <v>589</v>
      </c>
      <c r="C1913" s="6" t="s">
        <v>246</v>
      </c>
      <c r="D1913">
        <f t="shared" si="29"/>
        <v>88</v>
      </c>
      <c r="G1913" s="1"/>
    </row>
    <row r="1914" spans="1:7" x14ac:dyDescent="0.25">
      <c r="A1914" s="4" t="s">
        <v>506</v>
      </c>
      <c r="B1914" s="5" t="s">
        <v>590</v>
      </c>
      <c r="C1914" s="5">
        <v>1</v>
      </c>
      <c r="D1914">
        <f t="shared" si="29"/>
        <v>88</v>
      </c>
      <c r="G1914" s="1"/>
    </row>
    <row r="1915" spans="1:7" x14ac:dyDescent="0.25">
      <c r="A1915" s="3" t="s">
        <v>506</v>
      </c>
      <c r="B1915" s="6" t="s">
        <v>591</v>
      </c>
      <c r="C1915" s="6" t="s">
        <v>246</v>
      </c>
      <c r="D1915">
        <f t="shared" si="29"/>
        <v>88</v>
      </c>
      <c r="G1915" s="1"/>
    </row>
    <row r="1916" spans="1:7" x14ac:dyDescent="0.25">
      <c r="A1916" s="4" t="s">
        <v>506</v>
      </c>
      <c r="B1916" s="5" t="s">
        <v>592</v>
      </c>
      <c r="C1916" s="5">
        <v>0</v>
      </c>
      <c r="D1916">
        <f t="shared" si="29"/>
        <v>88</v>
      </c>
      <c r="G1916" s="1"/>
    </row>
    <row r="1917" spans="1:7" x14ac:dyDescent="0.25">
      <c r="A1917" s="3" t="s">
        <v>506</v>
      </c>
      <c r="B1917" s="6" t="s">
        <v>593</v>
      </c>
      <c r="C1917" s="6">
        <v>0</v>
      </c>
      <c r="D1917">
        <f t="shared" si="29"/>
        <v>88</v>
      </c>
      <c r="G1917" s="1"/>
    </row>
    <row r="1918" spans="1:7" x14ac:dyDescent="0.25">
      <c r="A1918" s="4" t="s">
        <v>507</v>
      </c>
      <c r="B1918" s="5" t="s">
        <v>574</v>
      </c>
      <c r="C1918" s="5">
        <v>0</v>
      </c>
      <c r="D1918">
        <f t="shared" si="29"/>
        <v>89</v>
      </c>
      <c r="G1918" s="1"/>
    </row>
    <row r="1919" spans="1:7" x14ac:dyDescent="0.25">
      <c r="A1919" s="3" t="s">
        <v>507</v>
      </c>
      <c r="B1919" s="6" t="s">
        <v>575</v>
      </c>
      <c r="C1919" s="6">
        <v>0</v>
      </c>
      <c r="D1919">
        <f t="shared" si="29"/>
        <v>89</v>
      </c>
      <c r="G1919" s="1"/>
    </row>
    <row r="1920" spans="1:7" x14ac:dyDescent="0.25">
      <c r="A1920" s="4" t="s">
        <v>507</v>
      </c>
      <c r="B1920" s="5" t="s">
        <v>576</v>
      </c>
      <c r="C1920" s="5">
        <v>0</v>
      </c>
      <c r="D1920">
        <f t="shared" si="29"/>
        <v>89</v>
      </c>
      <c r="G1920" s="1"/>
    </row>
    <row r="1921" spans="1:7" x14ac:dyDescent="0.25">
      <c r="A1921" s="3" t="s">
        <v>507</v>
      </c>
      <c r="B1921" s="6" t="s">
        <v>577</v>
      </c>
      <c r="C1921" s="6">
        <v>0</v>
      </c>
      <c r="D1921">
        <f t="shared" si="29"/>
        <v>89</v>
      </c>
      <c r="G1921" s="1"/>
    </row>
    <row r="1922" spans="1:7" x14ac:dyDescent="0.25">
      <c r="A1922" s="4" t="s">
        <v>507</v>
      </c>
      <c r="B1922" s="5" t="s">
        <v>578</v>
      </c>
      <c r="C1922" s="5">
        <v>0</v>
      </c>
      <c r="D1922">
        <f t="shared" si="29"/>
        <v>89</v>
      </c>
      <c r="G1922" s="1"/>
    </row>
    <row r="1923" spans="1:7" x14ac:dyDescent="0.25">
      <c r="A1923" s="3" t="s">
        <v>507</v>
      </c>
      <c r="B1923" s="6" t="s">
        <v>579</v>
      </c>
      <c r="C1923" s="6">
        <v>0</v>
      </c>
      <c r="D1923">
        <f t="shared" si="29"/>
        <v>89</v>
      </c>
      <c r="G1923" s="1"/>
    </row>
    <row r="1924" spans="1:7" x14ac:dyDescent="0.25">
      <c r="A1924" s="4" t="s">
        <v>507</v>
      </c>
      <c r="B1924" s="5" t="s">
        <v>580</v>
      </c>
      <c r="C1924" s="5">
        <v>0</v>
      </c>
      <c r="D1924">
        <f t="shared" ref="D1924:D1987" si="30">IF(B1924="CCM", D1923+1, D1923)</f>
        <v>89</v>
      </c>
      <c r="G1924" s="1"/>
    </row>
    <row r="1925" spans="1:7" x14ac:dyDescent="0.25">
      <c r="A1925" s="3" t="s">
        <v>507</v>
      </c>
      <c r="B1925" s="6" t="s">
        <v>581</v>
      </c>
      <c r="C1925" s="6">
        <v>0</v>
      </c>
      <c r="D1925">
        <f t="shared" si="30"/>
        <v>89</v>
      </c>
      <c r="G1925" s="1"/>
    </row>
    <row r="1926" spans="1:7" x14ac:dyDescent="0.25">
      <c r="A1926" s="4" t="s">
        <v>507</v>
      </c>
      <c r="B1926" s="5" t="s">
        <v>582</v>
      </c>
      <c r="C1926" s="5">
        <v>1</v>
      </c>
      <c r="D1926">
        <f t="shared" si="30"/>
        <v>89</v>
      </c>
      <c r="G1926" s="1"/>
    </row>
    <row r="1927" spans="1:7" x14ac:dyDescent="0.25">
      <c r="A1927" s="3" t="s">
        <v>507</v>
      </c>
      <c r="B1927" s="6" t="s">
        <v>583</v>
      </c>
      <c r="C1927" s="6">
        <v>1</v>
      </c>
      <c r="D1927">
        <f t="shared" si="30"/>
        <v>89</v>
      </c>
      <c r="G1927" s="1"/>
    </row>
    <row r="1928" spans="1:7" x14ac:dyDescent="0.25">
      <c r="A1928" s="4" t="s">
        <v>507</v>
      </c>
      <c r="B1928" s="5" t="s">
        <v>584</v>
      </c>
      <c r="C1928" s="5">
        <v>0</v>
      </c>
      <c r="D1928">
        <f t="shared" si="30"/>
        <v>89</v>
      </c>
      <c r="G1928" s="1"/>
    </row>
    <row r="1929" spans="1:7" x14ac:dyDescent="0.25">
      <c r="A1929" s="3" t="s">
        <v>507</v>
      </c>
      <c r="B1929" s="6" t="s">
        <v>585</v>
      </c>
      <c r="C1929" s="6">
        <v>0</v>
      </c>
      <c r="D1929">
        <f t="shared" si="30"/>
        <v>89</v>
      </c>
      <c r="G1929" s="1"/>
    </row>
    <row r="1930" spans="1:7" x14ac:dyDescent="0.25">
      <c r="A1930" s="4" t="s">
        <v>507</v>
      </c>
      <c r="B1930" s="5" t="s">
        <v>586</v>
      </c>
      <c r="C1930" s="5">
        <v>0</v>
      </c>
      <c r="D1930">
        <f t="shared" si="30"/>
        <v>89</v>
      </c>
      <c r="G1930" s="1"/>
    </row>
    <row r="1931" spans="1:7" x14ac:dyDescent="0.25">
      <c r="A1931" s="3" t="s">
        <v>507</v>
      </c>
      <c r="B1931" s="6" t="s">
        <v>587</v>
      </c>
      <c r="C1931" s="6">
        <v>0</v>
      </c>
      <c r="D1931">
        <f t="shared" si="30"/>
        <v>89</v>
      </c>
      <c r="G1931" s="1"/>
    </row>
    <row r="1932" spans="1:7" x14ac:dyDescent="0.25">
      <c r="A1932" s="4" t="s">
        <v>507</v>
      </c>
      <c r="B1932" s="5" t="s">
        <v>588</v>
      </c>
      <c r="C1932" s="5">
        <v>0</v>
      </c>
      <c r="D1932">
        <f t="shared" si="30"/>
        <v>89</v>
      </c>
      <c r="G1932" s="1"/>
    </row>
    <row r="1933" spans="1:7" x14ac:dyDescent="0.25">
      <c r="A1933" s="3" t="s">
        <v>507</v>
      </c>
      <c r="B1933" s="6" t="s">
        <v>589</v>
      </c>
      <c r="C1933" s="6" t="s">
        <v>246</v>
      </c>
      <c r="D1933">
        <f t="shared" si="30"/>
        <v>89</v>
      </c>
      <c r="G1933" s="1"/>
    </row>
    <row r="1934" spans="1:7" x14ac:dyDescent="0.25">
      <c r="A1934" s="4" t="s">
        <v>507</v>
      </c>
      <c r="B1934" s="5" t="s">
        <v>590</v>
      </c>
      <c r="C1934" s="5">
        <v>1</v>
      </c>
      <c r="D1934">
        <f t="shared" si="30"/>
        <v>89</v>
      </c>
      <c r="G1934" s="1"/>
    </row>
    <row r="1935" spans="1:7" x14ac:dyDescent="0.25">
      <c r="A1935" s="3" t="s">
        <v>507</v>
      </c>
      <c r="B1935" s="6" t="s">
        <v>591</v>
      </c>
      <c r="C1935" s="6" t="s">
        <v>246</v>
      </c>
      <c r="D1935">
        <f t="shared" si="30"/>
        <v>89</v>
      </c>
      <c r="G1935" s="1"/>
    </row>
    <row r="1936" spans="1:7" x14ac:dyDescent="0.25">
      <c r="A1936" s="4" t="s">
        <v>507</v>
      </c>
      <c r="B1936" s="5" t="s">
        <v>592</v>
      </c>
      <c r="C1936" s="5">
        <v>0</v>
      </c>
      <c r="D1936">
        <f t="shared" si="30"/>
        <v>89</v>
      </c>
      <c r="G1936" s="1"/>
    </row>
    <row r="1937" spans="1:7" x14ac:dyDescent="0.25">
      <c r="A1937" s="3" t="s">
        <v>507</v>
      </c>
      <c r="B1937" s="6" t="s">
        <v>593</v>
      </c>
      <c r="C1937" s="6">
        <v>0</v>
      </c>
      <c r="D1937">
        <f t="shared" si="30"/>
        <v>89</v>
      </c>
      <c r="G1937" s="1"/>
    </row>
    <row r="1938" spans="1:7" x14ac:dyDescent="0.25">
      <c r="A1938" s="4" t="s">
        <v>508</v>
      </c>
      <c r="B1938" s="5" t="s">
        <v>574</v>
      </c>
      <c r="C1938" s="5">
        <v>0</v>
      </c>
      <c r="D1938">
        <f t="shared" si="30"/>
        <v>90</v>
      </c>
      <c r="G1938" s="1"/>
    </row>
    <row r="1939" spans="1:7" x14ac:dyDescent="0.25">
      <c r="A1939" s="3" t="s">
        <v>508</v>
      </c>
      <c r="B1939" s="6" t="s">
        <v>575</v>
      </c>
      <c r="C1939" s="6">
        <v>0</v>
      </c>
      <c r="D1939">
        <f t="shared" si="30"/>
        <v>90</v>
      </c>
      <c r="G1939" s="1"/>
    </row>
    <row r="1940" spans="1:7" x14ac:dyDescent="0.25">
      <c r="A1940" s="4" t="s">
        <v>508</v>
      </c>
      <c r="B1940" s="5" t="s">
        <v>576</v>
      </c>
      <c r="C1940" s="5">
        <v>0</v>
      </c>
      <c r="D1940">
        <f t="shared" si="30"/>
        <v>90</v>
      </c>
      <c r="G1940" s="1"/>
    </row>
    <row r="1941" spans="1:7" x14ac:dyDescent="0.25">
      <c r="A1941" s="3" t="s">
        <v>508</v>
      </c>
      <c r="B1941" s="6" t="s">
        <v>577</v>
      </c>
      <c r="C1941" s="6">
        <v>0</v>
      </c>
      <c r="D1941">
        <f t="shared" si="30"/>
        <v>90</v>
      </c>
      <c r="G1941" s="1"/>
    </row>
    <row r="1942" spans="1:7" x14ac:dyDescent="0.25">
      <c r="A1942" s="4" t="s">
        <v>508</v>
      </c>
      <c r="B1942" s="5" t="s">
        <v>578</v>
      </c>
      <c r="C1942" s="5">
        <v>0</v>
      </c>
      <c r="D1942">
        <f t="shared" si="30"/>
        <v>90</v>
      </c>
      <c r="G1942" s="1"/>
    </row>
    <row r="1943" spans="1:7" x14ac:dyDescent="0.25">
      <c r="A1943" s="3" t="s">
        <v>508</v>
      </c>
      <c r="B1943" s="6" t="s">
        <v>579</v>
      </c>
      <c r="C1943" s="6">
        <v>0</v>
      </c>
      <c r="D1943">
        <f t="shared" si="30"/>
        <v>90</v>
      </c>
      <c r="G1943" s="1"/>
    </row>
    <row r="1944" spans="1:7" x14ac:dyDescent="0.25">
      <c r="A1944" s="4" t="s">
        <v>508</v>
      </c>
      <c r="B1944" s="5" t="s">
        <v>580</v>
      </c>
      <c r="C1944" s="5" t="s">
        <v>627</v>
      </c>
      <c r="D1944">
        <f t="shared" si="30"/>
        <v>90</v>
      </c>
      <c r="G1944" s="1"/>
    </row>
    <row r="1945" spans="1:7" x14ac:dyDescent="0.25">
      <c r="A1945" s="3" t="s">
        <v>508</v>
      </c>
      <c r="B1945" s="6" t="s">
        <v>581</v>
      </c>
      <c r="C1945" s="6" t="s">
        <v>627</v>
      </c>
      <c r="D1945">
        <f t="shared" si="30"/>
        <v>90</v>
      </c>
      <c r="G1945" s="1"/>
    </row>
    <row r="1946" spans="1:7" x14ac:dyDescent="0.25">
      <c r="A1946" s="4" t="s">
        <v>508</v>
      </c>
      <c r="B1946" s="5" t="s">
        <v>582</v>
      </c>
      <c r="C1946" s="5">
        <v>0</v>
      </c>
      <c r="D1946">
        <f t="shared" si="30"/>
        <v>90</v>
      </c>
      <c r="G1946" s="1"/>
    </row>
    <row r="1947" spans="1:7" x14ac:dyDescent="0.25">
      <c r="A1947" s="3" t="s">
        <v>508</v>
      </c>
      <c r="B1947" s="6" t="s">
        <v>583</v>
      </c>
      <c r="C1947" s="6">
        <v>0</v>
      </c>
      <c r="D1947">
        <f t="shared" si="30"/>
        <v>90</v>
      </c>
      <c r="G1947" s="1"/>
    </row>
    <row r="1948" spans="1:7" x14ac:dyDescent="0.25">
      <c r="A1948" s="4" t="s">
        <v>508</v>
      </c>
      <c r="B1948" s="5" t="s">
        <v>584</v>
      </c>
      <c r="C1948" s="5" t="s">
        <v>627</v>
      </c>
      <c r="D1948">
        <f t="shared" si="30"/>
        <v>90</v>
      </c>
      <c r="G1948" s="1"/>
    </row>
    <row r="1949" spans="1:7" x14ac:dyDescent="0.25">
      <c r="A1949" s="3" t="s">
        <v>508</v>
      </c>
      <c r="B1949" s="6" t="s">
        <v>585</v>
      </c>
      <c r="C1949" s="6">
        <v>0</v>
      </c>
      <c r="D1949">
        <f t="shared" si="30"/>
        <v>90</v>
      </c>
      <c r="G1949" s="1"/>
    </row>
    <row r="1950" spans="1:7" x14ac:dyDescent="0.25">
      <c r="A1950" s="4" t="s">
        <v>508</v>
      </c>
      <c r="B1950" s="5" t="s">
        <v>586</v>
      </c>
      <c r="C1950" s="5">
        <v>0</v>
      </c>
      <c r="D1950">
        <f t="shared" si="30"/>
        <v>90</v>
      </c>
      <c r="G1950" s="1"/>
    </row>
    <row r="1951" spans="1:7" x14ac:dyDescent="0.25">
      <c r="A1951" s="3" t="s">
        <v>508</v>
      </c>
      <c r="B1951" s="6" t="s">
        <v>587</v>
      </c>
      <c r="C1951" s="6">
        <v>0</v>
      </c>
      <c r="D1951">
        <f t="shared" si="30"/>
        <v>90</v>
      </c>
      <c r="G1951" s="1"/>
    </row>
    <row r="1952" spans="1:7" x14ac:dyDescent="0.25">
      <c r="A1952" s="4" t="s">
        <v>508</v>
      </c>
      <c r="B1952" s="5" t="s">
        <v>588</v>
      </c>
      <c r="C1952" s="5">
        <v>0</v>
      </c>
      <c r="D1952">
        <f t="shared" si="30"/>
        <v>90</v>
      </c>
      <c r="G1952" s="1"/>
    </row>
    <row r="1953" spans="1:7" x14ac:dyDescent="0.25">
      <c r="A1953" s="3" t="s">
        <v>508</v>
      </c>
      <c r="B1953" s="6" t="s">
        <v>589</v>
      </c>
      <c r="C1953" s="6" t="s">
        <v>246</v>
      </c>
      <c r="D1953">
        <f t="shared" si="30"/>
        <v>90</v>
      </c>
      <c r="G1953" s="1"/>
    </row>
    <row r="1954" spans="1:7" x14ac:dyDescent="0.25">
      <c r="A1954" s="4" t="s">
        <v>508</v>
      </c>
      <c r="B1954" s="5" t="s">
        <v>590</v>
      </c>
      <c r="C1954" s="5">
        <v>1</v>
      </c>
      <c r="D1954">
        <f t="shared" si="30"/>
        <v>90</v>
      </c>
      <c r="G1954" s="1"/>
    </row>
    <row r="1955" spans="1:7" x14ac:dyDescent="0.25">
      <c r="A1955" s="3" t="s">
        <v>508</v>
      </c>
      <c r="B1955" s="6" t="s">
        <v>591</v>
      </c>
      <c r="C1955" s="6" t="s">
        <v>246</v>
      </c>
      <c r="D1955">
        <f t="shared" si="30"/>
        <v>90</v>
      </c>
      <c r="G1955" s="1"/>
    </row>
    <row r="1956" spans="1:7" x14ac:dyDescent="0.25">
      <c r="A1956" s="4" t="s">
        <v>508</v>
      </c>
      <c r="B1956" s="5" t="s">
        <v>592</v>
      </c>
      <c r="C1956" s="5">
        <v>0</v>
      </c>
      <c r="D1956">
        <f t="shared" si="30"/>
        <v>90</v>
      </c>
      <c r="G1956" s="1"/>
    </row>
    <row r="1957" spans="1:7" x14ac:dyDescent="0.25">
      <c r="A1957" s="3" t="s">
        <v>508</v>
      </c>
      <c r="B1957" s="6" t="s">
        <v>593</v>
      </c>
      <c r="C1957" s="6">
        <v>0</v>
      </c>
      <c r="D1957">
        <f t="shared" si="30"/>
        <v>90</v>
      </c>
      <c r="G1957" s="1"/>
    </row>
    <row r="1958" spans="1:7" x14ac:dyDescent="0.25">
      <c r="A1958" s="4" t="s">
        <v>509</v>
      </c>
      <c r="B1958" s="5" t="s">
        <v>574</v>
      </c>
      <c r="C1958" s="5">
        <v>0</v>
      </c>
      <c r="D1958">
        <f t="shared" si="30"/>
        <v>91</v>
      </c>
      <c r="G1958" s="1"/>
    </row>
    <row r="1959" spans="1:7" x14ac:dyDescent="0.25">
      <c r="A1959" s="3" t="s">
        <v>509</v>
      </c>
      <c r="B1959" s="6" t="s">
        <v>575</v>
      </c>
      <c r="C1959" s="6">
        <v>0</v>
      </c>
      <c r="D1959">
        <f t="shared" si="30"/>
        <v>91</v>
      </c>
      <c r="G1959" s="1"/>
    </row>
    <row r="1960" spans="1:7" x14ac:dyDescent="0.25">
      <c r="A1960" s="4" t="s">
        <v>509</v>
      </c>
      <c r="B1960" s="5" t="s">
        <v>576</v>
      </c>
      <c r="C1960" s="5">
        <v>0</v>
      </c>
      <c r="D1960">
        <f t="shared" si="30"/>
        <v>91</v>
      </c>
      <c r="G1960" s="1"/>
    </row>
    <row r="1961" spans="1:7" x14ac:dyDescent="0.25">
      <c r="A1961" s="3" t="s">
        <v>509</v>
      </c>
      <c r="B1961" s="6" t="s">
        <v>577</v>
      </c>
      <c r="C1961" s="6">
        <v>0</v>
      </c>
      <c r="D1961">
        <f t="shared" si="30"/>
        <v>91</v>
      </c>
      <c r="G1961" s="1"/>
    </row>
    <row r="1962" spans="1:7" x14ac:dyDescent="0.25">
      <c r="A1962" s="4" t="s">
        <v>509</v>
      </c>
      <c r="B1962" s="5" t="s">
        <v>578</v>
      </c>
      <c r="C1962" s="5">
        <v>0</v>
      </c>
      <c r="D1962">
        <f t="shared" si="30"/>
        <v>91</v>
      </c>
      <c r="G1962" s="1"/>
    </row>
    <row r="1963" spans="1:7" x14ac:dyDescent="0.25">
      <c r="A1963" s="3" t="s">
        <v>509</v>
      </c>
      <c r="B1963" s="6" t="s">
        <v>579</v>
      </c>
      <c r="C1963" s="6">
        <v>0</v>
      </c>
      <c r="D1963">
        <f t="shared" si="30"/>
        <v>91</v>
      </c>
      <c r="G1963" s="1"/>
    </row>
    <row r="1964" spans="1:7" x14ac:dyDescent="0.25">
      <c r="A1964" s="4" t="s">
        <v>509</v>
      </c>
      <c r="B1964" s="5" t="s">
        <v>580</v>
      </c>
      <c r="C1964" s="5" t="s">
        <v>627</v>
      </c>
      <c r="D1964">
        <f t="shared" si="30"/>
        <v>91</v>
      </c>
      <c r="G1964" s="1"/>
    </row>
    <row r="1965" spans="1:7" x14ac:dyDescent="0.25">
      <c r="A1965" s="3" t="s">
        <v>509</v>
      </c>
      <c r="B1965" s="6" t="s">
        <v>581</v>
      </c>
      <c r="C1965" s="6" t="s">
        <v>627</v>
      </c>
      <c r="D1965">
        <f t="shared" si="30"/>
        <v>91</v>
      </c>
      <c r="G1965" s="1"/>
    </row>
    <row r="1966" spans="1:7" x14ac:dyDescent="0.25">
      <c r="A1966" s="4" t="s">
        <v>509</v>
      </c>
      <c r="B1966" s="5" t="s">
        <v>582</v>
      </c>
      <c r="C1966" s="5">
        <v>0</v>
      </c>
      <c r="D1966">
        <f t="shared" si="30"/>
        <v>91</v>
      </c>
      <c r="G1966" s="1"/>
    </row>
    <row r="1967" spans="1:7" x14ac:dyDescent="0.25">
      <c r="A1967" s="3" t="s">
        <v>509</v>
      </c>
      <c r="B1967" s="6" t="s">
        <v>583</v>
      </c>
      <c r="C1967" s="6">
        <v>0</v>
      </c>
      <c r="D1967">
        <f t="shared" si="30"/>
        <v>91</v>
      </c>
      <c r="G1967" s="1"/>
    </row>
    <row r="1968" spans="1:7" x14ac:dyDescent="0.25">
      <c r="A1968" s="4" t="s">
        <v>509</v>
      </c>
      <c r="B1968" s="5" t="s">
        <v>584</v>
      </c>
      <c r="C1968" s="5" t="s">
        <v>627</v>
      </c>
      <c r="D1968">
        <f t="shared" si="30"/>
        <v>91</v>
      </c>
      <c r="G1968" s="1"/>
    </row>
    <row r="1969" spans="1:7" x14ac:dyDescent="0.25">
      <c r="A1969" s="3" t="s">
        <v>509</v>
      </c>
      <c r="B1969" s="6" t="s">
        <v>585</v>
      </c>
      <c r="C1969" s="6">
        <v>0</v>
      </c>
      <c r="D1969">
        <f t="shared" si="30"/>
        <v>91</v>
      </c>
      <c r="G1969" s="1"/>
    </row>
    <row r="1970" spans="1:7" x14ac:dyDescent="0.25">
      <c r="A1970" s="4" t="s">
        <v>509</v>
      </c>
      <c r="B1970" s="5" t="s">
        <v>586</v>
      </c>
      <c r="C1970" s="5">
        <v>0</v>
      </c>
      <c r="D1970">
        <f t="shared" si="30"/>
        <v>91</v>
      </c>
      <c r="G1970" s="1"/>
    </row>
    <row r="1971" spans="1:7" x14ac:dyDescent="0.25">
      <c r="A1971" s="3" t="s">
        <v>509</v>
      </c>
      <c r="B1971" s="6" t="s">
        <v>587</v>
      </c>
      <c r="C1971" s="6">
        <v>0</v>
      </c>
      <c r="D1971">
        <f t="shared" si="30"/>
        <v>91</v>
      </c>
      <c r="G1971" s="1"/>
    </row>
    <row r="1972" spans="1:7" x14ac:dyDescent="0.25">
      <c r="A1972" s="4" t="s">
        <v>509</v>
      </c>
      <c r="B1972" s="5" t="s">
        <v>588</v>
      </c>
      <c r="C1972" s="5">
        <v>0</v>
      </c>
      <c r="D1972">
        <f t="shared" si="30"/>
        <v>91</v>
      </c>
      <c r="G1972" s="1"/>
    </row>
    <row r="1973" spans="1:7" x14ac:dyDescent="0.25">
      <c r="A1973" s="3" t="s">
        <v>509</v>
      </c>
      <c r="B1973" s="6" t="s">
        <v>589</v>
      </c>
      <c r="C1973" s="6" t="s">
        <v>246</v>
      </c>
      <c r="D1973">
        <f t="shared" si="30"/>
        <v>91</v>
      </c>
      <c r="G1973" s="1"/>
    </row>
    <row r="1974" spans="1:7" x14ac:dyDescent="0.25">
      <c r="A1974" s="4" t="s">
        <v>509</v>
      </c>
      <c r="B1974" s="5" t="s">
        <v>590</v>
      </c>
      <c r="C1974" s="5">
        <v>1</v>
      </c>
      <c r="D1974">
        <f t="shared" si="30"/>
        <v>91</v>
      </c>
      <c r="G1974" s="1"/>
    </row>
    <row r="1975" spans="1:7" x14ac:dyDescent="0.25">
      <c r="A1975" s="3" t="s">
        <v>509</v>
      </c>
      <c r="B1975" s="6" t="s">
        <v>591</v>
      </c>
      <c r="C1975" s="6" t="s">
        <v>246</v>
      </c>
      <c r="D1975">
        <f t="shared" si="30"/>
        <v>91</v>
      </c>
      <c r="G1975" s="1"/>
    </row>
    <row r="1976" spans="1:7" x14ac:dyDescent="0.25">
      <c r="A1976" s="4" t="s">
        <v>509</v>
      </c>
      <c r="B1976" s="5" t="s">
        <v>592</v>
      </c>
      <c r="C1976" s="5">
        <v>0</v>
      </c>
      <c r="D1976">
        <f t="shared" si="30"/>
        <v>91</v>
      </c>
      <c r="G1976" s="1"/>
    </row>
    <row r="1977" spans="1:7" x14ac:dyDescent="0.25">
      <c r="A1977" s="3" t="s">
        <v>509</v>
      </c>
      <c r="B1977" s="6" t="s">
        <v>593</v>
      </c>
      <c r="C1977" s="6">
        <v>0</v>
      </c>
      <c r="D1977">
        <f t="shared" si="30"/>
        <v>91</v>
      </c>
      <c r="G1977" s="1"/>
    </row>
    <row r="1978" spans="1:7" x14ac:dyDescent="0.25">
      <c r="A1978" s="4" t="s">
        <v>510</v>
      </c>
      <c r="B1978" s="5" t="s">
        <v>574</v>
      </c>
      <c r="C1978" s="5">
        <v>0</v>
      </c>
      <c r="D1978">
        <f t="shared" si="30"/>
        <v>92</v>
      </c>
      <c r="G1978" s="1"/>
    </row>
    <row r="1979" spans="1:7" x14ac:dyDescent="0.25">
      <c r="A1979" s="3" t="s">
        <v>510</v>
      </c>
      <c r="B1979" s="6" t="s">
        <v>575</v>
      </c>
      <c r="C1979" s="6">
        <v>0</v>
      </c>
      <c r="D1979">
        <f t="shared" si="30"/>
        <v>92</v>
      </c>
      <c r="G1979" s="1"/>
    </row>
    <row r="1980" spans="1:7" x14ac:dyDescent="0.25">
      <c r="A1980" s="4" t="s">
        <v>510</v>
      </c>
      <c r="B1980" s="5" t="s">
        <v>576</v>
      </c>
      <c r="C1980" s="5">
        <v>0</v>
      </c>
      <c r="D1980">
        <f t="shared" si="30"/>
        <v>92</v>
      </c>
      <c r="G1980" s="1"/>
    </row>
    <row r="1981" spans="1:7" x14ac:dyDescent="0.25">
      <c r="A1981" s="3" t="s">
        <v>510</v>
      </c>
      <c r="B1981" s="6" t="s">
        <v>577</v>
      </c>
      <c r="C1981" s="6">
        <v>0</v>
      </c>
      <c r="D1981">
        <f t="shared" si="30"/>
        <v>92</v>
      </c>
      <c r="G1981" s="1"/>
    </row>
    <row r="1982" spans="1:7" x14ac:dyDescent="0.25">
      <c r="A1982" s="4" t="s">
        <v>510</v>
      </c>
      <c r="B1982" s="5" t="s">
        <v>578</v>
      </c>
      <c r="C1982" s="5">
        <v>0</v>
      </c>
      <c r="D1982">
        <f t="shared" si="30"/>
        <v>92</v>
      </c>
      <c r="G1982" s="1"/>
    </row>
    <row r="1983" spans="1:7" x14ac:dyDescent="0.25">
      <c r="A1983" s="3" t="s">
        <v>510</v>
      </c>
      <c r="B1983" s="6" t="s">
        <v>579</v>
      </c>
      <c r="C1983" s="6">
        <v>0</v>
      </c>
      <c r="D1983">
        <f t="shared" si="30"/>
        <v>92</v>
      </c>
      <c r="G1983" s="1"/>
    </row>
    <row r="1984" spans="1:7" x14ac:dyDescent="0.25">
      <c r="A1984" s="4" t="s">
        <v>510</v>
      </c>
      <c r="B1984" s="5" t="s">
        <v>580</v>
      </c>
      <c r="C1984" s="5">
        <v>0</v>
      </c>
      <c r="D1984">
        <f t="shared" si="30"/>
        <v>92</v>
      </c>
      <c r="G1984" s="1"/>
    </row>
    <row r="1985" spans="1:7" x14ac:dyDescent="0.25">
      <c r="A1985" s="3" t="s">
        <v>510</v>
      </c>
      <c r="B1985" s="6" t="s">
        <v>581</v>
      </c>
      <c r="C1985" s="6">
        <v>0</v>
      </c>
      <c r="D1985">
        <f t="shared" si="30"/>
        <v>92</v>
      </c>
      <c r="G1985" s="1"/>
    </row>
    <row r="1986" spans="1:7" x14ac:dyDescent="0.25">
      <c r="A1986" s="4" t="s">
        <v>510</v>
      </c>
      <c r="B1986" s="5" t="s">
        <v>582</v>
      </c>
      <c r="C1986" s="5">
        <v>1</v>
      </c>
      <c r="D1986">
        <f t="shared" si="30"/>
        <v>92</v>
      </c>
      <c r="G1986" s="1"/>
    </row>
    <row r="1987" spans="1:7" x14ac:dyDescent="0.25">
      <c r="A1987" s="3" t="s">
        <v>510</v>
      </c>
      <c r="B1987" s="6" t="s">
        <v>583</v>
      </c>
      <c r="C1987" s="6">
        <v>1</v>
      </c>
      <c r="D1987">
        <f t="shared" si="30"/>
        <v>92</v>
      </c>
      <c r="G1987" s="1"/>
    </row>
    <row r="1988" spans="1:7" x14ac:dyDescent="0.25">
      <c r="A1988" s="4" t="s">
        <v>510</v>
      </c>
      <c r="B1988" s="5" t="s">
        <v>584</v>
      </c>
      <c r="C1988" s="5">
        <v>0</v>
      </c>
      <c r="D1988">
        <f t="shared" ref="D1988:D2051" si="31">IF(B1988="CCM", D1987+1, D1987)</f>
        <v>92</v>
      </c>
      <c r="G1988" s="1"/>
    </row>
    <row r="1989" spans="1:7" x14ac:dyDescent="0.25">
      <c r="A1989" s="3" t="s">
        <v>510</v>
      </c>
      <c r="B1989" s="6" t="s">
        <v>585</v>
      </c>
      <c r="C1989" s="6">
        <v>0</v>
      </c>
      <c r="D1989">
        <f t="shared" si="31"/>
        <v>92</v>
      </c>
      <c r="G1989" s="1"/>
    </row>
    <row r="1990" spans="1:7" x14ac:dyDescent="0.25">
      <c r="A1990" s="4" t="s">
        <v>510</v>
      </c>
      <c r="B1990" s="5" t="s">
        <v>586</v>
      </c>
      <c r="C1990" s="5">
        <v>0</v>
      </c>
      <c r="D1990">
        <f t="shared" si="31"/>
        <v>92</v>
      </c>
      <c r="G1990" s="1"/>
    </row>
    <row r="1991" spans="1:7" x14ac:dyDescent="0.25">
      <c r="A1991" s="3" t="s">
        <v>510</v>
      </c>
      <c r="B1991" s="6" t="s">
        <v>587</v>
      </c>
      <c r="C1991" s="6">
        <v>0</v>
      </c>
      <c r="D1991">
        <f t="shared" si="31"/>
        <v>92</v>
      </c>
      <c r="G1991" s="1"/>
    </row>
    <row r="1992" spans="1:7" x14ac:dyDescent="0.25">
      <c r="A1992" s="4" t="s">
        <v>510</v>
      </c>
      <c r="B1992" s="5" t="s">
        <v>588</v>
      </c>
      <c r="C1992" s="5">
        <v>0</v>
      </c>
      <c r="D1992">
        <f t="shared" si="31"/>
        <v>92</v>
      </c>
      <c r="G1992" s="1"/>
    </row>
    <row r="1993" spans="1:7" x14ac:dyDescent="0.25">
      <c r="A1993" s="3" t="s">
        <v>510</v>
      </c>
      <c r="B1993" s="6" t="s">
        <v>589</v>
      </c>
      <c r="C1993" s="6" t="s">
        <v>246</v>
      </c>
      <c r="D1993">
        <f t="shared" si="31"/>
        <v>92</v>
      </c>
      <c r="G1993" s="1"/>
    </row>
    <row r="1994" spans="1:7" x14ac:dyDescent="0.25">
      <c r="A1994" s="4" t="s">
        <v>510</v>
      </c>
      <c r="B1994" s="5" t="s">
        <v>590</v>
      </c>
      <c r="C1994" s="5">
        <v>1</v>
      </c>
      <c r="D1994">
        <f t="shared" si="31"/>
        <v>92</v>
      </c>
      <c r="G1994" s="1"/>
    </row>
    <row r="1995" spans="1:7" x14ac:dyDescent="0.25">
      <c r="A1995" s="3" t="s">
        <v>510</v>
      </c>
      <c r="B1995" s="6" t="s">
        <v>591</v>
      </c>
      <c r="C1995" s="6" t="s">
        <v>246</v>
      </c>
      <c r="D1995">
        <f t="shared" si="31"/>
        <v>92</v>
      </c>
      <c r="G1995" s="1"/>
    </row>
    <row r="1996" spans="1:7" x14ac:dyDescent="0.25">
      <c r="A1996" s="4" t="s">
        <v>510</v>
      </c>
      <c r="B1996" s="5" t="s">
        <v>592</v>
      </c>
      <c r="C1996" s="5">
        <v>0</v>
      </c>
      <c r="D1996">
        <f t="shared" si="31"/>
        <v>92</v>
      </c>
      <c r="G1996" s="1"/>
    </row>
    <row r="1997" spans="1:7" x14ac:dyDescent="0.25">
      <c r="A1997" s="3" t="s">
        <v>510</v>
      </c>
      <c r="B1997" s="6" t="s">
        <v>593</v>
      </c>
      <c r="C1997" s="6">
        <v>0</v>
      </c>
      <c r="D1997">
        <f t="shared" si="31"/>
        <v>92</v>
      </c>
      <c r="G1997" s="1"/>
    </row>
    <row r="1998" spans="1:7" x14ac:dyDescent="0.25">
      <c r="A1998" s="4" t="s">
        <v>511</v>
      </c>
      <c r="B1998" s="5" t="s">
        <v>574</v>
      </c>
      <c r="C1998" s="5">
        <v>0</v>
      </c>
      <c r="D1998">
        <f t="shared" si="31"/>
        <v>93</v>
      </c>
      <c r="G1998" s="1"/>
    </row>
    <row r="1999" spans="1:7" x14ac:dyDescent="0.25">
      <c r="A1999" s="3" t="s">
        <v>511</v>
      </c>
      <c r="B1999" s="6" t="s">
        <v>575</v>
      </c>
      <c r="C1999" s="6">
        <v>0</v>
      </c>
      <c r="D1999">
        <f t="shared" si="31"/>
        <v>93</v>
      </c>
      <c r="G1999" s="1"/>
    </row>
    <row r="2000" spans="1:7" x14ac:dyDescent="0.25">
      <c r="A2000" s="4" t="s">
        <v>511</v>
      </c>
      <c r="B2000" s="5" t="s">
        <v>576</v>
      </c>
      <c r="C2000" s="5">
        <v>0</v>
      </c>
      <c r="D2000">
        <f t="shared" si="31"/>
        <v>93</v>
      </c>
      <c r="G2000" s="1"/>
    </row>
    <row r="2001" spans="1:7" x14ac:dyDescent="0.25">
      <c r="A2001" s="3" t="s">
        <v>511</v>
      </c>
      <c r="B2001" s="6" t="s">
        <v>577</v>
      </c>
      <c r="C2001" s="6">
        <v>0</v>
      </c>
      <c r="D2001">
        <f t="shared" si="31"/>
        <v>93</v>
      </c>
      <c r="G2001" s="1"/>
    </row>
    <row r="2002" spans="1:7" x14ac:dyDescent="0.25">
      <c r="A2002" s="4" t="s">
        <v>511</v>
      </c>
      <c r="B2002" s="5" t="s">
        <v>578</v>
      </c>
      <c r="C2002" s="5">
        <v>0</v>
      </c>
      <c r="D2002">
        <f t="shared" si="31"/>
        <v>93</v>
      </c>
      <c r="G2002" s="1"/>
    </row>
    <row r="2003" spans="1:7" x14ac:dyDescent="0.25">
      <c r="A2003" s="3" t="s">
        <v>511</v>
      </c>
      <c r="B2003" s="6" t="s">
        <v>579</v>
      </c>
      <c r="C2003" s="6">
        <v>0</v>
      </c>
      <c r="D2003">
        <f t="shared" si="31"/>
        <v>93</v>
      </c>
      <c r="G2003" s="1"/>
    </row>
    <row r="2004" spans="1:7" x14ac:dyDescent="0.25">
      <c r="A2004" s="4" t="s">
        <v>511</v>
      </c>
      <c r="B2004" s="5" t="s">
        <v>580</v>
      </c>
      <c r="C2004" s="5" t="s">
        <v>627</v>
      </c>
      <c r="D2004">
        <f t="shared" si="31"/>
        <v>93</v>
      </c>
      <c r="G2004" s="1"/>
    </row>
    <row r="2005" spans="1:7" x14ac:dyDescent="0.25">
      <c r="A2005" s="3" t="s">
        <v>511</v>
      </c>
      <c r="B2005" s="6" t="s">
        <v>581</v>
      </c>
      <c r="C2005" s="6" t="s">
        <v>627</v>
      </c>
      <c r="D2005">
        <f t="shared" si="31"/>
        <v>93</v>
      </c>
      <c r="G2005" s="1"/>
    </row>
    <row r="2006" spans="1:7" x14ac:dyDescent="0.25">
      <c r="A2006" s="4" t="s">
        <v>511</v>
      </c>
      <c r="B2006" s="5" t="s">
        <v>582</v>
      </c>
      <c r="C2006" s="5">
        <v>0</v>
      </c>
      <c r="D2006">
        <f t="shared" si="31"/>
        <v>93</v>
      </c>
      <c r="G2006" s="1"/>
    </row>
    <row r="2007" spans="1:7" x14ac:dyDescent="0.25">
      <c r="A2007" s="3" t="s">
        <v>511</v>
      </c>
      <c r="B2007" s="6" t="s">
        <v>583</v>
      </c>
      <c r="C2007" s="6">
        <v>0</v>
      </c>
      <c r="D2007">
        <f t="shared" si="31"/>
        <v>93</v>
      </c>
      <c r="G2007" s="1"/>
    </row>
    <row r="2008" spans="1:7" x14ac:dyDescent="0.25">
      <c r="A2008" s="4" t="s">
        <v>511</v>
      </c>
      <c r="B2008" s="5" t="s">
        <v>584</v>
      </c>
      <c r="C2008" s="5" t="s">
        <v>627</v>
      </c>
      <c r="D2008">
        <f t="shared" si="31"/>
        <v>93</v>
      </c>
      <c r="G2008" s="1"/>
    </row>
    <row r="2009" spans="1:7" x14ac:dyDescent="0.25">
      <c r="A2009" s="3" t="s">
        <v>511</v>
      </c>
      <c r="B2009" s="6" t="s">
        <v>585</v>
      </c>
      <c r="C2009" s="6">
        <v>0</v>
      </c>
      <c r="D2009">
        <f t="shared" si="31"/>
        <v>93</v>
      </c>
      <c r="G2009" s="1"/>
    </row>
    <row r="2010" spans="1:7" x14ac:dyDescent="0.25">
      <c r="A2010" s="4" t="s">
        <v>511</v>
      </c>
      <c r="B2010" s="5" t="s">
        <v>586</v>
      </c>
      <c r="C2010" s="5">
        <v>0</v>
      </c>
      <c r="D2010">
        <f t="shared" si="31"/>
        <v>93</v>
      </c>
      <c r="G2010" s="1"/>
    </row>
    <row r="2011" spans="1:7" x14ac:dyDescent="0.25">
      <c r="A2011" s="3" t="s">
        <v>511</v>
      </c>
      <c r="B2011" s="6" t="s">
        <v>587</v>
      </c>
      <c r="C2011" s="6">
        <v>0</v>
      </c>
      <c r="D2011">
        <f t="shared" si="31"/>
        <v>93</v>
      </c>
      <c r="G2011" s="1"/>
    </row>
    <row r="2012" spans="1:7" x14ac:dyDescent="0.25">
      <c r="A2012" s="4" t="s">
        <v>511</v>
      </c>
      <c r="B2012" s="5" t="s">
        <v>588</v>
      </c>
      <c r="C2012" s="5">
        <v>0</v>
      </c>
      <c r="D2012">
        <f t="shared" si="31"/>
        <v>93</v>
      </c>
      <c r="G2012" s="1"/>
    </row>
    <row r="2013" spans="1:7" x14ac:dyDescent="0.25">
      <c r="A2013" s="3" t="s">
        <v>511</v>
      </c>
      <c r="B2013" s="6" t="s">
        <v>589</v>
      </c>
      <c r="C2013" s="6" t="s">
        <v>246</v>
      </c>
      <c r="D2013">
        <f t="shared" si="31"/>
        <v>93</v>
      </c>
      <c r="G2013" s="1"/>
    </row>
    <row r="2014" spans="1:7" x14ac:dyDescent="0.25">
      <c r="A2014" s="4" t="s">
        <v>511</v>
      </c>
      <c r="B2014" s="5" t="s">
        <v>590</v>
      </c>
      <c r="C2014" s="5">
        <v>1</v>
      </c>
      <c r="D2014">
        <f t="shared" si="31"/>
        <v>93</v>
      </c>
      <c r="G2014" s="1"/>
    </row>
    <row r="2015" spans="1:7" x14ac:dyDescent="0.25">
      <c r="A2015" s="3" t="s">
        <v>511</v>
      </c>
      <c r="B2015" s="6" t="s">
        <v>591</v>
      </c>
      <c r="C2015" s="6" t="s">
        <v>246</v>
      </c>
      <c r="D2015">
        <f t="shared" si="31"/>
        <v>93</v>
      </c>
      <c r="G2015" s="1"/>
    </row>
    <row r="2016" spans="1:7" x14ac:dyDescent="0.25">
      <c r="A2016" s="4" t="s">
        <v>511</v>
      </c>
      <c r="B2016" s="5" t="s">
        <v>592</v>
      </c>
      <c r="C2016" s="5">
        <v>0</v>
      </c>
      <c r="D2016">
        <f t="shared" si="31"/>
        <v>93</v>
      </c>
      <c r="G2016" s="1"/>
    </row>
    <row r="2017" spans="1:7" x14ac:dyDescent="0.25">
      <c r="A2017" s="3" t="s">
        <v>511</v>
      </c>
      <c r="B2017" s="6" t="s">
        <v>593</v>
      </c>
      <c r="C2017" s="6">
        <v>0</v>
      </c>
      <c r="D2017">
        <f t="shared" si="31"/>
        <v>93</v>
      </c>
      <c r="G2017" s="1"/>
    </row>
    <row r="2018" spans="1:7" x14ac:dyDescent="0.25">
      <c r="A2018" s="4" t="s">
        <v>512</v>
      </c>
      <c r="B2018" s="5" t="s">
        <v>574</v>
      </c>
      <c r="C2018" s="5">
        <v>0</v>
      </c>
      <c r="D2018">
        <f t="shared" si="31"/>
        <v>94</v>
      </c>
      <c r="G2018" s="1"/>
    </row>
    <row r="2019" spans="1:7" x14ac:dyDescent="0.25">
      <c r="A2019" s="3" t="s">
        <v>512</v>
      </c>
      <c r="B2019" s="6" t="s">
        <v>575</v>
      </c>
      <c r="C2019" s="6">
        <v>0</v>
      </c>
      <c r="D2019">
        <f t="shared" si="31"/>
        <v>94</v>
      </c>
      <c r="G2019" s="1"/>
    </row>
    <row r="2020" spans="1:7" x14ac:dyDescent="0.25">
      <c r="A2020" s="4" t="s">
        <v>512</v>
      </c>
      <c r="B2020" s="5" t="s">
        <v>576</v>
      </c>
      <c r="C2020" s="5">
        <v>0</v>
      </c>
      <c r="D2020">
        <f t="shared" si="31"/>
        <v>94</v>
      </c>
      <c r="G2020" s="1"/>
    </row>
    <row r="2021" spans="1:7" x14ac:dyDescent="0.25">
      <c r="A2021" s="3" t="s">
        <v>512</v>
      </c>
      <c r="B2021" s="6" t="s">
        <v>577</v>
      </c>
      <c r="C2021" s="6">
        <v>0</v>
      </c>
      <c r="D2021">
        <f t="shared" si="31"/>
        <v>94</v>
      </c>
      <c r="G2021" s="1"/>
    </row>
    <row r="2022" spans="1:7" x14ac:dyDescent="0.25">
      <c r="A2022" s="4" t="s">
        <v>512</v>
      </c>
      <c r="B2022" s="5" t="s">
        <v>578</v>
      </c>
      <c r="C2022" s="5">
        <v>0</v>
      </c>
      <c r="D2022">
        <f t="shared" si="31"/>
        <v>94</v>
      </c>
      <c r="G2022" s="1"/>
    </row>
    <row r="2023" spans="1:7" x14ac:dyDescent="0.25">
      <c r="A2023" s="3" t="s">
        <v>512</v>
      </c>
      <c r="B2023" s="6" t="s">
        <v>579</v>
      </c>
      <c r="C2023" s="6">
        <v>0</v>
      </c>
      <c r="D2023">
        <f t="shared" si="31"/>
        <v>94</v>
      </c>
      <c r="G2023" s="1"/>
    </row>
    <row r="2024" spans="1:7" x14ac:dyDescent="0.25">
      <c r="A2024" s="4" t="s">
        <v>512</v>
      </c>
      <c r="B2024" s="5" t="s">
        <v>580</v>
      </c>
      <c r="C2024" s="5">
        <v>0</v>
      </c>
      <c r="D2024">
        <f t="shared" si="31"/>
        <v>94</v>
      </c>
      <c r="G2024" s="1"/>
    </row>
    <row r="2025" spans="1:7" x14ac:dyDescent="0.25">
      <c r="A2025" s="3" t="s">
        <v>512</v>
      </c>
      <c r="B2025" s="6" t="s">
        <v>581</v>
      </c>
      <c r="C2025" s="6">
        <v>0</v>
      </c>
      <c r="D2025">
        <f t="shared" si="31"/>
        <v>94</v>
      </c>
      <c r="G2025" s="1"/>
    </row>
    <row r="2026" spans="1:7" x14ac:dyDescent="0.25">
      <c r="A2026" s="4" t="s">
        <v>512</v>
      </c>
      <c r="B2026" s="5" t="s">
        <v>582</v>
      </c>
      <c r="C2026" s="5">
        <v>1</v>
      </c>
      <c r="D2026">
        <f t="shared" si="31"/>
        <v>94</v>
      </c>
      <c r="G2026" s="1"/>
    </row>
    <row r="2027" spans="1:7" x14ac:dyDescent="0.25">
      <c r="A2027" s="3" t="s">
        <v>512</v>
      </c>
      <c r="B2027" s="6" t="s">
        <v>583</v>
      </c>
      <c r="C2027" s="6">
        <v>1</v>
      </c>
      <c r="D2027">
        <f t="shared" si="31"/>
        <v>94</v>
      </c>
      <c r="G2027" s="1"/>
    </row>
    <row r="2028" spans="1:7" x14ac:dyDescent="0.25">
      <c r="A2028" s="4" t="s">
        <v>512</v>
      </c>
      <c r="B2028" s="5" t="s">
        <v>584</v>
      </c>
      <c r="C2028" s="5">
        <v>0</v>
      </c>
      <c r="D2028">
        <f t="shared" si="31"/>
        <v>94</v>
      </c>
      <c r="G2028" s="1"/>
    </row>
    <row r="2029" spans="1:7" x14ac:dyDescent="0.25">
      <c r="A2029" s="3" t="s">
        <v>512</v>
      </c>
      <c r="B2029" s="6" t="s">
        <v>585</v>
      </c>
      <c r="C2029" s="6">
        <v>0</v>
      </c>
      <c r="D2029">
        <f t="shared" si="31"/>
        <v>94</v>
      </c>
      <c r="G2029" s="1"/>
    </row>
    <row r="2030" spans="1:7" x14ac:dyDescent="0.25">
      <c r="A2030" s="4" t="s">
        <v>512</v>
      </c>
      <c r="B2030" s="5" t="s">
        <v>586</v>
      </c>
      <c r="C2030" s="5">
        <v>0</v>
      </c>
      <c r="D2030">
        <f t="shared" si="31"/>
        <v>94</v>
      </c>
      <c r="G2030" s="1"/>
    </row>
    <row r="2031" spans="1:7" x14ac:dyDescent="0.25">
      <c r="A2031" s="3" t="s">
        <v>512</v>
      </c>
      <c r="B2031" s="6" t="s">
        <v>587</v>
      </c>
      <c r="C2031" s="6">
        <v>0</v>
      </c>
      <c r="D2031">
        <f t="shared" si="31"/>
        <v>94</v>
      </c>
      <c r="G2031" s="1"/>
    </row>
    <row r="2032" spans="1:7" x14ac:dyDescent="0.25">
      <c r="A2032" s="4" t="s">
        <v>512</v>
      </c>
      <c r="B2032" s="5" t="s">
        <v>588</v>
      </c>
      <c r="C2032" s="5">
        <v>0</v>
      </c>
      <c r="D2032">
        <f t="shared" si="31"/>
        <v>94</v>
      </c>
      <c r="G2032" s="1"/>
    </row>
    <row r="2033" spans="1:7" x14ac:dyDescent="0.25">
      <c r="A2033" s="3" t="s">
        <v>512</v>
      </c>
      <c r="B2033" s="6" t="s">
        <v>589</v>
      </c>
      <c r="C2033" s="6" t="s">
        <v>246</v>
      </c>
      <c r="D2033">
        <f t="shared" si="31"/>
        <v>94</v>
      </c>
      <c r="G2033" s="1"/>
    </row>
    <row r="2034" spans="1:7" x14ac:dyDescent="0.25">
      <c r="A2034" s="4" t="s">
        <v>512</v>
      </c>
      <c r="B2034" s="5" t="s">
        <v>590</v>
      </c>
      <c r="C2034" s="5">
        <v>1</v>
      </c>
      <c r="D2034">
        <f t="shared" si="31"/>
        <v>94</v>
      </c>
      <c r="G2034" s="1"/>
    </row>
    <row r="2035" spans="1:7" x14ac:dyDescent="0.25">
      <c r="A2035" s="3" t="s">
        <v>512</v>
      </c>
      <c r="B2035" s="6" t="s">
        <v>591</v>
      </c>
      <c r="C2035" s="6" t="s">
        <v>246</v>
      </c>
      <c r="D2035">
        <f t="shared" si="31"/>
        <v>94</v>
      </c>
      <c r="G2035" s="1"/>
    </row>
    <row r="2036" spans="1:7" x14ac:dyDescent="0.25">
      <c r="A2036" s="4" t="s">
        <v>512</v>
      </c>
      <c r="B2036" s="5" t="s">
        <v>592</v>
      </c>
      <c r="C2036" s="5">
        <v>0</v>
      </c>
      <c r="D2036">
        <f t="shared" si="31"/>
        <v>94</v>
      </c>
      <c r="G2036" s="1"/>
    </row>
    <row r="2037" spans="1:7" x14ac:dyDescent="0.25">
      <c r="A2037" s="3" t="s">
        <v>512</v>
      </c>
      <c r="B2037" s="6" t="s">
        <v>593</v>
      </c>
      <c r="C2037" s="6">
        <v>0</v>
      </c>
      <c r="D2037">
        <f t="shared" si="31"/>
        <v>94</v>
      </c>
      <c r="G2037" s="1"/>
    </row>
    <row r="2038" spans="1:7" x14ac:dyDescent="0.25">
      <c r="A2038" s="4" t="s">
        <v>513</v>
      </c>
      <c r="B2038" s="5" t="s">
        <v>574</v>
      </c>
      <c r="C2038" s="5">
        <v>0</v>
      </c>
      <c r="D2038">
        <f t="shared" si="31"/>
        <v>95</v>
      </c>
      <c r="G2038" s="1"/>
    </row>
    <row r="2039" spans="1:7" x14ac:dyDescent="0.25">
      <c r="A2039" s="3" t="s">
        <v>513</v>
      </c>
      <c r="B2039" s="6" t="s">
        <v>575</v>
      </c>
      <c r="C2039" s="6">
        <v>0</v>
      </c>
      <c r="D2039">
        <f t="shared" si="31"/>
        <v>95</v>
      </c>
      <c r="G2039" s="1"/>
    </row>
    <row r="2040" spans="1:7" x14ac:dyDescent="0.25">
      <c r="A2040" s="4" t="s">
        <v>513</v>
      </c>
      <c r="B2040" s="5" t="s">
        <v>576</v>
      </c>
      <c r="C2040" s="5">
        <v>0</v>
      </c>
      <c r="D2040">
        <f t="shared" si="31"/>
        <v>95</v>
      </c>
      <c r="G2040" s="1"/>
    </row>
    <row r="2041" spans="1:7" x14ac:dyDescent="0.25">
      <c r="A2041" s="3" t="s">
        <v>513</v>
      </c>
      <c r="B2041" s="6" t="s">
        <v>577</v>
      </c>
      <c r="C2041" s="6">
        <v>0</v>
      </c>
      <c r="D2041">
        <f t="shared" si="31"/>
        <v>95</v>
      </c>
      <c r="G2041" s="1"/>
    </row>
    <row r="2042" spans="1:7" x14ac:dyDescent="0.25">
      <c r="A2042" s="4" t="s">
        <v>513</v>
      </c>
      <c r="B2042" s="5" t="s">
        <v>578</v>
      </c>
      <c r="C2042" s="5">
        <v>0</v>
      </c>
      <c r="D2042">
        <f t="shared" si="31"/>
        <v>95</v>
      </c>
      <c r="G2042" s="1"/>
    </row>
    <row r="2043" spans="1:7" x14ac:dyDescent="0.25">
      <c r="A2043" s="3" t="s">
        <v>513</v>
      </c>
      <c r="B2043" s="6" t="s">
        <v>579</v>
      </c>
      <c r="C2043" s="6">
        <v>0</v>
      </c>
      <c r="D2043">
        <f t="shared" si="31"/>
        <v>95</v>
      </c>
      <c r="G2043" s="1"/>
    </row>
    <row r="2044" spans="1:7" x14ac:dyDescent="0.25">
      <c r="A2044" s="4" t="s">
        <v>513</v>
      </c>
      <c r="B2044" s="5" t="s">
        <v>580</v>
      </c>
      <c r="C2044" s="5" t="s">
        <v>627</v>
      </c>
      <c r="D2044">
        <f t="shared" si="31"/>
        <v>95</v>
      </c>
      <c r="G2044" s="1"/>
    </row>
    <row r="2045" spans="1:7" x14ac:dyDescent="0.25">
      <c r="A2045" s="3" t="s">
        <v>513</v>
      </c>
      <c r="B2045" s="6" t="s">
        <v>581</v>
      </c>
      <c r="C2045" s="6" t="s">
        <v>627</v>
      </c>
      <c r="D2045">
        <f t="shared" si="31"/>
        <v>95</v>
      </c>
      <c r="G2045" s="1"/>
    </row>
    <row r="2046" spans="1:7" x14ac:dyDescent="0.25">
      <c r="A2046" s="4" t="s">
        <v>513</v>
      </c>
      <c r="B2046" s="5" t="s">
        <v>582</v>
      </c>
      <c r="C2046" s="5">
        <v>0</v>
      </c>
      <c r="D2046">
        <f t="shared" si="31"/>
        <v>95</v>
      </c>
      <c r="G2046" s="1"/>
    </row>
    <row r="2047" spans="1:7" x14ac:dyDescent="0.25">
      <c r="A2047" s="3" t="s">
        <v>513</v>
      </c>
      <c r="B2047" s="6" t="s">
        <v>583</v>
      </c>
      <c r="C2047" s="6">
        <v>0</v>
      </c>
      <c r="D2047">
        <f t="shared" si="31"/>
        <v>95</v>
      </c>
      <c r="G2047" s="1"/>
    </row>
    <row r="2048" spans="1:7" x14ac:dyDescent="0.25">
      <c r="A2048" s="4" t="s">
        <v>513</v>
      </c>
      <c r="B2048" s="5" t="s">
        <v>584</v>
      </c>
      <c r="C2048" s="5" t="s">
        <v>627</v>
      </c>
      <c r="D2048">
        <f t="shared" si="31"/>
        <v>95</v>
      </c>
      <c r="G2048" s="1"/>
    </row>
    <row r="2049" spans="1:7" x14ac:dyDescent="0.25">
      <c r="A2049" s="3" t="s">
        <v>513</v>
      </c>
      <c r="B2049" s="6" t="s">
        <v>585</v>
      </c>
      <c r="C2049" s="6">
        <v>0</v>
      </c>
      <c r="D2049">
        <f t="shared" si="31"/>
        <v>95</v>
      </c>
      <c r="G2049" s="1"/>
    </row>
    <row r="2050" spans="1:7" x14ac:dyDescent="0.25">
      <c r="A2050" s="4" t="s">
        <v>513</v>
      </c>
      <c r="B2050" s="5" t="s">
        <v>586</v>
      </c>
      <c r="C2050" s="5">
        <v>0</v>
      </c>
      <c r="D2050">
        <f t="shared" si="31"/>
        <v>95</v>
      </c>
      <c r="G2050" s="1"/>
    </row>
    <row r="2051" spans="1:7" x14ac:dyDescent="0.25">
      <c r="A2051" s="3" t="s">
        <v>513</v>
      </c>
      <c r="B2051" s="6" t="s">
        <v>587</v>
      </c>
      <c r="C2051" s="6">
        <v>0</v>
      </c>
      <c r="D2051">
        <f t="shared" si="31"/>
        <v>95</v>
      </c>
      <c r="G2051" s="1"/>
    </row>
    <row r="2052" spans="1:7" x14ac:dyDescent="0.25">
      <c r="A2052" s="4" t="s">
        <v>513</v>
      </c>
      <c r="B2052" s="5" t="s">
        <v>588</v>
      </c>
      <c r="C2052" s="5">
        <v>0</v>
      </c>
      <c r="D2052">
        <f t="shared" ref="D2052:D2115" si="32">IF(B2052="CCM", D2051+1, D2051)</f>
        <v>95</v>
      </c>
      <c r="G2052" s="1"/>
    </row>
    <row r="2053" spans="1:7" x14ac:dyDescent="0.25">
      <c r="A2053" s="3" t="s">
        <v>513</v>
      </c>
      <c r="B2053" s="6" t="s">
        <v>589</v>
      </c>
      <c r="C2053" s="6" t="s">
        <v>246</v>
      </c>
      <c r="D2053">
        <f t="shared" si="32"/>
        <v>95</v>
      </c>
      <c r="G2053" s="1"/>
    </row>
    <row r="2054" spans="1:7" x14ac:dyDescent="0.25">
      <c r="A2054" s="4" t="s">
        <v>513</v>
      </c>
      <c r="B2054" s="5" t="s">
        <v>590</v>
      </c>
      <c r="C2054" s="5">
        <v>1</v>
      </c>
      <c r="D2054">
        <f t="shared" si="32"/>
        <v>95</v>
      </c>
      <c r="G2054" s="1"/>
    </row>
    <row r="2055" spans="1:7" x14ac:dyDescent="0.25">
      <c r="A2055" s="3" t="s">
        <v>513</v>
      </c>
      <c r="B2055" s="6" t="s">
        <v>591</v>
      </c>
      <c r="C2055" s="6" t="s">
        <v>246</v>
      </c>
      <c r="D2055">
        <f t="shared" si="32"/>
        <v>95</v>
      </c>
      <c r="G2055" s="1"/>
    </row>
    <row r="2056" spans="1:7" x14ac:dyDescent="0.25">
      <c r="A2056" s="4" t="s">
        <v>513</v>
      </c>
      <c r="B2056" s="5" t="s">
        <v>592</v>
      </c>
      <c r="C2056" s="5">
        <v>0</v>
      </c>
      <c r="D2056">
        <f t="shared" si="32"/>
        <v>95</v>
      </c>
      <c r="G2056" s="1"/>
    </row>
    <row r="2057" spans="1:7" x14ac:dyDescent="0.25">
      <c r="A2057" s="3" t="s">
        <v>513</v>
      </c>
      <c r="B2057" s="6" t="s">
        <v>593</v>
      </c>
      <c r="C2057" s="6">
        <v>0</v>
      </c>
      <c r="D2057">
        <f t="shared" si="32"/>
        <v>95</v>
      </c>
      <c r="G2057" s="1"/>
    </row>
    <row r="2058" spans="1:7" x14ac:dyDescent="0.25">
      <c r="A2058" s="4" t="s">
        <v>514</v>
      </c>
      <c r="B2058" s="5" t="s">
        <v>574</v>
      </c>
      <c r="C2058" s="5">
        <v>0</v>
      </c>
      <c r="D2058">
        <f t="shared" si="32"/>
        <v>96</v>
      </c>
      <c r="G2058" s="1"/>
    </row>
    <row r="2059" spans="1:7" x14ac:dyDescent="0.25">
      <c r="A2059" s="3" t="s">
        <v>514</v>
      </c>
      <c r="B2059" s="6" t="s">
        <v>575</v>
      </c>
      <c r="C2059" s="6">
        <v>0</v>
      </c>
      <c r="D2059">
        <f t="shared" si="32"/>
        <v>96</v>
      </c>
      <c r="G2059" s="1"/>
    </row>
    <row r="2060" spans="1:7" x14ac:dyDescent="0.25">
      <c r="A2060" s="4" t="s">
        <v>514</v>
      </c>
      <c r="B2060" s="5" t="s">
        <v>576</v>
      </c>
      <c r="C2060" s="5">
        <v>0</v>
      </c>
      <c r="D2060">
        <f t="shared" si="32"/>
        <v>96</v>
      </c>
      <c r="G2060" s="1"/>
    </row>
    <row r="2061" spans="1:7" x14ac:dyDescent="0.25">
      <c r="A2061" s="3" t="s">
        <v>514</v>
      </c>
      <c r="B2061" s="6" t="s">
        <v>577</v>
      </c>
      <c r="C2061" s="6">
        <v>0</v>
      </c>
      <c r="D2061">
        <f t="shared" si="32"/>
        <v>96</v>
      </c>
      <c r="G2061" s="1"/>
    </row>
    <row r="2062" spans="1:7" x14ac:dyDescent="0.25">
      <c r="A2062" s="4" t="s">
        <v>514</v>
      </c>
      <c r="B2062" s="5" t="s">
        <v>578</v>
      </c>
      <c r="C2062" s="5">
        <v>0</v>
      </c>
      <c r="D2062">
        <f t="shared" si="32"/>
        <v>96</v>
      </c>
      <c r="G2062" s="1"/>
    </row>
    <row r="2063" spans="1:7" x14ac:dyDescent="0.25">
      <c r="A2063" s="3" t="s">
        <v>514</v>
      </c>
      <c r="B2063" s="6" t="s">
        <v>579</v>
      </c>
      <c r="C2063" s="6">
        <v>0</v>
      </c>
      <c r="D2063">
        <f t="shared" si="32"/>
        <v>96</v>
      </c>
      <c r="G2063" s="1"/>
    </row>
    <row r="2064" spans="1:7" x14ac:dyDescent="0.25">
      <c r="A2064" s="4" t="s">
        <v>514</v>
      </c>
      <c r="B2064" s="5" t="s">
        <v>580</v>
      </c>
      <c r="C2064" s="5" t="s">
        <v>627</v>
      </c>
      <c r="D2064">
        <f t="shared" si="32"/>
        <v>96</v>
      </c>
      <c r="G2064" s="1"/>
    </row>
    <row r="2065" spans="1:7" x14ac:dyDescent="0.25">
      <c r="A2065" s="3" t="s">
        <v>514</v>
      </c>
      <c r="B2065" s="6" t="s">
        <v>581</v>
      </c>
      <c r="C2065" s="6" t="s">
        <v>627</v>
      </c>
      <c r="D2065">
        <f t="shared" si="32"/>
        <v>96</v>
      </c>
      <c r="G2065" s="1"/>
    </row>
    <row r="2066" spans="1:7" x14ac:dyDescent="0.25">
      <c r="A2066" s="4" t="s">
        <v>514</v>
      </c>
      <c r="B2066" s="5" t="s">
        <v>582</v>
      </c>
      <c r="C2066" s="5">
        <v>0</v>
      </c>
      <c r="D2066">
        <f t="shared" si="32"/>
        <v>96</v>
      </c>
      <c r="G2066" s="1"/>
    </row>
    <row r="2067" spans="1:7" x14ac:dyDescent="0.25">
      <c r="A2067" s="3" t="s">
        <v>514</v>
      </c>
      <c r="B2067" s="6" t="s">
        <v>583</v>
      </c>
      <c r="C2067" s="6">
        <v>0</v>
      </c>
      <c r="D2067">
        <f t="shared" si="32"/>
        <v>96</v>
      </c>
      <c r="G2067" s="1"/>
    </row>
    <row r="2068" spans="1:7" x14ac:dyDescent="0.25">
      <c r="A2068" s="4" t="s">
        <v>514</v>
      </c>
      <c r="B2068" s="5" t="s">
        <v>584</v>
      </c>
      <c r="C2068" s="5" t="s">
        <v>627</v>
      </c>
      <c r="D2068">
        <f t="shared" si="32"/>
        <v>96</v>
      </c>
      <c r="G2068" s="1"/>
    </row>
    <row r="2069" spans="1:7" x14ac:dyDescent="0.25">
      <c r="A2069" s="3" t="s">
        <v>514</v>
      </c>
      <c r="B2069" s="6" t="s">
        <v>585</v>
      </c>
      <c r="C2069" s="6">
        <v>0</v>
      </c>
      <c r="D2069">
        <f t="shared" si="32"/>
        <v>96</v>
      </c>
      <c r="G2069" s="1"/>
    </row>
    <row r="2070" spans="1:7" x14ac:dyDescent="0.25">
      <c r="A2070" s="4" t="s">
        <v>514</v>
      </c>
      <c r="B2070" s="5" t="s">
        <v>586</v>
      </c>
      <c r="C2070" s="5">
        <v>0</v>
      </c>
      <c r="D2070">
        <f t="shared" si="32"/>
        <v>96</v>
      </c>
      <c r="G2070" s="1"/>
    </row>
    <row r="2071" spans="1:7" x14ac:dyDescent="0.25">
      <c r="A2071" s="3" t="s">
        <v>514</v>
      </c>
      <c r="B2071" s="6" t="s">
        <v>587</v>
      </c>
      <c r="C2071" s="6">
        <v>0</v>
      </c>
      <c r="D2071">
        <f t="shared" si="32"/>
        <v>96</v>
      </c>
      <c r="G2071" s="1"/>
    </row>
    <row r="2072" spans="1:7" x14ac:dyDescent="0.25">
      <c r="A2072" s="4" t="s">
        <v>514</v>
      </c>
      <c r="B2072" s="5" t="s">
        <v>588</v>
      </c>
      <c r="C2072" s="5">
        <v>0</v>
      </c>
      <c r="D2072">
        <f t="shared" si="32"/>
        <v>96</v>
      </c>
      <c r="G2072" s="1"/>
    </row>
    <row r="2073" spans="1:7" x14ac:dyDescent="0.25">
      <c r="A2073" s="3" t="s">
        <v>514</v>
      </c>
      <c r="B2073" s="6" t="s">
        <v>589</v>
      </c>
      <c r="C2073" s="6" t="s">
        <v>246</v>
      </c>
      <c r="D2073">
        <f t="shared" si="32"/>
        <v>96</v>
      </c>
      <c r="G2073" s="1"/>
    </row>
    <row r="2074" spans="1:7" x14ac:dyDescent="0.25">
      <c r="A2074" s="4" t="s">
        <v>514</v>
      </c>
      <c r="B2074" s="5" t="s">
        <v>590</v>
      </c>
      <c r="C2074" s="5">
        <v>1</v>
      </c>
      <c r="D2074">
        <f t="shared" si="32"/>
        <v>96</v>
      </c>
      <c r="G2074" s="1"/>
    </row>
    <row r="2075" spans="1:7" x14ac:dyDescent="0.25">
      <c r="A2075" s="3" t="s">
        <v>514</v>
      </c>
      <c r="B2075" s="6" t="s">
        <v>591</v>
      </c>
      <c r="C2075" s="6" t="s">
        <v>246</v>
      </c>
      <c r="D2075">
        <f t="shared" si="32"/>
        <v>96</v>
      </c>
      <c r="G2075" s="1"/>
    </row>
    <row r="2076" spans="1:7" x14ac:dyDescent="0.25">
      <c r="A2076" s="4" t="s">
        <v>514</v>
      </c>
      <c r="B2076" s="5" t="s">
        <v>592</v>
      </c>
      <c r="C2076" s="5">
        <v>0</v>
      </c>
      <c r="D2076">
        <f t="shared" si="32"/>
        <v>96</v>
      </c>
      <c r="G2076" s="1"/>
    </row>
    <row r="2077" spans="1:7" x14ac:dyDescent="0.25">
      <c r="A2077" s="3" t="s">
        <v>514</v>
      </c>
      <c r="B2077" s="6" t="s">
        <v>593</v>
      </c>
      <c r="C2077" s="6">
        <v>0</v>
      </c>
      <c r="D2077">
        <f t="shared" si="32"/>
        <v>96</v>
      </c>
      <c r="G2077" s="1"/>
    </row>
    <row r="2078" spans="1:7" x14ac:dyDescent="0.25">
      <c r="A2078" s="4" t="s">
        <v>515</v>
      </c>
      <c r="B2078" s="5" t="s">
        <v>574</v>
      </c>
      <c r="C2078" s="5">
        <v>0</v>
      </c>
      <c r="D2078">
        <f t="shared" si="32"/>
        <v>97</v>
      </c>
      <c r="G2078" s="1"/>
    </row>
    <row r="2079" spans="1:7" x14ac:dyDescent="0.25">
      <c r="A2079" s="3" t="s">
        <v>515</v>
      </c>
      <c r="B2079" s="6" t="s">
        <v>575</v>
      </c>
      <c r="C2079" s="6">
        <v>0</v>
      </c>
      <c r="D2079">
        <f t="shared" si="32"/>
        <v>97</v>
      </c>
      <c r="G2079" s="1"/>
    </row>
    <row r="2080" spans="1:7" x14ac:dyDescent="0.25">
      <c r="A2080" s="4" t="s">
        <v>515</v>
      </c>
      <c r="B2080" s="5" t="s">
        <v>576</v>
      </c>
      <c r="C2080" s="5">
        <v>0</v>
      </c>
      <c r="D2080">
        <f t="shared" si="32"/>
        <v>97</v>
      </c>
      <c r="G2080" s="1"/>
    </row>
    <row r="2081" spans="1:7" x14ac:dyDescent="0.25">
      <c r="A2081" s="3" t="s">
        <v>515</v>
      </c>
      <c r="B2081" s="6" t="s">
        <v>577</v>
      </c>
      <c r="C2081" s="6">
        <v>0</v>
      </c>
      <c r="D2081">
        <f t="shared" si="32"/>
        <v>97</v>
      </c>
      <c r="G2081" s="1"/>
    </row>
    <row r="2082" spans="1:7" x14ac:dyDescent="0.25">
      <c r="A2082" s="4" t="s">
        <v>515</v>
      </c>
      <c r="B2082" s="5" t="s">
        <v>578</v>
      </c>
      <c r="C2082" s="5">
        <v>0</v>
      </c>
      <c r="D2082">
        <f t="shared" si="32"/>
        <v>97</v>
      </c>
      <c r="G2082" s="1"/>
    </row>
    <row r="2083" spans="1:7" x14ac:dyDescent="0.25">
      <c r="A2083" s="3" t="s">
        <v>515</v>
      </c>
      <c r="B2083" s="6" t="s">
        <v>579</v>
      </c>
      <c r="C2083" s="6">
        <v>0</v>
      </c>
      <c r="D2083">
        <f t="shared" si="32"/>
        <v>97</v>
      </c>
      <c r="G2083" s="1"/>
    </row>
    <row r="2084" spans="1:7" x14ac:dyDescent="0.25">
      <c r="A2084" s="4" t="s">
        <v>515</v>
      </c>
      <c r="B2084" s="5" t="s">
        <v>580</v>
      </c>
      <c r="C2084" s="5">
        <v>0</v>
      </c>
      <c r="D2084">
        <f t="shared" si="32"/>
        <v>97</v>
      </c>
      <c r="G2084" s="1"/>
    </row>
    <row r="2085" spans="1:7" x14ac:dyDescent="0.25">
      <c r="A2085" s="3" t="s">
        <v>515</v>
      </c>
      <c r="B2085" s="6" t="s">
        <v>581</v>
      </c>
      <c r="C2085" s="6">
        <v>0</v>
      </c>
      <c r="D2085">
        <f t="shared" si="32"/>
        <v>97</v>
      </c>
      <c r="G2085" s="1"/>
    </row>
    <row r="2086" spans="1:7" x14ac:dyDescent="0.25">
      <c r="A2086" s="4" t="s">
        <v>515</v>
      </c>
      <c r="B2086" s="5" t="s">
        <v>582</v>
      </c>
      <c r="C2086" s="5">
        <v>1</v>
      </c>
      <c r="D2086">
        <f t="shared" si="32"/>
        <v>97</v>
      </c>
      <c r="G2086" s="1"/>
    </row>
    <row r="2087" spans="1:7" x14ac:dyDescent="0.25">
      <c r="A2087" s="3" t="s">
        <v>515</v>
      </c>
      <c r="B2087" s="6" t="s">
        <v>583</v>
      </c>
      <c r="C2087" s="6">
        <v>1</v>
      </c>
      <c r="D2087">
        <f t="shared" si="32"/>
        <v>97</v>
      </c>
      <c r="G2087" s="1"/>
    </row>
    <row r="2088" spans="1:7" x14ac:dyDescent="0.25">
      <c r="A2088" s="4" t="s">
        <v>515</v>
      </c>
      <c r="B2088" s="5" t="s">
        <v>584</v>
      </c>
      <c r="C2088" s="5">
        <v>0</v>
      </c>
      <c r="D2088">
        <f t="shared" si="32"/>
        <v>97</v>
      </c>
      <c r="G2088" s="1"/>
    </row>
    <row r="2089" spans="1:7" x14ac:dyDescent="0.25">
      <c r="A2089" s="3" t="s">
        <v>515</v>
      </c>
      <c r="B2089" s="6" t="s">
        <v>585</v>
      </c>
      <c r="C2089" s="6">
        <v>0</v>
      </c>
      <c r="D2089">
        <f t="shared" si="32"/>
        <v>97</v>
      </c>
      <c r="G2089" s="1"/>
    </row>
    <row r="2090" spans="1:7" x14ac:dyDescent="0.25">
      <c r="A2090" s="4" t="s">
        <v>515</v>
      </c>
      <c r="B2090" s="5" t="s">
        <v>586</v>
      </c>
      <c r="C2090" s="5">
        <v>0</v>
      </c>
      <c r="D2090">
        <f t="shared" si="32"/>
        <v>97</v>
      </c>
      <c r="G2090" s="1"/>
    </row>
    <row r="2091" spans="1:7" x14ac:dyDescent="0.25">
      <c r="A2091" s="3" t="s">
        <v>515</v>
      </c>
      <c r="B2091" s="6" t="s">
        <v>587</v>
      </c>
      <c r="C2091" s="6">
        <v>0</v>
      </c>
      <c r="D2091">
        <f t="shared" si="32"/>
        <v>97</v>
      </c>
      <c r="G2091" s="1"/>
    </row>
    <row r="2092" spans="1:7" x14ac:dyDescent="0.25">
      <c r="A2092" s="4" t="s">
        <v>515</v>
      </c>
      <c r="B2092" s="5" t="s">
        <v>588</v>
      </c>
      <c r="C2092" s="5">
        <v>0</v>
      </c>
      <c r="D2092">
        <f t="shared" si="32"/>
        <v>97</v>
      </c>
      <c r="G2092" s="1"/>
    </row>
    <row r="2093" spans="1:7" x14ac:dyDescent="0.25">
      <c r="A2093" s="3" t="s">
        <v>515</v>
      </c>
      <c r="B2093" s="6" t="s">
        <v>589</v>
      </c>
      <c r="C2093" s="6" t="s">
        <v>246</v>
      </c>
      <c r="D2093">
        <f t="shared" si="32"/>
        <v>97</v>
      </c>
      <c r="G2093" s="1"/>
    </row>
    <row r="2094" spans="1:7" x14ac:dyDescent="0.25">
      <c r="A2094" s="4" t="s">
        <v>515</v>
      </c>
      <c r="B2094" s="5" t="s">
        <v>590</v>
      </c>
      <c r="C2094" s="5">
        <v>1</v>
      </c>
      <c r="D2094">
        <f t="shared" si="32"/>
        <v>97</v>
      </c>
      <c r="G2094" s="1"/>
    </row>
    <row r="2095" spans="1:7" x14ac:dyDescent="0.25">
      <c r="A2095" s="3" t="s">
        <v>515</v>
      </c>
      <c r="B2095" s="6" t="s">
        <v>591</v>
      </c>
      <c r="C2095" s="6" t="s">
        <v>246</v>
      </c>
      <c r="D2095">
        <f t="shared" si="32"/>
        <v>97</v>
      </c>
      <c r="G2095" s="1"/>
    </row>
    <row r="2096" spans="1:7" x14ac:dyDescent="0.25">
      <c r="A2096" s="4" t="s">
        <v>515</v>
      </c>
      <c r="B2096" s="5" t="s">
        <v>592</v>
      </c>
      <c r="C2096" s="5">
        <v>0</v>
      </c>
      <c r="D2096">
        <f t="shared" si="32"/>
        <v>97</v>
      </c>
      <c r="G2096" s="1"/>
    </row>
    <row r="2097" spans="1:7" x14ac:dyDescent="0.25">
      <c r="A2097" s="3" t="s">
        <v>515</v>
      </c>
      <c r="B2097" s="6" t="s">
        <v>593</v>
      </c>
      <c r="C2097" s="6">
        <v>0</v>
      </c>
      <c r="D2097">
        <f t="shared" si="32"/>
        <v>97</v>
      </c>
      <c r="G2097" s="1"/>
    </row>
    <row r="2098" spans="1:7" x14ac:dyDescent="0.25">
      <c r="A2098" s="4" t="s">
        <v>516</v>
      </c>
      <c r="B2098" s="5" t="s">
        <v>574</v>
      </c>
      <c r="C2098" s="5">
        <v>0</v>
      </c>
      <c r="D2098">
        <f t="shared" si="32"/>
        <v>98</v>
      </c>
      <c r="G2098" s="1"/>
    </row>
    <row r="2099" spans="1:7" x14ac:dyDescent="0.25">
      <c r="A2099" s="3" t="s">
        <v>516</v>
      </c>
      <c r="B2099" s="6" t="s">
        <v>575</v>
      </c>
      <c r="C2099" s="6">
        <v>0</v>
      </c>
      <c r="D2099">
        <f t="shared" si="32"/>
        <v>98</v>
      </c>
      <c r="G2099" s="1"/>
    </row>
    <row r="2100" spans="1:7" x14ac:dyDescent="0.25">
      <c r="A2100" s="4" t="s">
        <v>516</v>
      </c>
      <c r="B2100" s="5" t="s">
        <v>576</v>
      </c>
      <c r="C2100" s="5">
        <v>0</v>
      </c>
      <c r="D2100">
        <f t="shared" si="32"/>
        <v>98</v>
      </c>
      <c r="G2100" s="1"/>
    </row>
    <row r="2101" spans="1:7" x14ac:dyDescent="0.25">
      <c r="A2101" s="3" t="s">
        <v>516</v>
      </c>
      <c r="B2101" s="6" t="s">
        <v>577</v>
      </c>
      <c r="C2101" s="6">
        <v>0</v>
      </c>
      <c r="D2101">
        <f t="shared" si="32"/>
        <v>98</v>
      </c>
      <c r="G2101" s="1"/>
    </row>
    <row r="2102" spans="1:7" x14ac:dyDescent="0.25">
      <c r="A2102" s="4" t="s">
        <v>516</v>
      </c>
      <c r="B2102" s="5" t="s">
        <v>578</v>
      </c>
      <c r="C2102" s="5">
        <v>0</v>
      </c>
      <c r="D2102">
        <f t="shared" si="32"/>
        <v>98</v>
      </c>
      <c r="G2102" s="1"/>
    </row>
    <row r="2103" spans="1:7" x14ac:dyDescent="0.25">
      <c r="A2103" s="3" t="s">
        <v>516</v>
      </c>
      <c r="B2103" s="6" t="s">
        <v>579</v>
      </c>
      <c r="C2103" s="6">
        <v>0</v>
      </c>
      <c r="D2103">
        <f t="shared" si="32"/>
        <v>98</v>
      </c>
      <c r="G2103" s="1"/>
    </row>
    <row r="2104" spans="1:7" x14ac:dyDescent="0.25">
      <c r="A2104" s="4" t="s">
        <v>516</v>
      </c>
      <c r="B2104" s="5" t="s">
        <v>580</v>
      </c>
      <c r="C2104" s="5" t="s">
        <v>627</v>
      </c>
      <c r="D2104">
        <f t="shared" si="32"/>
        <v>98</v>
      </c>
      <c r="G2104" s="1"/>
    </row>
    <row r="2105" spans="1:7" x14ac:dyDescent="0.25">
      <c r="A2105" s="3" t="s">
        <v>516</v>
      </c>
      <c r="B2105" s="6" t="s">
        <v>581</v>
      </c>
      <c r="C2105" s="6" t="s">
        <v>627</v>
      </c>
      <c r="D2105">
        <f t="shared" si="32"/>
        <v>98</v>
      </c>
      <c r="G2105" s="1"/>
    </row>
    <row r="2106" spans="1:7" x14ac:dyDescent="0.25">
      <c r="A2106" s="4" t="s">
        <v>516</v>
      </c>
      <c r="B2106" s="5" t="s">
        <v>582</v>
      </c>
      <c r="C2106" s="5">
        <v>0</v>
      </c>
      <c r="D2106">
        <f t="shared" si="32"/>
        <v>98</v>
      </c>
      <c r="G2106" s="1"/>
    </row>
    <row r="2107" spans="1:7" x14ac:dyDescent="0.25">
      <c r="A2107" s="3" t="s">
        <v>516</v>
      </c>
      <c r="B2107" s="6" t="s">
        <v>583</v>
      </c>
      <c r="C2107" s="6">
        <v>0</v>
      </c>
      <c r="D2107">
        <f t="shared" si="32"/>
        <v>98</v>
      </c>
      <c r="G2107" s="1"/>
    </row>
    <row r="2108" spans="1:7" x14ac:dyDescent="0.25">
      <c r="A2108" s="4" t="s">
        <v>516</v>
      </c>
      <c r="B2108" s="5" t="s">
        <v>584</v>
      </c>
      <c r="C2108" s="5" t="s">
        <v>627</v>
      </c>
      <c r="D2108">
        <f t="shared" si="32"/>
        <v>98</v>
      </c>
      <c r="G2108" s="1"/>
    </row>
    <row r="2109" spans="1:7" x14ac:dyDescent="0.25">
      <c r="A2109" s="3" t="s">
        <v>516</v>
      </c>
      <c r="B2109" s="6" t="s">
        <v>585</v>
      </c>
      <c r="C2109" s="6">
        <v>0</v>
      </c>
      <c r="D2109">
        <f t="shared" si="32"/>
        <v>98</v>
      </c>
      <c r="G2109" s="1"/>
    </row>
    <row r="2110" spans="1:7" x14ac:dyDescent="0.25">
      <c r="A2110" s="4" t="s">
        <v>516</v>
      </c>
      <c r="B2110" s="5" t="s">
        <v>586</v>
      </c>
      <c r="C2110" s="5">
        <v>0</v>
      </c>
      <c r="D2110">
        <f t="shared" si="32"/>
        <v>98</v>
      </c>
      <c r="G2110" s="1"/>
    </row>
    <row r="2111" spans="1:7" x14ac:dyDescent="0.25">
      <c r="A2111" s="3" t="s">
        <v>516</v>
      </c>
      <c r="B2111" s="6" t="s">
        <v>587</v>
      </c>
      <c r="C2111" s="6">
        <v>0</v>
      </c>
      <c r="D2111">
        <f t="shared" si="32"/>
        <v>98</v>
      </c>
      <c r="G2111" s="1"/>
    </row>
    <row r="2112" spans="1:7" x14ac:dyDescent="0.25">
      <c r="A2112" s="4" t="s">
        <v>516</v>
      </c>
      <c r="B2112" s="5" t="s">
        <v>588</v>
      </c>
      <c r="C2112" s="5">
        <v>0</v>
      </c>
      <c r="D2112">
        <f t="shared" si="32"/>
        <v>98</v>
      </c>
      <c r="G2112" s="1"/>
    </row>
    <row r="2113" spans="1:7" x14ac:dyDescent="0.25">
      <c r="A2113" s="3" t="s">
        <v>516</v>
      </c>
      <c r="B2113" s="6" t="s">
        <v>589</v>
      </c>
      <c r="C2113" s="6" t="s">
        <v>246</v>
      </c>
      <c r="D2113">
        <f t="shared" si="32"/>
        <v>98</v>
      </c>
      <c r="G2113" s="1"/>
    </row>
    <row r="2114" spans="1:7" x14ac:dyDescent="0.25">
      <c r="A2114" s="4" t="s">
        <v>516</v>
      </c>
      <c r="B2114" s="5" t="s">
        <v>590</v>
      </c>
      <c r="C2114" s="5">
        <v>1</v>
      </c>
      <c r="D2114">
        <f t="shared" si="32"/>
        <v>98</v>
      </c>
      <c r="G2114" s="1"/>
    </row>
    <row r="2115" spans="1:7" x14ac:dyDescent="0.25">
      <c r="A2115" s="3" t="s">
        <v>516</v>
      </c>
      <c r="B2115" s="6" t="s">
        <v>591</v>
      </c>
      <c r="C2115" s="6" t="s">
        <v>246</v>
      </c>
      <c r="D2115">
        <f t="shared" si="32"/>
        <v>98</v>
      </c>
      <c r="G2115" s="1"/>
    </row>
    <row r="2116" spans="1:7" x14ac:dyDescent="0.25">
      <c r="A2116" s="4" t="s">
        <v>516</v>
      </c>
      <c r="B2116" s="5" t="s">
        <v>592</v>
      </c>
      <c r="C2116" s="5">
        <v>0</v>
      </c>
      <c r="D2116">
        <f t="shared" ref="D2116:D2179" si="33">IF(B2116="CCM", D2115+1, D2115)</f>
        <v>98</v>
      </c>
      <c r="G2116" s="1"/>
    </row>
    <row r="2117" spans="1:7" x14ac:dyDescent="0.25">
      <c r="A2117" s="3" t="s">
        <v>516</v>
      </c>
      <c r="B2117" s="6" t="s">
        <v>593</v>
      </c>
      <c r="C2117" s="6">
        <v>0</v>
      </c>
      <c r="D2117">
        <f t="shared" si="33"/>
        <v>98</v>
      </c>
      <c r="G2117" s="1"/>
    </row>
    <row r="2118" spans="1:7" x14ac:dyDescent="0.25">
      <c r="A2118" s="4" t="s">
        <v>517</v>
      </c>
      <c r="B2118" s="5" t="s">
        <v>574</v>
      </c>
      <c r="C2118" s="5">
        <v>0</v>
      </c>
      <c r="D2118">
        <f t="shared" si="33"/>
        <v>99</v>
      </c>
      <c r="G2118" s="1"/>
    </row>
    <row r="2119" spans="1:7" x14ac:dyDescent="0.25">
      <c r="A2119" s="3" t="s">
        <v>517</v>
      </c>
      <c r="B2119" s="6" t="s">
        <v>575</v>
      </c>
      <c r="C2119" s="6">
        <v>0</v>
      </c>
      <c r="D2119">
        <f t="shared" si="33"/>
        <v>99</v>
      </c>
      <c r="G2119" s="1"/>
    </row>
    <row r="2120" spans="1:7" x14ac:dyDescent="0.25">
      <c r="A2120" s="4" t="s">
        <v>517</v>
      </c>
      <c r="B2120" s="5" t="s">
        <v>576</v>
      </c>
      <c r="C2120" s="5">
        <v>0</v>
      </c>
      <c r="D2120">
        <f t="shared" si="33"/>
        <v>99</v>
      </c>
      <c r="G2120" s="1"/>
    </row>
    <row r="2121" spans="1:7" x14ac:dyDescent="0.25">
      <c r="A2121" s="3" t="s">
        <v>517</v>
      </c>
      <c r="B2121" s="6" t="s">
        <v>577</v>
      </c>
      <c r="C2121" s="6">
        <v>0</v>
      </c>
      <c r="D2121">
        <f t="shared" si="33"/>
        <v>99</v>
      </c>
      <c r="G2121" s="1"/>
    </row>
    <row r="2122" spans="1:7" x14ac:dyDescent="0.25">
      <c r="A2122" s="4" t="s">
        <v>517</v>
      </c>
      <c r="B2122" s="5" t="s">
        <v>578</v>
      </c>
      <c r="C2122" s="5">
        <v>0</v>
      </c>
      <c r="D2122">
        <f t="shared" si="33"/>
        <v>99</v>
      </c>
      <c r="G2122" s="1"/>
    </row>
    <row r="2123" spans="1:7" x14ac:dyDescent="0.25">
      <c r="A2123" s="3" t="s">
        <v>517</v>
      </c>
      <c r="B2123" s="6" t="s">
        <v>579</v>
      </c>
      <c r="C2123" s="6">
        <v>0</v>
      </c>
      <c r="D2123">
        <f t="shared" si="33"/>
        <v>99</v>
      </c>
      <c r="G2123" s="1"/>
    </row>
    <row r="2124" spans="1:7" x14ac:dyDescent="0.25">
      <c r="A2124" s="4" t="s">
        <v>517</v>
      </c>
      <c r="B2124" s="5" t="s">
        <v>580</v>
      </c>
      <c r="C2124" s="5">
        <v>0</v>
      </c>
      <c r="D2124">
        <f t="shared" si="33"/>
        <v>99</v>
      </c>
      <c r="G2124" s="1"/>
    </row>
    <row r="2125" spans="1:7" x14ac:dyDescent="0.25">
      <c r="A2125" s="3" t="s">
        <v>517</v>
      </c>
      <c r="B2125" s="6" t="s">
        <v>581</v>
      </c>
      <c r="C2125" s="6">
        <v>0</v>
      </c>
      <c r="D2125">
        <f t="shared" si="33"/>
        <v>99</v>
      </c>
      <c r="G2125" s="1"/>
    </row>
    <row r="2126" spans="1:7" x14ac:dyDescent="0.25">
      <c r="A2126" s="4" t="s">
        <v>517</v>
      </c>
      <c r="B2126" s="5" t="s">
        <v>582</v>
      </c>
      <c r="C2126" s="5">
        <v>1</v>
      </c>
      <c r="D2126">
        <f t="shared" si="33"/>
        <v>99</v>
      </c>
      <c r="G2126" s="1"/>
    </row>
    <row r="2127" spans="1:7" x14ac:dyDescent="0.25">
      <c r="A2127" s="3" t="s">
        <v>517</v>
      </c>
      <c r="B2127" s="6" t="s">
        <v>583</v>
      </c>
      <c r="C2127" s="6">
        <v>1</v>
      </c>
      <c r="D2127">
        <f t="shared" si="33"/>
        <v>99</v>
      </c>
      <c r="G2127" s="1"/>
    </row>
    <row r="2128" spans="1:7" x14ac:dyDescent="0.25">
      <c r="A2128" s="4" t="s">
        <v>517</v>
      </c>
      <c r="B2128" s="5" t="s">
        <v>584</v>
      </c>
      <c r="C2128" s="5">
        <v>0</v>
      </c>
      <c r="D2128">
        <f t="shared" si="33"/>
        <v>99</v>
      </c>
      <c r="G2128" s="1"/>
    </row>
    <row r="2129" spans="1:7" x14ac:dyDescent="0.25">
      <c r="A2129" s="3" t="s">
        <v>517</v>
      </c>
      <c r="B2129" s="6" t="s">
        <v>585</v>
      </c>
      <c r="C2129" s="6">
        <v>0</v>
      </c>
      <c r="D2129">
        <f t="shared" si="33"/>
        <v>99</v>
      </c>
      <c r="G2129" s="1"/>
    </row>
    <row r="2130" spans="1:7" x14ac:dyDescent="0.25">
      <c r="A2130" s="4" t="s">
        <v>517</v>
      </c>
      <c r="B2130" s="5" t="s">
        <v>586</v>
      </c>
      <c r="C2130" s="5">
        <v>0</v>
      </c>
      <c r="D2130">
        <f t="shared" si="33"/>
        <v>99</v>
      </c>
      <c r="G2130" s="1"/>
    </row>
    <row r="2131" spans="1:7" x14ac:dyDescent="0.25">
      <c r="A2131" s="3" t="s">
        <v>517</v>
      </c>
      <c r="B2131" s="6" t="s">
        <v>587</v>
      </c>
      <c r="C2131" s="6">
        <v>0</v>
      </c>
      <c r="D2131">
        <f t="shared" si="33"/>
        <v>99</v>
      </c>
      <c r="G2131" s="1"/>
    </row>
    <row r="2132" spans="1:7" x14ac:dyDescent="0.25">
      <c r="A2132" s="4" t="s">
        <v>517</v>
      </c>
      <c r="B2132" s="5" t="s">
        <v>588</v>
      </c>
      <c r="C2132" s="5">
        <v>0</v>
      </c>
      <c r="D2132">
        <f t="shared" si="33"/>
        <v>99</v>
      </c>
      <c r="G2132" s="1"/>
    </row>
    <row r="2133" spans="1:7" x14ac:dyDescent="0.25">
      <c r="A2133" s="3" t="s">
        <v>517</v>
      </c>
      <c r="B2133" s="6" t="s">
        <v>589</v>
      </c>
      <c r="C2133" s="6" t="s">
        <v>246</v>
      </c>
      <c r="D2133">
        <f t="shared" si="33"/>
        <v>99</v>
      </c>
      <c r="G2133" s="1"/>
    </row>
    <row r="2134" spans="1:7" x14ac:dyDescent="0.25">
      <c r="A2134" s="4" t="s">
        <v>517</v>
      </c>
      <c r="B2134" s="5" t="s">
        <v>590</v>
      </c>
      <c r="C2134" s="5">
        <v>1</v>
      </c>
      <c r="D2134">
        <f t="shared" si="33"/>
        <v>99</v>
      </c>
      <c r="G2134" s="1"/>
    </row>
    <row r="2135" spans="1:7" x14ac:dyDescent="0.25">
      <c r="A2135" s="3" t="s">
        <v>517</v>
      </c>
      <c r="B2135" s="6" t="s">
        <v>591</v>
      </c>
      <c r="C2135" s="6" t="s">
        <v>246</v>
      </c>
      <c r="D2135">
        <f t="shared" si="33"/>
        <v>99</v>
      </c>
      <c r="G2135" s="1"/>
    </row>
    <row r="2136" spans="1:7" x14ac:dyDescent="0.25">
      <c r="A2136" s="4" t="s">
        <v>517</v>
      </c>
      <c r="B2136" s="5" t="s">
        <v>592</v>
      </c>
      <c r="C2136" s="5">
        <v>0</v>
      </c>
      <c r="D2136">
        <f t="shared" si="33"/>
        <v>99</v>
      </c>
      <c r="G2136" s="1"/>
    </row>
    <row r="2137" spans="1:7" x14ac:dyDescent="0.25">
      <c r="A2137" s="3" t="s">
        <v>517</v>
      </c>
      <c r="B2137" s="6" t="s">
        <v>593</v>
      </c>
      <c r="C2137" s="6">
        <v>0</v>
      </c>
      <c r="D2137">
        <f t="shared" si="33"/>
        <v>99</v>
      </c>
      <c r="G2137" s="1"/>
    </row>
    <row r="2138" spans="1:7" x14ac:dyDescent="0.25">
      <c r="A2138" s="4" t="s">
        <v>518</v>
      </c>
      <c r="B2138" s="5" t="s">
        <v>574</v>
      </c>
      <c r="C2138" s="5">
        <v>0</v>
      </c>
      <c r="D2138">
        <f t="shared" si="33"/>
        <v>100</v>
      </c>
      <c r="G2138" s="1"/>
    </row>
    <row r="2139" spans="1:7" x14ac:dyDescent="0.25">
      <c r="A2139" s="3" t="s">
        <v>518</v>
      </c>
      <c r="B2139" s="6" t="s">
        <v>575</v>
      </c>
      <c r="C2139" s="6">
        <v>0</v>
      </c>
      <c r="D2139">
        <f t="shared" si="33"/>
        <v>100</v>
      </c>
      <c r="G2139" s="1"/>
    </row>
    <row r="2140" spans="1:7" x14ac:dyDescent="0.25">
      <c r="A2140" s="4" t="s">
        <v>518</v>
      </c>
      <c r="B2140" s="5" t="s">
        <v>576</v>
      </c>
      <c r="C2140" s="5">
        <v>0</v>
      </c>
      <c r="D2140">
        <f t="shared" si="33"/>
        <v>100</v>
      </c>
      <c r="G2140" s="1"/>
    </row>
    <row r="2141" spans="1:7" x14ac:dyDescent="0.25">
      <c r="A2141" s="3" t="s">
        <v>518</v>
      </c>
      <c r="B2141" s="6" t="s">
        <v>577</v>
      </c>
      <c r="C2141" s="6">
        <v>0</v>
      </c>
      <c r="D2141">
        <f t="shared" si="33"/>
        <v>100</v>
      </c>
      <c r="G2141" s="1"/>
    </row>
    <row r="2142" spans="1:7" x14ac:dyDescent="0.25">
      <c r="A2142" s="4" t="s">
        <v>518</v>
      </c>
      <c r="B2142" s="5" t="s">
        <v>578</v>
      </c>
      <c r="C2142" s="5">
        <v>0</v>
      </c>
      <c r="D2142">
        <f t="shared" si="33"/>
        <v>100</v>
      </c>
      <c r="G2142" s="1"/>
    </row>
    <row r="2143" spans="1:7" x14ac:dyDescent="0.25">
      <c r="A2143" s="3" t="s">
        <v>518</v>
      </c>
      <c r="B2143" s="6" t="s">
        <v>579</v>
      </c>
      <c r="C2143" s="6">
        <v>0</v>
      </c>
      <c r="D2143">
        <f t="shared" si="33"/>
        <v>100</v>
      </c>
      <c r="G2143" s="1"/>
    </row>
    <row r="2144" spans="1:7" x14ac:dyDescent="0.25">
      <c r="A2144" s="4" t="s">
        <v>518</v>
      </c>
      <c r="B2144" s="5" t="s">
        <v>580</v>
      </c>
      <c r="C2144" s="5">
        <v>0</v>
      </c>
      <c r="D2144">
        <f t="shared" si="33"/>
        <v>100</v>
      </c>
      <c r="G2144" s="1"/>
    </row>
    <row r="2145" spans="1:7" x14ac:dyDescent="0.25">
      <c r="A2145" s="3" t="s">
        <v>518</v>
      </c>
      <c r="B2145" s="6" t="s">
        <v>581</v>
      </c>
      <c r="C2145" s="6">
        <v>0</v>
      </c>
      <c r="D2145">
        <f t="shared" si="33"/>
        <v>100</v>
      </c>
      <c r="G2145" s="1"/>
    </row>
    <row r="2146" spans="1:7" x14ac:dyDescent="0.25">
      <c r="A2146" s="4" t="s">
        <v>518</v>
      </c>
      <c r="B2146" s="5" t="s">
        <v>582</v>
      </c>
      <c r="C2146" s="5">
        <v>1</v>
      </c>
      <c r="D2146">
        <f t="shared" si="33"/>
        <v>100</v>
      </c>
      <c r="G2146" s="1"/>
    </row>
    <row r="2147" spans="1:7" x14ac:dyDescent="0.25">
      <c r="A2147" s="3" t="s">
        <v>518</v>
      </c>
      <c r="B2147" s="6" t="s">
        <v>583</v>
      </c>
      <c r="C2147" s="6">
        <v>1</v>
      </c>
      <c r="D2147">
        <f t="shared" si="33"/>
        <v>100</v>
      </c>
      <c r="G2147" s="1"/>
    </row>
    <row r="2148" spans="1:7" x14ac:dyDescent="0.25">
      <c r="A2148" s="4" t="s">
        <v>518</v>
      </c>
      <c r="B2148" s="5" t="s">
        <v>584</v>
      </c>
      <c r="C2148" s="5">
        <v>0</v>
      </c>
      <c r="D2148">
        <f t="shared" si="33"/>
        <v>100</v>
      </c>
      <c r="G2148" s="1"/>
    </row>
    <row r="2149" spans="1:7" x14ac:dyDescent="0.25">
      <c r="A2149" s="3" t="s">
        <v>518</v>
      </c>
      <c r="B2149" s="6" t="s">
        <v>585</v>
      </c>
      <c r="C2149" s="6">
        <v>0</v>
      </c>
      <c r="D2149">
        <f t="shared" si="33"/>
        <v>100</v>
      </c>
      <c r="G2149" s="1"/>
    </row>
    <row r="2150" spans="1:7" x14ac:dyDescent="0.25">
      <c r="A2150" s="4" t="s">
        <v>518</v>
      </c>
      <c r="B2150" s="5" t="s">
        <v>586</v>
      </c>
      <c r="C2150" s="5">
        <v>0</v>
      </c>
      <c r="D2150">
        <f t="shared" si="33"/>
        <v>100</v>
      </c>
      <c r="G2150" s="1"/>
    </row>
    <row r="2151" spans="1:7" x14ac:dyDescent="0.25">
      <c r="A2151" s="3" t="s">
        <v>518</v>
      </c>
      <c r="B2151" s="6" t="s">
        <v>587</v>
      </c>
      <c r="C2151" s="6">
        <v>0</v>
      </c>
      <c r="D2151">
        <f t="shared" si="33"/>
        <v>100</v>
      </c>
      <c r="G2151" s="1"/>
    </row>
    <row r="2152" spans="1:7" x14ac:dyDescent="0.25">
      <c r="A2152" s="4" t="s">
        <v>518</v>
      </c>
      <c r="B2152" s="5" t="s">
        <v>588</v>
      </c>
      <c r="C2152" s="5">
        <v>0</v>
      </c>
      <c r="D2152">
        <f t="shared" si="33"/>
        <v>100</v>
      </c>
      <c r="G2152" s="1"/>
    </row>
    <row r="2153" spans="1:7" x14ac:dyDescent="0.25">
      <c r="A2153" s="3" t="s">
        <v>518</v>
      </c>
      <c r="B2153" s="6" t="s">
        <v>589</v>
      </c>
      <c r="C2153" s="6" t="s">
        <v>246</v>
      </c>
      <c r="D2153">
        <f t="shared" si="33"/>
        <v>100</v>
      </c>
      <c r="G2153" s="1"/>
    </row>
    <row r="2154" spans="1:7" x14ac:dyDescent="0.25">
      <c r="A2154" s="4" t="s">
        <v>518</v>
      </c>
      <c r="B2154" s="5" t="s">
        <v>590</v>
      </c>
      <c r="C2154" s="5">
        <v>1</v>
      </c>
      <c r="D2154">
        <f t="shared" si="33"/>
        <v>100</v>
      </c>
      <c r="G2154" s="1"/>
    </row>
    <row r="2155" spans="1:7" x14ac:dyDescent="0.25">
      <c r="A2155" s="3" t="s">
        <v>518</v>
      </c>
      <c r="B2155" s="6" t="s">
        <v>591</v>
      </c>
      <c r="C2155" s="6" t="s">
        <v>246</v>
      </c>
      <c r="D2155">
        <f t="shared" si="33"/>
        <v>100</v>
      </c>
      <c r="G2155" s="1"/>
    </row>
    <row r="2156" spans="1:7" x14ac:dyDescent="0.25">
      <c r="A2156" s="4" t="s">
        <v>518</v>
      </c>
      <c r="B2156" s="5" t="s">
        <v>592</v>
      </c>
      <c r="C2156" s="5">
        <v>0</v>
      </c>
      <c r="D2156">
        <f t="shared" si="33"/>
        <v>100</v>
      </c>
      <c r="G2156" s="1"/>
    </row>
    <row r="2157" spans="1:7" x14ac:dyDescent="0.25">
      <c r="A2157" s="3" t="s">
        <v>518</v>
      </c>
      <c r="B2157" s="6" t="s">
        <v>593</v>
      </c>
      <c r="C2157" s="6">
        <v>0</v>
      </c>
      <c r="D2157">
        <f t="shared" si="33"/>
        <v>100</v>
      </c>
      <c r="G2157" s="1"/>
    </row>
    <row r="2158" spans="1:7" x14ac:dyDescent="0.25">
      <c r="A2158" s="4" t="s">
        <v>519</v>
      </c>
      <c r="B2158" s="5" t="s">
        <v>574</v>
      </c>
      <c r="C2158" s="5">
        <v>0</v>
      </c>
      <c r="D2158">
        <f t="shared" si="33"/>
        <v>101</v>
      </c>
      <c r="G2158" s="1"/>
    </row>
    <row r="2159" spans="1:7" x14ac:dyDescent="0.25">
      <c r="A2159" s="3" t="s">
        <v>519</v>
      </c>
      <c r="B2159" s="6" t="s">
        <v>575</v>
      </c>
      <c r="C2159" s="6">
        <v>0</v>
      </c>
      <c r="D2159">
        <f t="shared" si="33"/>
        <v>101</v>
      </c>
      <c r="G2159" s="1"/>
    </row>
    <row r="2160" spans="1:7" x14ac:dyDescent="0.25">
      <c r="A2160" s="4" t="s">
        <v>519</v>
      </c>
      <c r="B2160" s="5" t="s">
        <v>576</v>
      </c>
      <c r="C2160" s="5">
        <v>0</v>
      </c>
      <c r="D2160">
        <f t="shared" si="33"/>
        <v>101</v>
      </c>
      <c r="G2160" s="1"/>
    </row>
    <row r="2161" spans="1:7" x14ac:dyDescent="0.25">
      <c r="A2161" s="3" t="s">
        <v>519</v>
      </c>
      <c r="B2161" s="6" t="s">
        <v>577</v>
      </c>
      <c r="C2161" s="6">
        <v>0</v>
      </c>
      <c r="D2161">
        <f t="shared" si="33"/>
        <v>101</v>
      </c>
      <c r="G2161" s="1"/>
    </row>
    <row r="2162" spans="1:7" x14ac:dyDescent="0.25">
      <c r="A2162" s="4" t="s">
        <v>519</v>
      </c>
      <c r="B2162" s="5" t="s">
        <v>578</v>
      </c>
      <c r="C2162" s="5">
        <v>0</v>
      </c>
      <c r="D2162">
        <f t="shared" si="33"/>
        <v>101</v>
      </c>
      <c r="G2162" s="1"/>
    </row>
    <row r="2163" spans="1:7" x14ac:dyDescent="0.25">
      <c r="A2163" s="3" t="s">
        <v>519</v>
      </c>
      <c r="B2163" s="6" t="s">
        <v>579</v>
      </c>
      <c r="C2163" s="6">
        <v>0</v>
      </c>
      <c r="D2163">
        <f t="shared" si="33"/>
        <v>101</v>
      </c>
      <c r="G2163" s="1"/>
    </row>
    <row r="2164" spans="1:7" x14ac:dyDescent="0.25">
      <c r="A2164" s="4" t="s">
        <v>519</v>
      </c>
      <c r="B2164" s="5" t="s">
        <v>580</v>
      </c>
      <c r="C2164" s="5">
        <v>0</v>
      </c>
      <c r="D2164">
        <f t="shared" si="33"/>
        <v>101</v>
      </c>
      <c r="G2164" s="1"/>
    </row>
    <row r="2165" spans="1:7" x14ac:dyDescent="0.25">
      <c r="A2165" s="3" t="s">
        <v>519</v>
      </c>
      <c r="B2165" s="6" t="s">
        <v>581</v>
      </c>
      <c r="C2165" s="6">
        <v>0</v>
      </c>
      <c r="D2165">
        <f t="shared" si="33"/>
        <v>101</v>
      </c>
      <c r="G2165" s="1"/>
    </row>
    <row r="2166" spans="1:7" x14ac:dyDescent="0.25">
      <c r="A2166" s="4" t="s">
        <v>519</v>
      </c>
      <c r="B2166" s="5" t="s">
        <v>582</v>
      </c>
      <c r="C2166" s="5">
        <v>1</v>
      </c>
      <c r="D2166">
        <f t="shared" si="33"/>
        <v>101</v>
      </c>
      <c r="G2166" s="1"/>
    </row>
    <row r="2167" spans="1:7" x14ac:dyDescent="0.25">
      <c r="A2167" s="3" t="s">
        <v>519</v>
      </c>
      <c r="B2167" s="6" t="s">
        <v>583</v>
      </c>
      <c r="C2167" s="6">
        <v>1</v>
      </c>
      <c r="D2167">
        <f t="shared" si="33"/>
        <v>101</v>
      </c>
      <c r="G2167" s="1"/>
    </row>
    <row r="2168" spans="1:7" x14ac:dyDescent="0.25">
      <c r="A2168" s="4" t="s">
        <v>519</v>
      </c>
      <c r="B2168" s="5" t="s">
        <v>584</v>
      </c>
      <c r="C2168" s="5">
        <v>0</v>
      </c>
      <c r="D2168">
        <f t="shared" si="33"/>
        <v>101</v>
      </c>
      <c r="G2168" s="1"/>
    </row>
    <row r="2169" spans="1:7" x14ac:dyDescent="0.25">
      <c r="A2169" s="3" t="s">
        <v>519</v>
      </c>
      <c r="B2169" s="6" t="s">
        <v>585</v>
      </c>
      <c r="C2169" s="6">
        <v>0</v>
      </c>
      <c r="D2169">
        <f t="shared" si="33"/>
        <v>101</v>
      </c>
      <c r="G2169" s="1"/>
    </row>
    <row r="2170" spans="1:7" x14ac:dyDescent="0.25">
      <c r="A2170" s="4" t="s">
        <v>519</v>
      </c>
      <c r="B2170" s="5" t="s">
        <v>586</v>
      </c>
      <c r="C2170" s="5">
        <v>0</v>
      </c>
      <c r="D2170">
        <f t="shared" si="33"/>
        <v>101</v>
      </c>
      <c r="G2170" s="1"/>
    </row>
    <row r="2171" spans="1:7" x14ac:dyDescent="0.25">
      <c r="A2171" s="3" t="s">
        <v>519</v>
      </c>
      <c r="B2171" s="6" t="s">
        <v>587</v>
      </c>
      <c r="C2171" s="6">
        <v>0</v>
      </c>
      <c r="D2171">
        <f t="shared" si="33"/>
        <v>101</v>
      </c>
      <c r="G2171" s="1"/>
    </row>
    <row r="2172" spans="1:7" x14ac:dyDescent="0.25">
      <c r="A2172" s="4" t="s">
        <v>519</v>
      </c>
      <c r="B2172" s="5" t="s">
        <v>588</v>
      </c>
      <c r="C2172" s="5">
        <v>0</v>
      </c>
      <c r="D2172">
        <f t="shared" si="33"/>
        <v>101</v>
      </c>
      <c r="G2172" s="1"/>
    </row>
    <row r="2173" spans="1:7" x14ac:dyDescent="0.25">
      <c r="A2173" s="3" t="s">
        <v>519</v>
      </c>
      <c r="B2173" s="6" t="s">
        <v>589</v>
      </c>
      <c r="C2173" s="6" t="s">
        <v>246</v>
      </c>
      <c r="D2173">
        <f t="shared" si="33"/>
        <v>101</v>
      </c>
      <c r="G2173" s="1"/>
    </row>
    <row r="2174" spans="1:7" x14ac:dyDescent="0.25">
      <c r="A2174" s="4" t="s">
        <v>519</v>
      </c>
      <c r="B2174" s="5" t="s">
        <v>590</v>
      </c>
      <c r="C2174" s="5">
        <v>1</v>
      </c>
      <c r="D2174">
        <f t="shared" si="33"/>
        <v>101</v>
      </c>
      <c r="G2174" s="1"/>
    </row>
    <row r="2175" spans="1:7" x14ac:dyDescent="0.25">
      <c r="A2175" s="3" t="s">
        <v>519</v>
      </c>
      <c r="B2175" s="6" t="s">
        <v>591</v>
      </c>
      <c r="C2175" s="6" t="s">
        <v>246</v>
      </c>
      <c r="D2175">
        <f t="shared" si="33"/>
        <v>101</v>
      </c>
      <c r="G2175" s="1"/>
    </row>
    <row r="2176" spans="1:7" x14ac:dyDescent="0.25">
      <c r="A2176" s="4" t="s">
        <v>519</v>
      </c>
      <c r="B2176" s="5" t="s">
        <v>592</v>
      </c>
      <c r="C2176" s="5">
        <v>0</v>
      </c>
      <c r="D2176">
        <f t="shared" si="33"/>
        <v>101</v>
      </c>
      <c r="G2176" s="1"/>
    </row>
    <row r="2177" spans="1:7" x14ac:dyDescent="0.25">
      <c r="A2177" s="3" t="s">
        <v>519</v>
      </c>
      <c r="B2177" s="6" t="s">
        <v>593</v>
      </c>
      <c r="C2177" s="6">
        <v>1</v>
      </c>
      <c r="D2177">
        <f t="shared" si="33"/>
        <v>101</v>
      </c>
      <c r="G2177" s="1"/>
    </row>
    <row r="2178" spans="1:7" x14ac:dyDescent="0.25">
      <c r="A2178" s="4" t="s">
        <v>520</v>
      </c>
      <c r="B2178" s="5" t="s">
        <v>574</v>
      </c>
      <c r="C2178" s="5">
        <v>0</v>
      </c>
      <c r="D2178">
        <f t="shared" si="33"/>
        <v>102</v>
      </c>
      <c r="G2178" s="1"/>
    </row>
    <row r="2179" spans="1:7" x14ac:dyDescent="0.25">
      <c r="A2179" s="3" t="s">
        <v>520</v>
      </c>
      <c r="B2179" s="6" t="s">
        <v>575</v>
      </c>
      <c r="C2179" s="6">
        <v>0</v>
      </c>
      <c r="D2179">
        <f t="shared" si="33"/>
        <v>102</v>
      </c>
      <c r="G2179" s="1"/>
    </row>
    <row r="2180" spans="1:7" x14ac:dyDescent="0.25">
      <c r="A2180" s="4" t="s">
        <v>520</v>
      </c>
      <c r="B2180" s="5" t="s">
        <v>576</v>
      </c>
      <c r="C2180" s="5">
        <v>0</v>
      </c>
      <c r="D2180">
        <f t="shared" ref="D2180:D2243" si="34">IF(B2180="CCM", D2179+1, D2179)</f>
        <v>102</v>
      </c>
      <c r="G2180" s="1"/>
    </row>
    <row r="2181" spans="1:7" x14ac:dyDescent="0.25">
      <c r="A2181" s="3" t="s">
        <v>520</v>
      </c>
      <c r="B2181" s="6" t="s">
        <v>577</v>
      </c>
      <c r="C2181" s="6">
        <v>0</v>
      </c>
      <c r="D2181">
        <f t="shared" si="34"/>
        <v>102</v>
      </c>
      <c r="G2181" s="1"/>
    </row>
    <row r="2182" spans="1:7" x14ac:dyDescent="0.25">
      <c r="A2182" s="4" t="s">
        <v>520</v>
      </c>
      <c r="B2182" s="5" t="s">
        <v>578</v>
      </c>
      <c r="C2182" s="5">
        <v>0</v>
      </c>
      <c r="D2182">
        <f t="shared" si="34"/>
        <v>102</v>
      </c>
      <c r="G2182" s="1"/>
    </row>
    <row r="2183" spans="1:7" x14ac:dyDescent="0.25">
      <c r="A2183" s="3" t="s">
        <v>520</v>
      </c>
      <c r="B2183" s="6" t="s">
        <v>579</v>
      </c>
      <c r="C2183" s="6">
        <v>0</v>
      </c>
      <c r="D2183">
        <f t="shared" si="34"/>
        <v>102</v>
      </c>
      <c r="G2183" s="1"/>
    </row>
    <row r="2184" spans="1:7" x14ac:dyDescent="0.25">
      <c r="A2184" s="4" t="s">
        <v>520</v>
      </c>
      <c r="B2184" s="5" t="s">
        <v>580</v>
      </c>
      <c r="C2184" s="5">
        <v>0</v>
      </c>
      <c r="D2184">
        <f t="shared" si="34"/>
        <v>102</v>
      </c>
      <c r="G2184" s="1"/>
    </row>
    <row r="2185" spans="1:7" x14ac:dyDescent="0.25">
      <c r="A2185" s="3" t="s">
        <v>520</v>
      </c>
      <c r="B2185" s="6" t="s">
        <v>581</v>
      </c>
      <c r="C2185" s="6">
        <v>0</v>
      </c>
      <c r="D2185">
        <f t="shared" si="34"/>
        <v>102</v>
      </c>
      <c r="G2185" s="1"/>
    </row>
    <row r="2186" spans="1:7" x14ac:dyDescent="0.25">
      <c r="A2186" s="4" t="s">
        <v>520</v>
      </c>
      <c r="B2186" s="5" t="s">
        <v>582</v>
      </c>
      <c r="C2186" s="5">
        <v>1</v>
      </c>
      <c r="D2186">
        <f t="shared" si="34"/>
        <v>102</v>
      </c>
      <c r="G2186" s="1"/>
    </row>
    <row r="2187" spans="1:7" x14ac:dyDescent="0.25">
      <c r="A2187" s="3" t="s">
        <v>520</v>
      </c>
      <c r="B2187" s="6" t="s">
        <v>583</v>
      </c>
      <c r="C2187" s="6">
        <v>1</v>
      </c>
      <c r="D2187">
        <f t="shared" si="34"/>
        <v>102</v>
      </c>
      <c r="G2187" s="1"/>
    </row>
    <row r="2188" spans="1:7" x14ac:dyDescent="0.25">
      <c r="A2188" s="4" t="s">
        <v>520</v>
      </c>
      <c r="B2188" s="5" t="s">
        <v>584</v>
      </c>
      <c r="C2188" s="5">
        <v>0</v>
      </c>
      <c r="D2188">
        <f t="shared" si="34"/>
        <v>102</v>
      </c>
      <c r="G2188" s="1"/>
    </row>
    <row r="2189" spans="1:7" x14ac:dyDescent="0.25">
      <c r="A2189" s="3" t="s">
        <v>520</v>
      </c>
      <c r="B2189" s="6" t="s">
        <v>585</v>
      </c>
      <c r="C2189" s="6">
        <v>0</v>
      </c>
      <c r="D2189">
        <f t="shared" si="34"/>
        <v>102</v>
      </c>
      <c r="G2189" s="1"/>
    </row>
    <row r="2190" spans="1:7" x14ac:dyDescent="0.25">
      <c r="A2190" s="4" t="s">
        <v>520</v>
      </c>
      <c r="B2190" s="5" t="s">
        <v>586</v>
      </c>
      <c r="C2190" s="5">
        <v>0</v>
      </c>
      <c r="D2190">
        <f t="shared" si="34"/>
        <v>102</v>
      </c>
      <c r="G2190" s="1"/>
    </row>
    <row r="2191" spans="1:7" x14ac:dyDescent="0.25">
      <c r="A2191" s="3" t="s">
        <v>520</v>
      </c>
      <c r="B2191" s="6" t="s">
        <v>587</v>
      </c>
      <c r="C2191" s="6">
        <v>0</v>
      </c>
      <c r="D2191">
        <f t="shared" si="34"/>
        <v>102</v>
      </c>
      <c r="G2191" s="1"/>
    </row>
    <row r="2192" spans="1:7" x14ac:dyDescent="0.25">
      <c r="A2192" s="4" t="s">
        <v>520</v>
      </c>
      <c r="B2192" s="5" t="s">
        <v>588</v>
      </c>
      <c r="C2192" s="5">
        <v>0</v>
      </c>
      <c r="D2192">
        <f t="shared" si="34"/>
        <v>102</v>
      </c>
      <c r="G2192" s="1"/>
    </row>
    <row r="2193" spans="1:7" x14ac:dyDescent="0.25">
      <c r="A2193" s="3" t="s">
        <v>520</v>
      </c>
      <c r="B2193" s="6" t="s">
        <v>589</v>
      </c>
      <c r="C2193" s="6" t="s">
        <v>246</v>
      </c>
      <c r="D2193">
        <f t="shared" si="34"/>
        <v>102</v>
      </c>
      <c r="G2193" s="1"/>
    </row>
    <row r="2194" spans="1:7" x14ac:dyDescent="0.25">
      <c r="A2194" s="4" t="s">
        <v>520</v>
      </c>
      <c r="B2194" s="5" t="s">
        <v>590</v>
      </c>
      <c r="C2194" s="5">
        <v>1</v>
      </c>
      <c r="D2194">
        <f t="shared" si="34"/>
        <v>102</v>
      </c>
      <c r="G2194" s="1"/>
    </row>
    <row r="2195" spans="1:7" x14ac:dyDescent="0.25">
      <c r="A2195" s="3" t="s">
        <v>520</v>
      </c>
      <c r="B2195" s="6" t="s">
        <v>591</v>
      </c>
      <c r="C2195" s="6" t="s">
        <v>246</v>
      </c>
      <c r="D2195">
        <f t="shared" si="34"/>
        <v>102</v>
      </c>
      <c r="G2195" s="1"/>
    </row>
    <row r="2196" spans="1:7" x14ac:dyDescent="0.25">
      <c r="A2196" s="4" t="s">
        <v>520</v>
      </c>
      <c r="B2196" s="5" t="s">
        <v>592</v>
      </c>
      <c r="C2196" s="5">
        <v>0</v>
      </c>
      <c r="D2196">
        <f t="shared" si="34"/>
        <v>102</v>
      </c>
      <c r="G2196" s="1"/>
    </row>
    <row r="2197" spans="1:7" x14ac:dyDescent="0.25">
      <c r="A2197" s="3" t="s">
        <v>520</v>
      </c>
      <c r="B2197" s="6" t="s">
        <v>593</v>
      </c>
      <c r="C2197" s="6">
        <v>1</v>
      </c>
      <c r="D2197">
        <f t="shared" si="34"/>
        <v>102</v>
      </c>
      <c r="G2197" s="1"/>
    </row>
    <row r="2198" spans="1:7" x14ac:dyDescent="0.25">
      <c r="A2198" s="4" t="s">
        <v>521</v>
      </c>
      <c r="B2198" s="5" t="s">
        <v>574</v>
      </c>
      <c r="C2198" s="5">
        <v>0</v>
      </c>
      <c r="D2198">
        <f t="shared" si="34"/>
        <v>103</v>
      </c>
      <c r="G2198" s="1"/>
    </row>
    <row r="2199" spans="1:7" x14ac:dyDescent="0.25">
      <c r="A2199" s="3" t="s">
        <v>521</v>
      </c>
      <c r="B2199" s="6" t="s">
        <v>575</v>
      </c>
      <c r="C2199" s="6">
        <v>0</v>
      </c>
      <c r="D2199">
        <f t="shared" si="34"/>
        <v>103</v>
      </c>
      <c r="G2199" s="1"/>
    </row>
    <row r="2200" spans="1:7" x14ac:dyDescent="0.25">
      <c r="A2200" s="4" t="s">
        <v>521</v>
      </c>
      <c r="B2200" s="5" t="s">
        <v>576</v>
      </c>
      <c r="C2200" s="5">
        <v>0</v>
      </c>
      <c r="D2200">
        <f t="shared" si="34"/>
        <v>103</v>
      </c>
      <c r="G2200" s="1"/>
    </row>
    <row r="2201" spans="1:7" x14ac:dyDescent="0.25">
      <c r="A2201" s="3" t="s">
        <v>521</v>
      </c>
      <c r="B2201" s="6" t="s">
        <v>577</v>
      </c>
      <c r="C2201" s="6">
        <v>0</v>
      </c>
      <c r="D2201">
        <f t="shared" si="34"/>
        <v>103</v>
      </c>
      <c r="G2201" s="1"/>
    </row>
    <row r="2202" spans="1:7" x14ac:dyDescent="0.25">
      <c r="A2202" s="4" t="s">
        <v>521</v>
      </c>
      <c r="B2202" s="5" t="s">
        <v>578</v>
      </c>
      <c r="C2202" s="5">
        <v>0</v>
      </c>
      <c r="D2202">
        <f t="shared" si="34"/>
        <v>103</v>
      </c>
      <c r="G2202" s="1"/>
    </row>
    <row r="2203" spans="1:7" x14ac:dyDescent="0.25">
      <c r="A2203" s="3" t="s">
        <v>521</v>
      </c>
      <c r="B2203" s="6" t="s">
        <v>579</v>
      </c>
      <c r="C2203" s="6">
        <v>0</v>
      </c>
      <c r="D2203">
        <f t="shared" si="34"/>
        <v>103</v>
      </c>
      <c r="G2203" s="1"/>
    </row>
    <row r="2204" spans="1:7" x14ac:dyDescent="0.25">
      <c r="A2204" s="4" t="s">
        <v>521</v>
      </c>
      <c r="B2204" s="5" t="s">
        <v>580</v>
      </c>
      <c r="C2204" s="5">
        <v>0</v>
      </c>
      <c r="D2204">
        <f t="shared" si="34"/>
        <v>103</v>
      </c>
      <c r="G2204" s="1"/>
    </row>
    <row r="2205" spans="1:7" x14ac:dyDescent="0.25">
      <c r="A2205" s="3" t="s">
        <v>521</v>
      </c>
      <c r="B2205" s="6" t="s">
        <v>581</v>
      </c>
      <c r="C2205" s="6">
        <v>0</v>
      </c>
      <c r="D2205">
        <f t="shared" si="34"/>
        <v>103</v>
      </c>
      <c r="G2205" s="1"/>
    </row>
    <row r="2206" spans="1:7" x14ac:dyDescent="0.25">
      <c r="A2206" s="4" t="s">
        <v>521</v>
      </c>
      <c r="B2206" s="5" t="s">
        <v>582</v>
      </c>
      <c r="C2206" s="5">
        <v>1</v>
      </c>
      <c r="D2206">
        <f t="shared" si="34"/>
        <v>103</v>
      </c>
      <c r="G2206" s="1"/>
    </row>
    <row r="2207" spans="1:7" x14ac:dyDescent="0.25">
      <c r="A2207" s="3" t="s">
        <v>521</v>
      </c>
      <c r="B2207" s="6" t="s">
        <v>583</v>
      </c>
      <c r="C2207" s="6">
        <v>1</v>
      </c>
      <c r="D2207">
        <f t="shared" si="34"/>
        <v>103</v>
      </c>
      <c r="G2207" s="1"/>
    </row>
    <row r="2208" spans="1:7" x14ac:dyDescent="0.25">
      <c r="A2208" s="4" t="s">
        <v>521</v>
      </c>
      <c r="B2208" s="5" t="s">
        <v>584</v>
      </c>
      <c r="C2208" s="5">
        <v>0</v>
      </c>
      <c r="D2208">
        <f t="shared" si="34"/>
        <v>103</v>
      </c>
      <c r="G2208" s="1"/>
    </row>
    <row r="2209" spans="1:7" x14ac:dyDescent="0.25">
      <c r="A2209" s="3" t="s">
        <v>521</v>
      </c>
      <c r="B2209" s="6" t="s">
        <v>585</v>
      </c>
      <c r="C2209" s="6">
        <v>0</v>
      </c>
      <c r="D2209">
        <f t="shared" si="34"/>
        <v>103</v>
      </c>
      <c r="G2209" s="1"/>
    </row>
    <row r="2210" spans="1:7" x14ac:dyDescent="0.25">
      <c r="A2210" s="4" t="s">
        <v>521</v>
      </c>
      <c r="B2210" s="5" t="s">
        <v>586</v>
      </c>
      <c r="C2210" s="5">
        <v>0</v>
      </c>
      <c r="D2210">
        <f t="shared" si="34"/>
        <v>103</v>
      </c>
      <c r="G2210" s="1"/>
    </row>
    <row r="2211" spans="1:7" x14ac:dyDescent="0.25">
      <c r="A2211" s="3" t="s">
        <v>521</v>
      </c>
      <c r="B2211" s="6" t="s">
        <v>587</v>
      </c>
      <c r="C2211" s="6">
        <v>0</v>
      </c>
      <c r="D2211">
        <f t="shared" si="34"/>
        <v>103</v>
      </c>
      <c r="G2211" s="1"/>
    </row>
    <row r="2212" spans="1:7" x14ac:dyDescent="0.25">
      <c r="A2212" s="4" t="s">
        <v>521</v>
      </c>
      <c r="B2212" s="5" t="s">
        <v>588</v>
      </c>
      <c r="C2212" s="5">
        <v>0</v>
      </c>
      <c r="D2212">
        <f t="shared" si="34"/>
        <v>103</v>
      </c>
      <c r="G2212" s="1"/>
    </row>
    <row r="2213" spans="1:7" x14ac:dyDescent="0.25">
      <c r="A2213" s="3" t="s">
        <v>521</v>
      </c>
      <c r="B2213" s="6" t="s">
        <v>589</v>
      </c>
      <c r="C2213" s="6" t="s">
        <v>246</v>
      </c>
      <c r="D2213">
        <f t="shared" si="34"/>
        <v>103</v>
      </c>
      <c r="G2213" s="1"/>
    </row>
    <row r="2214" spans="1:7" x14ac:dyDescent="0.25">
      <c r="A2214" s="4" t="s">
        <v>521</v>
      </c>
      <c r="B2214" s="5" t="s">
        <v>590</v>
      </c>
      <c r="C2214" s="5">
        <v>1</v>
      </c>
      <c r="D2214">
        <f t="shared" si="34"/>
        <v>103</v>
      </c>
      <c r="G2214" s="1"/>
    </row>
    <row r="2215" spans="1:7" x14ac:dyDescent="0.25">
      <c r="A2215" s="3" t="s">
        <v>521</v>
      </c>
      <c r="B2215" s="6" t="s">
        <v>591</v>
      </c>
      <c r="C2215" s="6" t="s">
        <v>246</v>
      </c>
      <c r="D2215">
        <f t="shared" si="34"/>
        <v>103</v>
      </c>
      <c r="G2215" s="1"/>
    </row>
    <row r="2216" spans="1:7" x14ac:dyDescent="0.25">
      <c r="A2216" s="4" t="s">
        <v>521</v>
      </c>
      <c r="B2216" s="5" t="s">
        <v>592</v>
      </c>
      <c r="C2216" s="5">
        <v>0</v>
      </c>
      <c r="D2216">
        <f t="shared" si="34"/>
        <v>103</v>
      </c>
      <c r="G2216" s="1"/>
    </row>
    <row r="2217" spans="1:7" x14ac:dyDescent="0.25">
      <c r="A2217" s="3" t="s">
        <v>521</v>
      </c>
      <c r="B2217" s="6" t="s">
        <v>593</v>
      </c>
      <c r="C2217" s="6">
        <v>0</v>
      </c>
      <c r="D2217">
        <f t="shared" si="34"/>
        <v>103</v>
      </c>
      <c r="G2217" s="1"/>
    </row>
    <row r="2218" spans="1:7" x14ac:dyDescent="0.25">
      <c r="A2218" s="4" t="s">
        <v>522</v>
      </c>
      <c r="B2218" s="5" t="s">
        <v>574</v>
      </c>
      <c r="C2218" s="5">
        <v>0</v>
      </c>
      <c r="D2218">
        <f t="shared" si="34"/>
        <v>104</v>
      </c>
      <c r="G2218" s="1"/>
    </row>
    <row r="2219" spans="1:7" x14ac:dyDescent="0.25">
      <c r="A2219" s="3" t="s">
        <v>522</v>
      </c>
      <c r="B2219" s="6" t="s">
        <v>575</v>
      </c>
      <c r="C2219" s="6">
        <v>0</v>
      </c>
      <c r="D2219">
        <f t="shared" si="34"/>
        <v>104</v>
      </c>
      <c r="G2219" s="1"/>
    </row>
    <row r="2220" spans="1:7" x14ac:dyDescent="0.25">
      <c r="A2220" s="4" t="s">
        <v>522</v>
      </c>
      <c r="B2220" s="5" t="s">
        <v>576</v>
      </c>
      <c r="C2220" s="5">
        <v>0</v>
      </c>
      <c r="D2220">
        <f t="shared" si="34"/>
        <v>104</v>
      </c>
      <c r="G2220" s="1"/>
    </row>
    <row r="2221" spans="1:7" x14ac:dyDescent="0.25">
      <c r="A2221" s="3" t="s">
        <v>522</v>
      </c>
      <c r="B2221" s="6" t="s">
        <v>577</v>
      </c>
      <c r="C2221" s="6">
        <v>0</v>
      </c>
      <c r="D2221">
        <f t="shared" si="34"/>
        <v>104</v>
      </c>
      <c r="G2221" s="1"/>
    </row>
    <row r="2222" spans="1:7" x14ac:dyDescent="0.25">
      <c r="A2222" s="4" t="s">
        <v>522</v>
      </c>
      <c r="B2222" s="5" t="s">
        <v>578</v>
      </c>
      <c r="C2222" s="5">
        <v>0</v>
      </c>
      <c r="D2222">
        <f t="shared" si="34"/>
        <v>104</v>
      </c>
      <c r="G2222" s="1"/>
    </row>
    <row r="2223" spans="1:7" x14ac:dyDescent="0.25">
      <c r="A2223" s="3" t="s">
        <v>522</v>
      </c>
      <c r="B2223" s="6" t="s">
        <v>579</v>
      </c>
      <c r="C2223" s="6">
        <v>0</v>
      </c>
      <c r="D2223">
        <f t="shared" si="34"/>
        <v>104</v>
      </c>
      <c r="G2223" s="1"/>
    </row>
    <row r="2224" spans="1:7" x14ac:dyDescent="0.25">
      <c r="A2224" s="4" t="s">
        <v>522</v>
      </c>
      <c r="B2224" s="5" t="s">
        <v>580</v>
      </c>
      <c r="C2224" s="5">
        <v>0</v>
      </c>
      <c r="D2224">
        <f t="shared" si="34"/>
        <v>104</v>
      </c>
      <c r="G2224" s="1"/>
    </row>
    <row r="2225" spans="1:7" x14ac:dyDescent="0.25">
      <c r="A2225" s="3" t="s">
        <v>522</v>
      </c>
      <c r="B2225" s="6" t="s">
        <v>581</v>
      </c>
      <c r="C2225" s="6">
        <v>0</v>
      </c>
      <c r="D2225">
        <f t="shared" si="34"/>
        <v>104</v>
      </c>
      <c r="G2225" s="1"/>
    </row>
    <row r="2226" spans="1:7" x14ac:dyDescent="0.25">
      <c r="A2226" s="4" t="s">
        <v>522</v>
      </c>
      <c r="B2226" s="5" t="s">
        <v>582</v>
      </c>
      <c r="C2226" s="5">
        <v>1</v>
      </c>
      <c r="D2226">
        <f t="shared" si="34"/>
        <v>104</v>
      </c>
      <c r="G2226" s="1"/>
    </row>
    <row r="2227" spans="1:7" x14ac:dyDescent="0.25">
      <c r="A2227" s="3" t="s">
        <v>522</v>
      </c>
      <c r="B2227" s="6" t="s">
        <v>583</v>
      </c>
      <c r="C2227" s="6">
        <v>1</v>
      </c>
      <c r="D2227">
        <f t="shared" si="34"/>
        <v>104</v>
      </c>
      <c r="G2227" s="1"/>
    </row>
    <row r="2228" spans="1:7" x14ac:dyDescent="0.25">
      <c r="A2228" s="4" t="s">
        <v>522</v>
      </c>
      <c r="B2228" s="5" t="s">
        <v>584</v>
      </c>
      <c r="C2228" s="5">
        <v>0</v>
      </c>
      <c r="D2228">
        <f t="shared" si="34"/>
        <v>104</v>
      </c>
      <c r="G2228" s="1"/>
    </row>
    <row r="2229" spans="1:7" x14ac:dyDescent="0.25">
      <c r="A2229" s="3" t="s">
        <v>522</v>
      </c>
      <c r="B2229" s="6" t="s">
        <v>585</v>
      </c>
      <c r="C2229" s="6">
        <v>0</v>
      </c>
      <c r="D2229">
        <f t="shared" si="34"/>
        <v>104</v>
      </c>
      <c r="G2229" s="1"/>
    </row>
    <row r="2230" spans="1:7" x14ac:dyDescent="0.25">
      <c r="A2230" s="4" t="s">
        <v>522</v>
      </c>
      <c r="B2230" s="5" t="s">
        <v>586</v>
      </c>
      <c r="C2230" s="5">
        <v>0</v>
      </c>
      <c r="D2230">
        <f t="shared" si="34"/>
        <v>104</v>
      </c>
      <c r="G2230" s="1"/>
    </row>
    <row r="2231" spans="1:7" x14ac:dyDescent="0.25">
      <c r="A2231" s="3" t="s">
        <v>522</v>
      </c>
      <c r="B2231" s="6" t="s">
        <v>587</v>
      </c>
      <c r="C2231" s="6">
        <v>0</v>
      </c>
      <c r="D2231">
        <f t="shared" si="34"/>
        <v>104</v>
      </c>
      <c r="G2231" s="1"/>
    </row>
    <row r="2232" spans="1:7" x14ac:dyDescent="0.25">
      <c r="A2232" s="4" t="s">
        <v>522</v>
      </c>
      <c r="B2232" s="5" t="s">
        <v>588</v>
      </c>
      <c r="C2232" s="5">
        <v>0</v>
      </c>
      <c r="D2232">
        <f t="shared" si="34"/>
        <v>104</v>
      </c>
      <c r="G2232" s="1"/>
    </row>
    <row r="2233" spans="1:7" x14ac:dyDescent="0.25">
      <c r="A2233" s="3" t="s">
        <v>522</v>
      </c>
      <c r="B2233" s="6" t="s">
        <v>589</v>
      </c>
      <c r="C2233" s="6" t="s">
        <v>246</v>
      </c>
      <c r="D2233">
        <f t="shared" si="34"/>
        <v>104</v>
      </c>
      <c r="G2233" s="1"/>
    </row>
    <row r="2234" spans="1:7" x14ac:dyDescent="0.25">
      <c r="A2234" s="4" t="s">
        <v>522</v>
      </c>
      <c r="B2234" s="5" t="s">
        <v>590</v>
      </c>
      <c r="C2234" s="5">
        <v>1</v>
      </c>
      <c r="D2234">
        <f t="shared" si="34"/>
        <v>104</v>
      </c>
      <c r="G2234" s="1"/>
    </row>
    <row r="2235" spans="1:7" x14ac:dyDescent="0.25">
      <c r="A2235" s="3" t="s">
        <v>522</v>
      </c>
      <c r="B2235" s="6" t="s">
        <v>591</v>
      </c>
      <c r="C2235" s="6" t="s">
        <v>246</v>
      </c>
      <c r="D2235">
        <f t="shared" si="34"/>
        <v>104</v>
      </c>
      <c r="G2235" s="1"/>
    </row>
    <row r="2236" spans="1:7" x14ac:dyDescent="0.25">
      <c r="A2236" s="4" t="s">
        <v>522</v>
      </c>
      <c r="B2236" s="5" t="s">
        <v>592</v>
      </c>
      <c r="C2236" s="5">
        <v>0</v>
      </c>
      <c r="D2236">
        <f t="shared" si="34"/>
        <v>104</v>
      </c>
      <c r="G2236" s="1"/>
    </row>
    <row r="2237" spans="1:7" x14ac:dyDescent="0.25">
      <c r="A2237" s="3" t="s">
        <v>522</v>
      </c>
      <c r="B2237" s="6" t="s">
        <v>593</v>
      </c>
      <c r="C2237" s="6">
        <v>0</v>
      </c>
      <c r="D2237">
        <f t="shared" si="34"/>
        <v>104</v>
      </c>
      <c r="G2237" s="1"/>
    </row>
    <row r="2238" spans="1:7" x14ac:dyDescent="0.25">
      <c r="A2238" s="4" t="s">
        <v>523</v>
      </c>
      <c r="B2238" s="5" t="s">
        <v>574</v>
      </c>
      <c r="C2238" s="5">
        <v>0</v>
      </c>
      <c r="D2238">
        <f t="shared" si="34"/>
        <v>105</v>
      </c>
      <c r="G2238" s="1"/>
    </row>
    <row r="2239" spans="1:7" x14ac:dyDescent="0.25">
      <c r="A2239" s="3" t="s">
        <v>523</v>
      </c>
      <c r="B2239" s="6" t="s">
        <v>575</v>
      </c>
      <c r="C2239" s="6">
        <v>0</v>
      </c>
      <c r="D2239">
        <f t="shared" si="34"/>
        <v>105</v>
      </c>
      <c r="G2239" s="1"/>
    </row>
    <row r="2240" spans="1:7" x14ac:dyDescent="0.25">
      <c r="A2240" s="4" t="s">
        <v>523</v>
      </c>
      <c r="B2240" s="5" t="s">
        <v>576</v>
      </c>
      <c r="C2240" s="5">
        <v>0</v>
      </c>
      <c r="D2240">
        <f t="shared" si="34"/>
        <v>105</v>
      </c>
      <c r="G2240" s="1"/>
    </row>
    <row r="2241" spans="1:7" x14ac:dyDescent="0.25">
      <c r="A2241" s="3" t="s">
        <v>523</v>
      </c>
      <c r="B2241" s="6" t="s">
        <v>577</v>
      </c>
      <c r="C2241" s="6">
        <v>0</v>
      </c>
      <c r="D2241">
        <f t="shared" si="34"/>
        <v>105</v>
      </c>
      <c r="G2241" s="1"/>
    </row>
    <row r="2242" spans="1:7" x14ac:dyDescent="0.25">
      <c r="A2242" s="4" t="s">
        <v>523</v>
      </c>
      <c r="B2242" s="5" t="s">
        <v>578</v>
      </c>
      <c r="C2242" s="5">
        <v>0</v>
      </c>
      <c r="D2242">
        <f t="shared" si="34"/>
        <v>105</v>
      </c>
      <c r="G2242" s="1"/>
    </row>
    <row r="2243" spans="1:7" x14ac:dyDescent="0.25">
      <c r="A2243" s="3" t="s">
        <v>523</v>
      </c>
      <c r="B2243" s="6" t="s">
        <v>579</v>
      </c>
      <c r="C2243" s="6">
        <v>0</v>
      </c>
      <c r="D2243">
        <f t="shared" si="34"/>
        <v>105</v>
      </c>
      <c r="G2243" s="1"/>
    </row>
    <row r="2244" spans="1:7" x14ac:dyDescent="0.25">
      <c r="A2244" s="4" t="s">
        <v>523</v>
      </c>
      <c r="B2244" s="5" t="s">
        <v>580</v>
      </c>
      <c r="C2244" s="5">
        <v>0</v>
      </c>
      <c r="D2244">
        <f t="shared" ref="D2244:D2307" si="35">IF(B2244="CCM", D2243+1, D2243)</f>
        <v>105</v>
      </c>
      <c r="G2244" s="1"/>
    </row>
    <row r="2245" spans="1:7" x14ac:dyDescent="0.25">
      <c r="A2245" s="3" t="s">
        <v>523</v>
      </c>
      <c r="B2245" s="6" t="s">
        <v>581</v>
      </c>
      <c r="C2245" s="6">
        <v>0</v>
      </c>
      <c r="D2245">
        <f t="shared" si="35"/>
        <v>105</v>
      </c>
      <c r="G2245" s="1"/>
    </row>
    <row r="2246" spans="1:7" x14ac:dyDescent="0.25">
      <c r="A2246" s="4" t="s">
        <v>523</v>
      </c>
      <c r="B2246" s="5" t="s">
        <v>582</v>
      </c>
      <c r="C2246" s="5">
        <v>1</v>
      </c>
      <c r="D2246">
        <f t="shared" si="35"/>
        <v>105</v>
      </c>
      <c r="G2246" s="1"/>
    </row>
    <row r="2247" spans="1:7" x14ac:dyDescent="0.25">
      <c r="A2247" s="3" t="s">
        <v>523</v>
      </c>
      <c r="B2247" s="6" t="s">
        <v>583</v>
      </c>
      <c r="C2247" s="6">
        <v>1</v>
      </c>
      <c r="D2247">
        <f t="shared" si="35"/>
        <v>105</v>
      </c>
      <c r="G2247" s="1"/>
    </row>
    <row r="2248" spans="1:7" x14ac:dyDescent="0.25">
      <c r="A2248" s="4" t="s">
        <v>523</v>
      </c>
      <c r="B2248" s="5" t="s">
        <v>584</v>
      </c>
      <c r="C2248" s="5">
        <v>0</v>
      </c>
      <c r="D2248">
        <f t="shared" si="35"/>
        <v>105</v>
      </c>
      <c r="G2248" s="1"/>
    </row>
    <row r="2249" spans="1:7" x14ac:dyDescent="0.25">
      <c r="A2249" s="3" t="s">
        <v>523</v>
      </c>
      <c r="B2249" s="6" t="s">
        <v>585</v>
      </c>
      <c r="C2249" s="6">
        <v>0</v>
      </c>
      <c r="D2249">
        <f t="shared" si="35"/>
        <v>105</v>
      </c>
      <c r="G2249" s="1"/>
    </row>
    <row r="2250" spans="1:7" x14ac:dyDescent="0.25">
      <c r="A2250" s="4" t="s">
        <v>523</v>
      </c>
      <c r="B2250" s="5" t="s">
        <v>586</v>
      </c>
      <c r="C2250" s="5">
        <v>0</v>
      </c>
      <c r="D2250">
        <f t="shared" si="35"/>
        <v>105</v>
      </c>
      <c r="G2250" s="1"/>
    </row>
    <row r="2251" spans="1:7" x14ac:dyDescent="0.25">
      <c r="A2251" s="3" t="s">
        <v>523</v>
      </c>
      <c r="B2251" s="6" t="s">
        <v>587</v>
      </c>
      <c r="C2251" s="6">
        <v>0</v>
      </c>
      <c r="D2251">
        <f t="shared" si="35"/>
        <v>105</v>
      </c>
      <c r="G2251" s="1"/>
    </row>
    <row r="2252" spans="1:7" x14ac:dyDescent="0.25">
      <c r="A2252" s="4" t="s">
        <v>523</v>
      </c>
      <c r="B2252" s="5" t="s">
        <v>588</v>
      </c>
      <c r="C2252" s="5">
        <v>0</v>
      </c>
      <c r="D2252">
        <f t="shared" si="35"/>
        <v>105</v>
      </c>
      <c r="G2252" s="1"/>
    </row>
    <row r="2253" spans="1:7" x14ac:dyDescent="0.25">
      <c r="A2253" s="3" t="s">
        <v>523</v>
      </c>
      <c r="B2253" s="6" t="s">
        <v>589</v>
      </c>
      <c r="C2253" s="6" t="s">
        <v>246</v>
      </c>
      <c r="D2253">
        <f t="shared" si="35"/>
        <v>105</v>
      </c>
      <c r="G2253" s="1"/>
    </row>
    <row r="2254" spans="1:7" x14ac:dyDescent="0.25">
      <c r="A2254" s="4" t="s">
        <v>523</v>
      </c>
      <c r="B2254" s="5" t="s">
        <v>590</v>
      </c>
      <c r="C2254" s="5">
        <v>1</v>
      </c>
      <c r="D2254">
        <f t="shared" si="35"/>
        <v>105</v>
      </c>
      <c r="G2254" s="1"/>
    </row>
    <row r="2255" spans="1:7" x14ac:dyDescent="0.25">
      <c r="A2255" s="3" t="s">
        <v>523</v>
      </c>
      <c r="B2255" s="6" t="s">
        <v>591</v>
      </c>
      <c r="C2255" s="6" t="s">
        <v>246</v>
      </c>
      <c r="D2255">
        <f t="shared" si="35"/>
        <v>105</v>
      </c>
      <c r="G2255" s="1"/>
    </row>
    <row r="2256" spans="1:7" x14ac:dyDescent="0.25">
      <c r="A2256" s="4" t="s">
        <v>523</v>
      </c>
      <c r="B2256" s="5" t="s">
        <v>592</v>
      </c>
      <c r="C2256" s="5">
        <v>0</v>
      </c>
      <c r="D2256">
        <f t="shared" si="35"/>
        <v>105</v>
      </c>
      <c r="G2256" s="1"/>
    </row>
    <row r="2257" spans="1:7" x14ac:dyDescent="0.25">
      <c r="A2257" s="3" t="s">
        <v>523</v>
      </c>
      <c r="B2257" s="6" t="s">
        <v>593</v>
      </c>
      <c r="C2257" s="6">
        <v>1</v>
      </c>
      <c r="D2257">
        <f t="shared" si="35"/>
        <v>105</v>
      </c>
      <c r="G2257" s="1"/>
    </row>
    <row r="2258" spans="1:7" x14ac:dyDescent="0.25">
      <c r="A2258" s="4" t="s">
        <v>524</v>
      </c>
      <c r="B2258" s="5" t="s">
        <v>574</v>
      </c>
      <c r="C2258" s="5">
        <v>0</v>
      </c>
      <c r="D2258">
        <f t="shared" si="35"/>
        <v>106</v>
      </c>
      <c r="G2258" s="1"/>
    </row>
    <row r="2259" spans="1:7" x14ac:dyDescent="0.25">
      <c r="A2259" s="3" t="s">
        <v>524</v>
      </c>
      <c r="B2259" s="6" t="s">
        <v>575</v>
      </c>
      <c r="C2259" s="6">
        <v>0</v>
      </c>
      <c r="D2259">
        <f t="shared" si="35"/>
        <v>106</v>
      </c>
      <c r="G2259" s="1"/>
    </row>
    <row r="2260" spans="1:7" x14ac:dyDescent="0.25">
      <c r="A2260" s="4" t="s">
        <v>524</v>
      </c>
      <c r="B2260" s="5" t="s">
        <v>576</v>
      </c>
      <c r="C2260" s="5">
        <v>0</v>
      </c>
      <c r="D2260">
        <f t="shared" si="35"/>
        <v>106</v>
      </c>
      <c r="G2260" s="1"/>
    </row>
    <row r="2261" spans="1:7" x14ac:dyDescent="0.25">
      <c r="A2261" s="3" t="s">
        <v>524</v>
      </c>
      <c r="B2261" s="6" t="s">
        <v>577</v>
      </c>
      <c r="C2261" s="6">
        <v>0</v>
      </c>
      <c r="D2261">
        <f t="shared" si="35"/>
        <v>106</v>
      </c>
      <c r="G2261" s="1"/>
    </row>
    <row r="2262" spans="1:7" x14ac:dyDescent="0.25">
      <c r="A2262" s="4" t="s">
        <v>524</v>
      </c>
      <c r="B2262" s="5" t="s">
        <v>578</v>
      </c>
      <c r="C2262" s="5">
        <v>0</v>
      </c>
      <c r="D2262">
        <f t="shared" si="35"/>
        <v>106</v>
      </c>
      <c r="G2262" s="1"/>
    </row>
    <row r="2263" spans="1:7" x14ac:dyDescent="0.25">
      <c r="A2263" s="3" t="s">
        <v>524</v>
      </c>
      <c r="B2263" s="6" t="s">
        <v>579</v>
      </c>
      <c r="C2263" s="6">
        <v>0</v>
      </c>
      <c r="D2263">
        <f t="shared" si="35"/>
        <v>106</v>
      </c>
      <c r="G2263" s="1"/>
    </row>
    <row r="2264" spans="1:7" x14ac:dyDescent="0.25">
      <c r="A2264" s="4" t="s">
        <v>524</v>
      </c>
      <c r="B2264" s="5" t="s">
        <v>580</v>
      </c>
      <c r="C2264" s="5">
        <v>0</v>
      </c>
      <c r="D2264">
        <f t="shared" si="35"/>
        <v>106</v>
      </c>
      <c r="G2264" s="1"/>
    </row>
    <row r="2265" spans="1:7" x14ac:dyDescent="0.25">
      <c r="A2265" s="3" t="s">
        <v>524</v>
      </c>
      <c r="B2265" s="6" t="s">
        <v>581</v>
      </c>
      <c r="C2265" s="6">
        <v>0</v>
      </c>
      <c r="D2265">
        <f t="shared" si="35"/>
        <v>106</v>
      </c>
      <c r="G2265" s="1"/>
    </row>
    <row r="2266" spans="1:7" x14ac:dyDescent="0.25">
      <c r="A2266" s="4" t="s">
        <v>524</v>
      </c>
      <c r="B2266" s="5" t="s">
        <v>582</v>
      </c>
      <c r="C2266" s="5">
        <v>1</v>
      </c>
      <c r="D2266">
        <f t="shared" si="35"/>
        <v>106</v>
      </c>
      <c r="G2266" s="1"/>
    </row>
    <row r="2267" spans="1:7" x14ac:dyDescent="0.25">
      <c r="A2267" s="3" t="s">
        <v>524</v>
      </c>
      <c r="B2267" s="6" t="s">
        <v>583</v>
      </c>
      <c r="C2267" s="6">
        <v>1</v>
      </c>
      <c r="D2267">
        <f t="shared" si="35"/>
        <v>106</v>
      </c>
      <c r="G2267" s="1"/>
    </row>
    <row r="2268" spans="1:7" x14ac:dyDescent="0.25">
      <c r="A2268" s="4" t="s">
        <v>524</v>
      </c>
      <c r="B2268" s="5" t="s">
        <v>584</v>
      </c>
      <c r="C2268" s="5">
        <v>0</v>
      </c>
      <c r="D2268">
        <f t="shared" si="35"/>
        <v>106</v>
      </c>
      <c r="G2268" s="1"/>
    </row>
    <row r="2269" spans="1:7" x14ac:dyDescent="0.25">
      <c r="A2269" s="3" t="s">
        <v>524</v>
      </c>
      <c r="B2269" s="6" t="s">
        <v>585</v>
      </c>
      <c r="C2269" s="6">
        <v>0</v>
      </c>
      <c r="D2269">
        <f t="shared" si="35"/>
        <v>106</v>
      </c>
      <c r="G2269" s="1"/>
    </row>
    <row r="2270" spans="1:7" x14ac:dyDescent="0.25">
      <c r="A2270" s="4" t="s">
        <v>524</v>
      </c>
      <c r="B2270" s="5" t="s">
        <v>586</v>
      </c>
      <c r="C2270" s="5">
        <v>0</v>
      </c>
      <c r="D2270">
        <f t="shared" si="35"/>
        <v>106</v>
      </c>
      <c r="G2270" s="1"/>
    </row>
    <row r="2271" spans="1:7" x14ac:dyDescent="0.25">
      <c r="A2271" s="3" t="s">
        <v>524</v>
      </c>
      <c r="B2271" s="6" t="s">
        <v>587</v>
      </c>
      <c r="C2271" s="6">
        <v>0</v>
      </c>
      <c r="D2271">
        <f t="shared" si="35"/>
        <v>106</v>
      </c>
      <c r="G2271" s="1"/>
    </row>
    <row r="2272" spans="1:7" x14ac:dyDescent="0.25">
      <c r="A2272" s="4" t="s">
        <v>524</v>
      </c>
      <c r="B2272" s="5" t="s">
        <v>588</v>
      </c>
      <c r="C2272" s="5">
        <v>0</v>
      </c>
      <c r="D2272">
        <f t="shared" si="35"/>
        <v>106</v>
      </c>
      <c r="G2272" s="1"/>
    </row>
    <row r="2273" spans="1:7" x14ac:dyDescent="0.25">
      <c r="A2273" s="3" t="s">
        <v>524</v>
      </c>
      <c r="B2273" s="6" t="s">
        <v>589</v>
      </c>
      <c r="C2273" s="6" t="s">
        <v>246</v>
      </c>
      <c r="D2273">
        <f t="shared" si="35"/>
        <v>106</v>
      </c>
      <c r="G2273" s="1"/>
    </row>
    <row r="2274" spans="1:7" x14ac:dyDescent="0.25">
      <c r="A2274" s="4" t="s">
        <v>524</v>
      </c>
      <c r="B2274" s="5" t="s">
        <v>590</v>
      </c>
      <c r="C2274" s="5">
        <v>1</v>
      </c>
      <c r="D2274">
        <f t="shared" si="35"/>
        <v>106</v>
      </c>
      <c r="G2274" s="1"/>
    </row>
    <row r="2275" spans="1:7" x14ac:dyDescent="0.25">
      <c r="A2275" s="3" t="s">
        <v>524</v>
      </c>
      <c r="B2275" s="6" t="s">
        <v>591</v>
      </c>
      <c r="C2275" s="6" t="s">
        <v>246</v>
      </c>
      <c r="D2275">
        <f t="shared" si="35"/>
        <v>106</v>
      </c>
      <c r="G2275" s="1"/>
    </row>
    <row r="2276" spans="1:7" x14ac:dyDescent="0.25">
      <c r="A2276" s="4" t="s">
        <v>524</v>
      </c>
      <c r="B2276" s="5" t="s">
        <v>592</v>
      </c>
      <c r="C2276" s="5">
        <v>0</v>
      </c>
      <c r="D2276">
        <f t="shared" si="35"/>
        <v>106</v>
      </c>
      <c r="G2276" s="1"/>
    </row>
    <row r="2277" spans="1:7" x14ac:dyDescent="0.25">
      <c r="A2277" s="3" t="s">
        <v>524</v>
      </c>
      <c r="B2277" s="6" t="s">
        <v>593</v>
      </c>
      <c r="C2277" s="6">
        <v>1</v>
      </c>
      <c r="D2277">
        <f t="shared" si="35"/>
        <v>106</v>
      </c>
      <c r="G2277" s="1"/>
    </row>
    <row r="2278" spans="1:7" x14ac:dyDescent="0.25">
      <c r="A2278" s="4" t="s">
        <v>487</v>
      </c>
      <c r="B2278" s="5" t="s">
        <v>574</v>
      </c>
      <c r="C2278" s="5">
        <v>11</v>
      </c>
      <c r="D2278">
        <f t="shared" si="35"/>
        <v>107</v>
      </c>
      <c r="G2278" s="1"/>
    </row>
    <row r="2279" spans="1:7" x14ac:dyDescent="0.25">
      <c r="A2279" s="3" t="s">
        <v>487</v>
      </c>
      <c r="B2279" s="6" t="s">
        <v>575</v>
      </c>
      <c r="C2279" s="6">
        <v>3</v>
      </c>
      <c r="D2279">
        <f t="shared" si="35"/>
        <v>107</v>
      </c>
      <c r="G2279" s="1"/>
    </row>
    <row r="2280" spans="1:7" x14ac:dyDescent="0.25">
      <c r="A2280" s="4" t="s">
        <v>487</v>
      </c>
      <c r="B2280" s="5" t="s">
        <v>576</v>
      </c>
      <c r="C2280" s="5">
        <v>0.8</v>
      </c>
      <c r="D2280">
        <f t="shared" si="35"/>
        <v>107</v>
      </c>
      <c r="G2280" s="1"/>
    </row>
    <row r="2281" spans="1:7" x14ac:dyDescent="0.25">
      <c r="A2281" s="3" t="s">
        <v>487</v>
      </c>
      <c r="B2281" s="6" t="s">
        <v>577</v>
      </c>
      <c r="C2281" s="6">
        <v>10</v>
      </c>
      <c r="D2281">
        <f t="shared" si="35"/>
        <v>107</v>
      </c>
      <c r="G2281" s="1"/>
    </row>
    <row r="2282" spans="1:7" x14ac:dyDescent="0.25">
      <c r="A2282" s="4" t="s">
        <v>487</v>
      </c>
      <c r="B2282" s="5" t="s">
        <v>578</v>
      </c>
      <c r="C2282" s="5">
        <v>2</v>
      </c>
      <c r="D2282">
        <f t="shared" si="35"/>
        <v>107</v>
      </c>
      <c r="G2282" s="1"/>
    </row>
    <row r="2283" spans="1:7" x14ac:dyDescent="0.25">
      <c r="A2283" s="3" t="s">
        <v>487</v>
      </c>
      <c r="B2283" s="6" t="s">
        <v>579</v>
      </c>
      <c r="C2283" s="6">
        <v>25.7727</v>
      </c>
      <c r="D2283">
        <f t="shared" si="35"/>
        <v>107</v>
      </c>
      <c r="G2283" s="1"/>
    </row>
    <row r="2284" spans="1:7" x14ac:dyDescent="0.25">
      <c r="A2284" s="4" t="s">
        <v>487</v>
      </c>
      <c r="B2284" s="5" t="s">
        <v>580</v>
      </c>
      <c r="C2284" s="5">
        <v>12878.8683</v>
      </c>
      <c r="D2284">
        <f t="shared" si="35"/>
        <v>107</v>
      </c>
      <c r="G2284" s="1"/>
    </row>
    <row r="2285" spans="1:7" x14ac:dyDescent="0.25">
      <c r="A2285" s="3" t="s">
        <v>487</v>
      </c>
      <c r="B2285" s="6" t="s">
        <v>581</v>
      </c>
      <c r="C2285" s="6">
        <v>0.18310000000000001</v>
      </c>
      <c r="D2285">
        <f t="shared" si="35"/>
        <v>107</v>
      </c>
      <c r="G2285" s="1"/>
    </row>
    <row r="2286" spans="1:7" x14ac:dyDescent="0.25">
      <c r="A2286" s="4" t="s">
        <v>487</v>
      </c>
      <c r="B2286" s="5" t="s">
        <v>582</v>
      </c>
      <c r="C2286" s="5">
        <v>89</v>
      </c>
      <c r="D2286">
        <f t="shared" si="35"/>
        <v>107</v>
      </c>
      <c r="G2286" s="1"/>
    </row>
    <row r="2287" spans="1:7" x14ac:dyDescent="0.25">
      <c r="A2287" s="3" t="s">
        <v>487</v>
      </c>
      <c r="B2287" s="6" t="s">
        <v>583</v>
      </c>
      <c r="C2287" s="6">
        <v>49</v>
      </c>
      <c r="D2287">
        <f t="shared" si="35"/>
        <v>107</v>
      </c>
      <c r="G2287" s="1"/>
    </row>
    <row r="2288" spans="1:7" x14ac:dyDescent="0.25">
      <c r="A2288" s="4" t="s">
        <v>487</v>
      </c>
      <c r="B2288" s="5" t="s">
        <v>584</v>
      </c>
      <c r="C2288" s="5">
        <v>499.70920000000001</v>
      </c>
      <c r="D2288">
        <f t="shared" si="35"/>
        <v>107</v>
      </c>
      <c r="G2288" s="1"/>
    </row>
    <row r="2289" spans="1:7" x14ac:dyDescent="0.25">
      <c r="A2289" s="3" t="s">
        <v>487</v>
      </c>
      <c r="B2289" s="6" t="s">
        <v>585</v>
      </c>
      <c r="C2289" s="6">
        <v>57</v>
      </c>
      <c r="D2289">
        <f t="shared" si="35"/>
        <v>107</v>
      </c>
      <c r="G2289" s="1"/>
    </row>
    <row r="2290" spans="1:7" x14ac:dyDescent="0.25">
      <c r="A2290" s="4" t="s">
        <v>487</v>
      </c>
      <c r="B2290" s="5" t="s">
        <v>588</v>
      </c>
      <c r="C2290" s="5">
        <v>42.482700000000001</v>
      </c>
      <c r="D2290">
        <f t="shared" si="35"/>
        <v>107</v>
      </c>
      <c r="G2290" s="1"/>
    </row>
    <row r="2291" spans="1:7" x14ac:dyDescent="0.25">
      <c r="A2291" s="3" t="s">
        <v>487</v>
      </c>
      <c r="B2291" s="6" t="s">
        <v>589</v>
      </c>
      <c r="C2291" s="6">
        <v>4</v>
      </c>
      <c r="D2291">
        <f t="shared" si="35"/>
        <v>107</v>
      </c>
      <c r="G2291" s="1"/>
    </row>
    <row r="2292" spans="1:7" x14ac:dyDescent="0.25">
      <c r="A2292" s="4" t="s">
        <v>487</v>
      </c>
      <c r="B2292" s="5" t="s">
        <v>590</v>
      </c>
      <c r="C2292" s="5">
        <v>11</v>
      </c>
      <c r="D2292">
        <f t="shared" si="35"/>
        <v>107</v>
      </c>
      <c r="G2292" s="1"/>
    </row>
    <row r="2293" spans="1:7" x14ac:dyDescent="0.25">
      <c r="A2293" s="3" t="s">
        <v>487</v>
      </c>
      <c r="B2293" s="6" t="s">
        <v>591</v>
      </c>
      <c r="C2293" s="6">
        <v>7</v>
      </c>
      <c r="D2293">
        <f t="shared" si="35"/>
        <v>107</v>
      </c>
      <c r="G2293" s="1"/>
    </row>
    <row r="2294" spans="1:7" x14ac:dyDescent="0.25">
      <c r="A2294" s="4" t="s">
        <v>525</v>
      </c>
      <c r="B2294" s="5" t="s">
        <v>574</v>
      </c>
      <c r="C2294" s="5">
        <v>0</v>
      </c>
      <c r="D2294">
        <f t="shared" si="35"/>
        <v>108</v>
      </c>
      <c r="G2294" s="1"/>
    </row>
    <row r="2295" spans="1:7" x14ac:dyDescent="0.25">
      <c r="A2295" s="3" t="s">
        <v>525</v>
      </c>
      <c r="B2295" s="6" t="s">
        <v>575</v>
      </c>
      <c r="C2295" s="6">
        <v>0</v>
      </c>
      <c r="D2295">
        <f t="shared" si="35"/>
        <v>108</v>
      </c>
      <c r="G2295" s="1"/>
    </row>
    <row r="2296" spans="1:7" x14ac:dyDescent="0.25">
      <c r="A2296" s="4" t="s">
        <v>525</v>
      </c>
      <c r="B2296" s="5" t="s">
        <v>576</v>
      </c>
      <c r="C2296" s="5">
        <v>0</v>
      </c>
      <c r="D2296">
        <f t="shared" si="35"/>
        <v>108</v>
      </c>
      <c r="G2296" s="1"/>
    </row>
    <row r="2297" spans="1:7" x14ac:dyDescent="0.25">
      <c r="A2297" s="3" t="s">
        <v>525</v>
      </c>
      <c r="B2297" s="6" t="s">
        <v>577</v>
      </c>
      <c r="C2297" s="6">
        <v>0</v>
      </c>
      <c r="D2297">
        <f t="shared" si="35"/>
        <v>108</v>
      </c>
      <c r="G2297" s="1"/>
    </row>
    <row r="2298" spans="1:7" x14ac:dyDescent="0.25">
      <c r="A2298" s="4" t="s">
        <v>525</v>
      </c>
      <c r="B2298" s="5" t="s">
        <v>578</v>
      </c>
      <c r="C2298" s="5">
        <v>0</v>
      </c>
      <c r="D2298">
        <f t="shared" si="35"/>
        <v>108</v>
      </c>
      <c r="G2298" s="1"/>
    </row>
    <row r="2299" spans="1:7" x14ac:dyDescent="0.25">
      <c r="A2299" s="3" t="s">
        <v>525</v>
      </c>
      <c r="B2299" s="6" t="s">
        <v>579</v>
      </c>
      <c r="C2299" s="6">
        <v>1.5</v>
      </c>
      <c r="D2299">
        <f t="shared" si="35"/>
        <v>108</v>
      </c>
      <c r="G2299" s="1"/>
    </row>
    <row r="2300" spans="1:7" x14ac:dyDescent="0.25">
      <c r="A2300" s="4" t="s">
        <v>525</v>
      </c>
      <c r="B2300" s="5" t="s">
        <v>580</v>
      </c>
      <c r="C2300" s="5">
        <v>52.303800000000003</v>
      </c>
      <c r="D2300">
        <f t="shared" si="35"/>
        <v>108</v>
      </c>
      <c r="G2300" s="1"/>
    </row>
    <row r="2301" spans="1:7" x14ac:dyDescent="0.25">
      <c r="A2301" s="3" t="s">
        <v>525</v>
      </c>
      <c r="B2301" s="6" t="s">
        <v>581</v>
      </c>
      <c r="C2301" s="6">
        <v>4.7000000000000002E-3</v>
      </c>
      <c r="D2301">
        <f t="shared" si="35"/>
        <v>108</v>
      </c>
      <c r="G2301" s="1"/>
    </row>
    <row r="2302" spans="1:7" x14ac:dyDescent="0.25">
      <c r="A2302" s="4" t="s">
        <v>525</v>
      </c>
      <c r="B2302" s="5" t="s">
        <v>582</v>
      </c>
      <c r="C2302" s="5">
        <v>11</v>
      </c>
      <c r="D2302">
        <f t="shared" si="35"/>
        <v>108</v>
      </c>
      <c r="G2302" s="1"/>
    </row>
    <row r="2303" spans="1:7" x14ac:dyDescent="0.25">
      <c r="A2303" s="3" t="s">
        <v>525</v>
      </c>
      <c r="B2303" s="6" t="s">
        <v>583</v>
      </c>
      <c r="C2303" s="6">
        <v>9</v>
      </c>
      <c r="D2303">
        <f t="shared" si="35"/>
        <v>108</v>
      </c>
      <c r="G2303" s="1"/>
    </row>
    <row r="2304" spans="1:7" x14ac:dyDescent="0.25">
      <c r="A2304" s="4" t="s">
        <v>525</v>
      </c>
      <c r="B2304" s="5" t="s">
        <v>584</v>
      </c>
      <c r="C2304" s="5">
        <v>34.869199999999999</v>
      </c>
      <c r="D2304">
        <f t="shared" si="35"/>
        <v>108</v>
      </c>
      <c r="G2304" s="1"/>
    </row>
    <row r="2305" spans="1:7" x14ac:dyDescent="0.25">
      <c r="A2305" s="3" t="s">
        <v>525</v>
      </c>
      <c r="B2305" s="6" t="s">
        <v>585</v>
      </c>
      <c r="C2305" s="6">
        <v>6</v>
      </c>
      <c r="D2305">
        <f t="shared" si="35"/>
        <v>108</v>
      </c>
      <c r="G2305" s="1"/>
    </row>
    <row r="2306" spans="1:7" x14ac:dyDescent="0.25">
      <c r="A2306" s="4" t="s">
        <v>525</v>
      </c>
      <c r="B2306" s="5" t="s">
        <v>586</v>
      </c>
      <c r="C2306" s="5">
        <v>1</v>
      </c>
      <c r="D2306">
        <f t="shared" si="35"/>
        <v>108</v>
      </c>
      <c r="G2306" s="1"/>
    </row>
    <row r="2307" spans="1:7" x14ac:dyDescent="0.25">
      <c r="A2307" s="3" t="s">
        <v>525</v>
      </c>
      <c r="B2307" s="6" t="s">
        <v>587</v>
      </c>
      <c r="C2307" s="6">
        <v>0</v>
      </c>
      <c r="D2307">
        <f t="shared" si="35"/>
        <v>108</v>
      </c>
      <c r="G2307" s="1"/>
    </row>
    <row r="2308" spans="1:7" x14ac:dyDescent="0.25">
      <c r="A2308" s="4" t="s">
        <v>525</v>
      </c>
      <c r="B2308" s="5" t="s">
        <v>588</v>
      </c>
      <c r="C2308" s="5">
        <v>72.302000000000007</v>
      </c>
      <c r="D2308">
        <f t="shared" ref="D2308:D2371" si="36">IF(B2308="CCM", D2307+1, D2307)</f>
        <v>108</v>
      </c>
      <c r="G2308" s="1"/>
    </row>
    <row r="2309" spans="1:7" x14ac:dyDescent="0.25">
      <c r="A2309" s="3" t="s">
        <v>525</v>
      </c>
      <c r="B2309" s="6" t="s">
        <v>589</v>
      </c>
      <c r="C2309" s="6">
        <v>0</v>
      </c>
      <c r="D2309">
        <f t="shared" si="36"/>
        <v>108</v>
      </c>
      <c r="G2309" s="1"/>
    </row>
    <row r="2310" spans="1:7" x14ac:dyDescent="0.25">
      <c r="A2310" s="4" t="s">
        <v>525</v>
      </c>
      <c r="B2310" s="5" t="s">
        <v>590</v>
      </c>
      <c r="C2310" s="5">
        <v>1</v>
      </c>
      <c r="D2310">
        <f t="shared" si="36"/>
        <v>108</v>
      </c>
      <c r="G2310" s="1"/>
    </row>
    <row r="2311" spans="1:7" x14ac:dyDescent="0.25">
      <c r="A2311" s="3" t="s">
        <v>525</v>
      </c>
      <c r="B2311" s="6" t="s">
        <v>591</v>
      </c>
      <c r="C2311" s="6">
        <v>6</v>
      </c>
      <c r="D2311">
        <f t="shared" si="36"/>
        <v>108</v>
      </c>
      <c r="G2311" s="1"/>
    </row>
    <row r="2312" spans="1:7" x14ac:dyDescent="0.25">
      <c r="A2312" s="4" t="s">
        <v>525</v>
      </c>
      <c r="B2312" s="5" t="s">
        <v>592</v>
      </c>
      <c r="C2312" s="5">
        <v>0</v>
      </c>
      <c r="D2312">
        <f t="shared" si="36"/>
        <v>108</v>
      </c>
      <c r="G2312" s="1"/>
    </row>
    <row r="2313" spans="1:7" x14ac:dyDescent="0.25">
      <c r="A2313" s="3" t="s">
        <v>525</v>
      </c>
      <c r="B2313" s="6" t="s">
        <v>593</v>
      </c>
      <c r="C2313" s="6">
        <v>3</v>
      </c>
      <c r="D2313">
        <f t="shared" si="36"/>
        <v>108</v>
      </c>
      <c r="G2313" s="1"/>
    </row>
    <row r="2314" spans="1:7" x14ac:dyDescent="0.25">
      <c r="A2314" s="4" t="s">
        <v>491</v>
      </c>
      <c r="B2314" s="5" t="s">
        <v>579</v>
      </c>
      <c r="C2314" s="5">
        <v>2</v>
      </c>
      <c r="D2314">
        <f t="shared" si="36"/>
        <v>108</v>
      </c>
      <c r="G2314" s="1"/>
    </row>
    <row r="2315" spans="1:7" x14ac:dyDescent="0.25">
      <c r="A2315" s="3" t="s">
        <v>491</v>
      </c>
      <c r="B2315" s="6" t="s">
        <v>580</v>
      </c>
      <c r="C2315" s="6">
        <v>23.2193</v>
      </c>
      <c r="D2315">
        <f t="shared" si="36"/>
        <v>108</v>
      </c>
      <c r="G2315" s="1"/>
    </row>
    <row r="2316" spans="1:7" x14ac:dyDescent="0.25">
      <c r="A2316" s="4" t="s">
        <v>491</v>
      </c>
      <c r="B2316" s="5" t="s">
        <v>581</v>
      </c>
      <c r="C2316" s="5">
        <v>2.7000000000000001E-3</v>
      </c>
      <c r="D2316">
        <f t="shared" si="36"/>
        <v>108</v>
      </c>
      <c r="G2316" s="1"/>
    </row>
    <row r="2317" spans="1:7" x14ac:dyDescent="0.25">
      <c r="A2317" s="3" t="s">
        <v>491</v>
      </c>
      <c r="B2317" s="6" t="s">
        <v>582</v>
      </c>
      <c r="C2317" s="6">
        <v>5</v>
      </c>
      <c r="D2317">
        <f t="shared" si="36"/>
        <v>108</v>
      </c>
      <c r="G2317" s="1"/>
    </row>
    <row r="2318" spans="1:7" x14ac:dyDescent="0.25">
      <c r="A2318" s="4" t="s">
        <v>491</v>
      </c>
      <c r="B2318" s="5" t="s">
        <v>583</v>
      </c>
      <c r="C2318" s="5">
        <v>5</v>
      </c>
      <c r="D2318">
        <f t="shared" si="36"/>
        <v>108</v>
      </c>
      <c r="G2318" s="1"/>
    </row>
    <row r="2319" spans="1:7" x14ac:dyDescent="0.25">
      <c r="A2319" s="3" t="s">
        <v>491</v>
      </c>
      <c r="B2319" s="6" t="s">
        <v>584</v>
      </c>
      <c r="C2319" s="6">
        <v>11.6096</v>
      </c>
      <c r="D2319">
        <f t="shared" si="36"/>
        <v>108</v>
      </c>
      <c r="G2319" s="1"/>
    </row>
    <row r="2320" spans="1:7" x14ac:dyDescent="0.25">
      <c r="A2320" s="4" t="s">
        <v>491</v>
      </c>
      <c r="B2320" s="5" t="s">
        <v>585</v>
      </c>
      <c r="C2320" s="5">
        <v>4</v>
      </c>
      <c r="D2320">
        <f t="shared" si="36"/>
        <v>108</v>
      </c>
      <c r="G2320" s="1"/>
    </row>
    <row r="2321" spans="1:7" x14ac:dyDescent="0.25">
      <c r="A2321" s="3" t="s">
        <v>491</v>
      </c>
      <c r="B2321" s="6" t="s">
        <v>586</v>
      </c>
      <c r="C2321" s="6">
        <v>1</v>
      </c>
      <c r="D2321">
        <f t="shared" si="36"/>
        <v>108</v>
      </c>
      <c r="G2321" s="1"/>
    </row>
    <row r="2322" spans="1:7" x14ac:dyDescent="0.25">
      <c r="A2322" s="4" t="s">
        <v>491</v>
      </c>
      <c r="B2322" s="5" t="s">
        <v>587</v>
      </c>
      <c r="C2322" s="5">
        <v>0</v>
      </c>
      <c r="D2322">
        <f t="shared" si="36"/>
        <v>108</v>
      </c>
      <c r="G2322" s="1"/>
    </row>
    <row r="2323" spans="1:7" x14ac:dyDescent="0.25">
      <c r="A2323" s="3" t="s">
        <v>491</v>
      </c>
      <c r="B2323" s="6" t="s">
        <v>588</v>
      </c>
      <c r="C2323" s="6">
        <v>79.574799999999996</v>
      </c>
      <c r="D2323">
        <f t="shared" si="36"/>
        <v>108</v>
      </c>
      <c r="G2323" s="1"/>
    </row>
    <row r="2324" spans="1:7" x14ac:dyDescent="0.25">
      <c r="A2324" s="4" t="s">
        <v>491</v>
      </c>
      <c r="B2324" s="5" t="s">
        <v>589</v>
      </c>
      <c r="C2324" s="5">
        <v>0</v>
      </c>
      <c r="D2324">
        <f t="shared" si="36"/>
        <v>108</v>
      </c>
      <c r="G2324" s="1"/>
    </row>
    <row r="2325" spans="1:7" x14ac:dyDescent="0.25">
      <c r="A2325" s="3" t="s">
        <v>491</v>
      </c>
      <c r="B2325" s="6" t="s">
        <v>591</v>
      </c>
      <c r="C2325" s="6">
        <v>1</v>
      </c>
      <c r="D2325">
        <f t="shared" si="36"/>
        <v>108</v>
      </c>
      <c r="G2325" s="1"/>
    </row>
    <row r="2326" spans="1:7" x14ac:dyDescent="0.25">
      <c r="A2326" s="4" t="s">
        <v>491</v>
      </c>
      <c r="B2326" s="5" t="s">
        <v>592</v>
      </c>
      <c r="C2326" s="5">
        <v>0</v>
      </c>
      <c r="D2326">
        <f t="shared" si="36"/>
        <v>108</v>
      </c>
      <c r="G2326" s="1"/>
    </row>
    <row r="2327" spans="1:7" x14ac:dyDescent="0.25">
      <c r="A2327" s="3" t="s">
        <v>492</v>
      </c>
      <c r="B2327" s="6" t="s">
        <v>579</v>
      </c>
      <c r="C2327" s="6">
        <v>1.5</v>
      </c>
      <c r="D2327">
        <f t="shared" si="36"/>
        <v>108</v>
      </c>
      <c r="G2327" s="1"/>
    </row>
    <row r="2328" spans="1:7" x14ac:dyDescent="0.25">
      <c r="A2328" s="4" t="s">
        <v>492</v>
      </c>
      <c r="B2328" s="5" t="s">
        <v>580</v>
      </c>
      <c r="C2328" s="5">
        <v>12</v>
      </c>
      <c r="D2328">
        <f t="shared" si="36"/>
        <v>108</v>
      </c>
      <c r="G2328" s="1"/>
    </row>
    <row r="2329" spans="1:7" x14ac:dyDescent="0.25">
      <c r="A2329" s="3" t="s">
        <v>492</v>
      </c>
      <c r="B2329" s="6" t="s">
        <v>581</v>
      </c>
      <c r="C2329" s="6">
        <v>1.6999999999999999E-3</v>
      </c>
      <c r="D2329">
        <f t="shared" si="36"/>
        <v>108</v>
      </c>
      <c r="G2329" s="1"/>
    </row>
    <row r="2330" spans="1:7" x14ac:dyDescent="0.25">
      <c r="A2330" s="4" t="s">
        <v>492</v>
      </c>
      <c r="B2330" s="5" t="s">
        <v>582</v>
      </c>
      <c r="C2330" s="5">
        <v>4</v>
      </c>
      <c r="D2330">
        <f t="shared" si="36"/>
        <v>108</v>
      </c>
      <c r="G2330" s="1"/>
    </row>
    <row r="2331" spans="1:7" x14ac:dyDescent="0.25">
      <c r="A2331" s="3" t="s">
        <v>492</v>
      </c>
      <c r="B2331" s="6" t="s">
        <v>583</v>
      </c>
      <c r="C2331" s="6">
        <v>4</v>
      </c>
      <c r="D2331">
        <f t="shared" si="36"/>
        <v>108</v>
      </c>
      <c r="G2331" s="1"/>
    </row>
    <row r="2332" spans="1:7" x14ac:dyDescent="0.25">
      <c r="A2332" s="4" t="s">
        <v>492</v>
      </c>
      <c r="B2332" s="5" t="s">
        <v>584</v>
      </c>
      <c r="C2332" s="5">
        <v>8</v>
      </c>
      <c r="D2332">
        <f t="shared" si="36"/>
        <v>108</v>
      </c>
      <c r="G2332" s="1"/>
    </row>
    <row r="2333" spans="1:7" x14ac:dyDescent="0.25">
      <c r="A2333" s="3" t="s">
        <v>492</v>
      </c>
      <c r="B2333" s="6" t="s">
        <v>585</v>
      </c>
      <c r="C2333" s="6">
        <v>4</v>
      </c>
      <c r="D2333">
        <f t="shared" si="36"/>
        <v>108</v>
      </c>
      <c r="G2333" s="1"/>
    </row>
    <row r="2334" spans="1:7" x14ac:dyDescent="0.25">
      <c r="A2334" s="4" t="s">
        <v>492</v>
      </c>
      <c r="B2334" s="5" t="s">
        <v>586</v>
      </c>
      <c r="C2334" s="5">
        <v>1</v>
      </c>
      <c r="D2334">
        <f t="shared" si="36"/>
        <v>108</v>
      </c>
      <c r="G2334" s="1"/>
    </row>
    <row r="2335" spans="1:7" x14ac:dyDescent="0.25">
      <c r="A2335" s="3" t="s">
        <v>492</v>
      </c>
      <c r="B2335" s="6" t="s">
        <v>587</v>
      </c>
      <c r="C2335" s="6">
        <v>0</v>
      </c>
      <c r="D2335">
        <f t="shared" si="36"/>
        <v>108</v>
      </c>
      <c r="G2335" s="1"/>
    </row>
    <row r="2336" spans="1:7" x14ac:dyDescent="0.25">
      <c r="A2336" s="4" t="s">
        <v>492</v>
      </c>
      <c r="B2336" s="5" t="s">
        <v>588</v>
      </c>
      <c r="C2336" s="5">
        <v>80.543199999999999</v>
      </c>
      <c r="D2336">
        <f t="shared" si="36"/>
        <v>108</v>
      </c>
      <c r="G2336" s="1"/>
    </row>
    <row r="2337" spans="1:7" x14ac:dyDescent="0.25">
      <c r="A2337" s="3" t="s">
        <v>492</v>
      </c>
      <c r="B2337" s="6" t="s">
        <v>589</v>
      </c>
      <c r="C2337" s="6">
        <v>0</v>
      </c>
      <c r="D2337">
        <f t="shared" si="36"/>
        <v>108</v>
      </c>
      <c r="G2337" s="1"/>
    </row>
    <row r="2338" spans="1:7" x14ac:dyDescent="0.25">
      <c r="A2338" s="4" t="s">
        <v>492</v>
      </c>
      <c r="B2338" s="5" t="s">
        <v>591</v>
      </c>
      <c r="C2338" s="5">
        <v>1</v>
      </c>
      <c r="D2338">
        <f t="shared" si="36"/>
        <v>108</v>
      </c>
      <c r="G2338" s="1"/>
    </row>
    <row r="2339" spans="1:7" x14ac:dyDescent="0.25">
      <c r="A2339" s="3" t="s">
        <v>492</v>
      </c>
      <c r="B2339" s="6" t="s">
        <v>592</v>
      </c>
      <c r="C2339" s="6">
        <v>0</v>
      </c>
      <c r="D2339">
        <f t="shared" si="36"/>
        <v>108</v>
      </c>
      <c r="G2339" s="1"/>
    </row>
    <row r="2340" spans="1:7" x14ac:dyDescent="0.25">
      <c r="A2340" s="4" t="s">
        <v>493</v>
      </c>
      <c r="B2340" s="5" t="s">
        <v>579</v>
      </c>
      <c r="C2340" s="5">
        <v>1.5</v>
      </c>
      <c r="D2340">
        <f t="shared" si="36"/>
        <v>108</v>
      </c>
      <c r="G2340" s="1"/>
    </row>
    <row r="2341" spans="1:7" x14ac:dyDescent="0.25">
      <c r="A2341" s="3" t="s">
        <v>493</v>
      </c>
      <c r="B2341" s="6" t="s">
        <v>580</v>
      </c>
      <c r="C2341" s="6">
        <v>12</v>
      </c>
      <c r="D2341">
        <f t="shared" si="36"/>
        <v>108</v>
      </c>
      <c r="G2341" s="1"/>
    </row>
    <row r="2342" spans="1:7" x14ac:dyDescent="0.25">
      <c r="A2342" s="4" t="s">
        <v>493</v>
      </c>
      <c r="B2342" s="5" t="s">
        <v>581</v>
      </c>
      <c r="C2342" s="5">
        <v>1.6999999999999999E-3</v>
      </c>
      <c r="D2342">
        <f t="shared" si="36"/>
        <v>108</v>
      </c>
      <c r="G2342" s="1"/>
    </row>
    <row r="2343" spans="1:7" x14ac:dyDescent="0.25">
      <c r="A2343" s="3" t="s">
        <v>493</v>
      </c>
      <c r="B2343" s="6" t="s">
        <v>582</v>
      </c>
      <c r="C2343" s="6">
        <v>4</v>
      </c>
      <c r="D2343">
        <f t="shared" si="36"/>
        <v>108</v>
      </c>
      <c r="G2343" s="1"/>
    </row>
    <row r="2344" spans="1:7" x14ac:dyDescent="0.25">
      <c r="A2344" s="4" t="s">
        <v>493</v>
      </c>
      <c r="B2344" s="5" t="s">
        <v>583</v>
      </c>
      <c r="C2344" s="5">
        <v>4</v>
      </c>
      <c r="D2344">
        <f t="shared" si="36"/>
        <v>108</v>
      </c>
      <c r="G2344" s="1"/>
    </row>
    <row r="2345" spans="1:7" x14ac:dyDescent="0.25">
      <c r="A2345" s="3" t="s">
        <v>493</v>
      </c>
      <c r="B2345" s="6" t="s">
        <v>584</v>
      </c>
      <c r="C2345" s="6">
        <v>8</v>
      </c>
      <c r="D2345">
        <f t="shared" si="36"/>
        <v>108</v>
      </c>
      <c r="G2345" s="1"/>
    </row>
    <row r="2346" spans="1:7" x14ac:dyDescent="0.25">
      <c r="A2346" s="4" t="s">
        <v>493</v>
      </c>
      <c r="B2346" s="5" t="s">
        <v>585</v>
      </c>
      <c r="C2346" s="5">
        <v>4</v>
      </c>
      <c r="D2346">
        <f t="shared" si="36"/>
        <v>108</v>
      </c>
      <c r="G2346" s="1"/>
    </row>
    <row r="2347" spans="1:7" x14ac:dyDescent="0.25">
      <c r="A2347" s="3" t="s">
        <v>493</v>
      </c>
      <c r="B2347" s="6" t="s">
        <v>586</v>
      </c>
      <c r="C2347" s="6">
        <v>1</v>
      </c>
      <c r="D2347">
        <f t="shared" si="36"/>
        <v>108</v>
      </c>
      <c r="G2347" s="1"/>
    </row>
    <row r="2348" spans="1:7" x14ac:dyDescent="0.25">
      <c r="A2348" s="4" t="s">
        <v>493</v>
      </c>
      <c r="B2348" s="5" t="s">
        <v>587</v>
      </c>
      <c r="C2348" s="5">
        <v>0</v>
      </c>
      <c r="D2348">
        <f t="shared" si="36"/>
        <v>108</v>
      </c>
      <c r="G2348" s="1"/>
    </row>
    <row r="2349" spans="1:7" x14ac:dyDescent="0.25">
      <c r="A2349" s="3" t="s">
        <v>493</v>
      </c>
      <c r="B2349" s="6" t="s">
        <v>588</v>
      </c>
      <c r="C2349" s="6">
        <v>80.543199999999999</v>
      </c>
      <c r="D2349">
        <f t="shared" si="36"/>
        <v>108</v>
      </c>
      <c r="G2349" s="1"/>
    </row>
    <row r="2350" spans="1:7" x14ac:dyDescent="0.25">
      <c r="A2350" s="4" t="s">
        <v>493</v>
      </c>
      <c r="B2350" s="5" t="s">
        <v>589</v>
      </c>
      <c r="C2350" s="5">
        <v>0</v>
      </c>
      <c r="D2350">
        <f t="shared" si="36"/>
        <v>108</v>
      </c>
      <c r="G2350" s="1"/>
    </row>
    <row r="2351" spans="1:7" x14ac:dyDescent="0.25">
      <c r="A2351" s="3" t="s">
        <v>493</v>
      </c>
      <c r="B2351" s="6" t="s">
        <v>591</v>
      </c>
      <c r="C2351" s="6">
        <v>1</v>
      </c>
      <c r="D2351">
        <f t="shared" si="36"/>
        <v>108</v>
      </c>
      <c r="G2351" s="1"/>
    </row>
    <row r="2352" spans="1:7" x14ac:dyDescent="0.25">
      <c r="A2352" s="4" t="s">
        <v>493</v>
      </c>
      <c r="B2352" s="5" t="s">
        <v>592</v>
      </c>
      <c r="C2352" s="5">
        <v>0</v>
      </c>
      <c r="D2352">
        <f t="shared" si="36"/>
        <v>108</v>
      </c>
      <c r="G2352" s="1"/>
    </row>
    <row r="2353" spans="1:7" x14ac:dyDescent="0.25">
      <c r="A2353" s="3" t="s">
        <v>494</v>
      </c>
      <c r="B2353" s="6" t="s">
        <v>574</v>
      </c>
      <c r="C2353" s="6">
        <v>39</v>
      </c>
      <c r="D2353">
        <f t="shared" si="36"/>
        <v>109</v>
      </c>
      <c r="G2353" s="1"/>
    </row>
    <row r="2354" spans="1:7" x14ac:dyDescent="0.25">
      <c r="A2354" s="4" t="s">
        <v>494</v>
      </c>
      <c r="B2354" s="5" t="s">
        <v>575</v>
      </c>
      <c r="C2354" s="5">
        <v>4</v>
      </c>
      <c r="D2354">
        <f t="shared" si="36"/>
        <v>109</v>
      </c>
      <c r="G2354" s="1"/>
    </row>
    <row r="2355" spans="1:7" x14ac:dyDescent="0.25">
      <c r="A2355" s="3" t="s">
        <v>494</v>
      </c>
      <c r="B2355" s="6" t="s">
        <v>576</v>
      </c>
      <c r="C2355" s="6">
        <v>0.45450000000000002</v>
      </c>
      <c r="D2355">
        <f t="shared" si="36"/>
        <v>109</v>
      </c>
      <c r="G2355" s="1"/>
    </row>
    <row r="2356" spans="1:7" x14ac:dyDescent="0.25">
      <c r="A2356" s="4" t="s">
        <v>494</v>
      </c>
      <c r="B2356" s="5" t="s">
        <v>577</v>
      </c>
      <c r="C2356" s="5">
        <v>22</v>
      </c>
      <c r="D2356">
        <f t="shared" si="36"/>
        <v>109</v>
      </c>
      <c r="G2356" s="1"/>
    </row>
    <row r="2357" spans="1:7" x14ac:dyDescent="0.25">
      <c r="A2357" s="3" t="s">
        <v>494</v>
      </c>
      <c r="B2357" s="6" t="s">
        <v>578</v>
      </c>
      <c r="C2357" s="6">
        <v>5</v>
      </c>
      <c r="D2357">
        <f t="shared" si="36"/>
        <v>109</v>
      </c>
      <c r="G2357" s="1"/>
    </row>
    <row r="2358" spans="1:7" x14ac:dyDescent="0.25">
      <c r="A2358" s="4" t="s">
        <v>494</v>
      </c>
      <c r="B2358" s="5" t="s">
        <v>579</v>
      </c>
      <c r="C2358" s="5">
        <v>75.836399999999998</v>
      </c>
      <c r="D2358">
        <f t="shared" si="36"/>
        <v>109</v>
      </c>
      <c r="G2358" s="1"/>
    </row>
    <row r="2359" spans="1:7" x14ac:dyDescent="0.25">
      <c r="A2359" s="3" t="s">
        <v>494</v>
      </c>
      <c r="B2359" s="6" t="s">
        <v>580</v>
      </c>
      <c r="C2359" s="6">
        <v>184601.87909999999</v>
      </c>
      <c r="D2359">
        <f t="shared" si="36"/>
        <v>109</v>
      </c>
      <c r="G2359" s="1"/>
    </row>
    <row r="2360" spans="1:7" x14ac:dyDescent="0.25">
      <c r="A2360" s="4" t="s">
        <v>494</v>
      </c>
      <c r="B2360" s="5" t="s">
        <v>581</v>
      </c>
      <c r="C2360" s="5">
        <v>1.0807</v>
      </c>
      <c r="D2360">
        <f t="shared" si="36"/>
        <v>109</v>
      </c>
      <c r="G2360" s="1"/>
    </row>
    <row r="2361" spans="1:7" x14ac:dyDescent="0.25">
      <c r="A2361" s="3" t="s">
        <v>494</v>
      </c>
      <c r="B2361" s="6" t="s">
        <v>582</v>
      </c>
      <c r="C2361" s="6">
        <v>368</v>
      </c>
      <c r="D2361">
        <f t="shared" si="36"/>
        <v>109</v>
      </c>
      <c r="G2361" s="1"/>
    </row>
    <row r="2362" spans="1:7" x14ac:dyDescent="0.25">
      <c r="A2362" s="4" t="s">
        <v>494</v>
      </c>
      <c r="B2362" s="5" t="s">
        <v>583</v>
      </c>
      <c r="C2362" s="5">
        <v>98</v>
      </c>
      <c r="D2362">
        <f t="shared" si="36"/>
        <v>109</v>
      </c>
      <c r="G2362" s="1"/>
    </row>
    <row r="2363" spans="1:7" x14ac:dyDescent="0.25">
      <c r="A2363" s="3" t="s">
        <v>494</v>
      </c>
      <c r="B2363" s="6" t="s">
        <v>584</v>
      </c>
      <c r="C2363" s="6">
        <v>2434.2132000000001</v>
      </c>
      <c r="D2363">
        <f t="shared" si="36"/>
        <v>109</v>
      </c>
      <c r="G2363" s="1"/>
    </row>
    <row r="2364" spans="1:7" x14ac:dyDescent="0.25">
      <c r="A2364" s="4" t="s">
        <v>494</v>
      </c>
      <c r="B2364" s="5" t="s">
        <v>585</v>
      </c>
      <c r="C2364" s="5">
        <v>130</v>
      </c>
      <c r="D2364">
        <f t="shared" si="36"/>
        <v>109</v>
      </c>
      <c r="G2364" s="1"/>
    </row>
    <row r="2365" spans="1:7" x14ac:dyDescent="0.25">
      <c r="A2365" s="3" t="s">
        <v>494</v>
      </c>
      <c r="B2365" s="6" t="s">
        <v>586</v>
      </c>
      <c r="C2365" s="6">
        <v>0.2</v>
      </c>
      <c r="D2365">
        <f t="shared" si="36"/>
        <v>109</v>
      </c>
      <c r="G2365" s="1"/>
    </row>
    <row r="2366" spans="1:7" x14ac:dyDescent="0.25">
      <c r="A2366" s="4" t="s">
        <v>494</v>
      </c>
      <c r="B2366" s="5" t="s">
        <v>588</v>
      </c>
      <c r="C2366" s="5">
        <v>29.689800000000002</v>
      </c>
      <c r="D2366">
        <f t="shared" si="36"/>
        <v>109</v>
      </c>
      <c r="G2366" s="1"/>
    </row>
    <row r="2367" spans="1:7" x14ac:dyDescent="0.25">
      <c r="A2367" s="3" t="s">
        <v>494</v>
      </c>
      <c r="B2367" s="6" t="s">
        <v>589</v>
      </c>
      <c r="C2367" s="6">
        <v>5</v>
      </c>
      <c r="D2367">
        <f t="shared" si="36"/>
        <v>109</v>
      </c>
      <c r="G2367" s="1"/>
    </row>
    <row r="2368" spans="1:7" x14ac:dyDescent="0.25">
      <c r="A2368" s="4" t="s">
        <v>494</v>
      </c>
      <c r="B2368" s="5" t="s">
        <v>590</v>
      </c>
      <c r="C2368" s="5">
        <v>37</v>
      </c>
      <c r="D2368">
        <f t="shared" si="36"/>
        <v>109</v>
      </c>
      <c r="G2368" s="1"/>
    </row>
    <row r="2369" spans="1:7" x14ac:dyDescent="0.25">
      <c r="A2369" s="3" t="s">
        <v>494</v>
      </c>
      <c r="B2369" s="6" t="s">
        <v>591</v>
      </c>
      <c r="C2369" s="6">
        <v>31</v>
      </c>
      <c r="D2369">
        <f t="shared" si="36"/>
        <v>109</v>
      </c>
      <c r="G2369" s="1"/>
    </row>
    <row r="2370" spans="1:7" x14ac:dyDescent="0.25">
      <c r="A2370" s="4" t="s">
        <v>494</v>
      </c>
      <c r="B2370" s="5" t="s">
        <v>592</v>
      </c>
      <c r="C2370" s="5">
        <v>5</v>
      </c>
      <c r="D2370">
        <f t="shared" si="36"/>
        <v>109</v>
      </c>
      <c r="G2370" s="1"/>
    </row>
    <row r="2371" spans="1:7" x14ac:dyDescent="0.25">
      <c r="A2371" s="3" t="s">
        <v>435</v>
      </c>
      <c r="B2371" s="6" t="s">
        <v>576</v>
      </c>
      <c r="C2371" s="6">
        <v>1</v>
      </c>
      <c r="D2371">
        <f t="shared" si="36"/>
        <v>109</v>
      </c>
      <c r="G2371" s="1"/>
    </row>
    <row r="2372" spans="1:7" x14ac:dyDescent="0.25">
      <c r="A2372" s="4" t="s">
        <v>435</v>
      </c>
      <c r="B2372" s="5" t="s">
        <v>577</v>
      </c>
      <c r="C2372" s="5">
        <v>1</v>
      </c>
      <c r="D2372">
        <f t="shared" ref="D2372:D2435" si="37">IF(B2372="CCM", D2371+1, D2371)</f>
        <v>109</v>
      </c>
      <c r="G2372" s="1"/>
    </row>
    <row r="2373" spans="1:7" x14ac:dyDescent="0.25">
      <c r="A2373" s="3" t="s">
        <v>435</v>
      </c>
      <c r="B2373" s="6" t="s">
        <v>580</v>
      </c>
      <c r="C2373" s="6">
        <v>62.269799999999996</v>
      </c>
      <c r="D2373">
        <f t="shared" si="37"/>
        <v>109</v>
      </c>
      <c r="G2373" s="1"/>
    </row>
    <row r="2374" spans="1:7" x14ac:dyDescent="0.25">
      <c r="A2374" s="4" t="s">
        <v>435</v>
      </c>
      <c r="B2374" s="5" t="s">
        <v>581</v>
      </c>
      <c r="C2374" s="5">
        <v>5.1999999999999998E-3</v>
      </c>
      <c r="D2374">
        <f t="shared" si="37"/>
        <v>109</v>
      </c>
      <c r="G2374" s="1"/>
    </row>
    <row r="2375" spans="1:7" x14ac:dyDescent="0.25">
      <c r="A2375" s="3" t="s">
        <v>435</v>
      </c>
      <c r="B2375" s="6" t="s">
        <v>582</v>
      </c>
      <c r="C2375" s="6">
        <v>12</v>
      </c>
      <c r="D2375">
        <f t="shared" si="37"/>
        <v>109</v>
      </c>
      <c r="G2375" s="1"/>
    </row>
    <row r="2376" spans="1:7" x14ac:dyDescent="0.25">
      <c r="A2376" s="4" t="s">
        <v>435</v>
      </c>
      <c r="B2376" s="5" t="s">
        <v>583</v>
      </c>
      <c r="C2376" s="5">
        <v>11</v>
      </c>
      <c r="D2376">
        <f t="shared" si="37"/>
        <v>109</v>
      </c>
      <c r="G2376" s="1"/>
    </row>
    <row r="2377" spans="1:7" x14ac:dyDescent="0.25">
      <c r="A2377" s="3" t="s">
        <v>435</v>
      </c>
      <c r="B2377" s="6" t="s">
        <v>584</v>
      </c>
      <c r="C2377" s="6">
        <v>41.513199999999998</v>
      </c>
      <c r="D2377">
        <f t="shared" si="37"/>
        <v>109</v>
      </c>
      <c r="G2377" s="1"/>
    </row>
    <row r="2378" spans="1:7" x14ac:dyDescent="0.25">
      <c r="A2378" s="4" t="s">
        <v>435</v>
      </c>
      <c r="B2378" s="5" t="s">
        <v>585</v>
      </c>
      <c r="C2378" s="5">
        <v>8</v>
      </c>
      <c r="D2378">
        <f t="shared" si="37"/>
        <v>109</v>
      </c>
      <c r="G2378" s="1"/>
    </row>
    <row r="2379" spans="1:7" x14ac:dyDescent="0.25">
      <c r="A2379" s="3" t="s">
        <v>435</v>
      </c>
      <c r="B2379" s="6" t="s">
        <v>588</v>
      </c>
      <c r="C2379" s="6">
        <v>69.007300000000001</v>
      </c>
      <c r="D2379">
        <f t="shared" si="37"/>
        <v>109</v>
      </c>
      <c r="G2379" s="1"/>
    </row>
    <row r="2380" spans="1:7" x14ac:dyDescent="0.25">
      <c r="A2380" s="4" t="s">
        <v>435</v>
      </c>
      <c r="B2380" s="5" t="s">
        <v>591</v>
      </c>
      <c r="C2380" s="5">
        <v>3</v>
      </c>
      <c r="D2380">
        <f t="shared" si="37"/>
        <v>109</v>
      </c>
      <c r="G2380" s="1"/>
    </row>
    <row r="2381" spans="1:7" x14ac:dyDescent="0.25">
      <c r="A2381" s="3" t="s">
        <v>526</v>
      </c>
      <c r="B2381" s="6" t="s">
        <v>574</v>
      </c>
      <c r="C2381" s="6">
        <v>0</v>
      </c>
      <c r="D2381">
        <f t="shared" si="37"/>
        <v>110</v>
      </c>
      <c r="G2381" s="1"/>
    </row>
    <row r="2382" spans="1:7" x14ac:dyDescent="0.25">
      <c r="A2382" s="4" t="s">
        <v>526</v>
      </c>
      <c r="B2382" s="5" t="s">
        <v>575</v>
      </c>
      <c r="C2382" s="5">
        <v>0</v>
      </c>
      <c r="D2382">
        <f t="shared" si="37"/>
        <v>110</v>
      </c>
      <c r="G2382" s="1"/>
    </row>
    <row r="2383" spans="1:7" x14ac:dyDescent="0.25">
      <c r="A2383" s="3" t="s">
        <v>526</v>
      </c>
      <c r="B2383" s="6" t="s">
        <v>576</v>
      </c>
      <c r="C2383" s="6">
        <v>1</v>
      </c>
      <c r="D2383">
        <f t="shared" si="37"/>
        <v>110</v>
      </c>
      <c r="G2383" s="1"/>
    </row>
    <row r="2384" spans="1:7" x14ac:dyDescent="0.25">
      <c r="A2384" s="4" t="s">
        <v>526</v>
      </c>
      <c r="B2384" s="5" t="s">
        <v>577</v>
      </c>
      <c r="C2384" s="5">
        <v>1</v>
      </c>
      <c r="D2384">
        <f t="shared" si="37"/>
        <v>110</v>
      </c>
      <c r="G2384" s="1"/>
    </row>
    <row r="2385" spans="1:7" x14ac:dyDescent="0.25">
      <c r="A2385" s="3" t="s">
        <v>526</v>
      </c>
      <c r="B2385" s="6" t="s">
        <v>578</v>
      </c>
      <c r="C2385" s="6">
        <v>0</v>
      </c>
      <c r="D2385">
        <f t="shared" si="37"/>
        <v>110</v>
      </c>
      <c r="G2385" s="1"/>
    </row>
    <row r="2386" spans="1:7" x14ac:dyDescent="0.25">
      <c r="A2386" s="4" t="s">
        <v>526</v>
      </c>
      <c r="B2386" s="5" t="s">
        <v>579</v>
      </c>
      <c r="C2386" s="5">
        <v>3.3332999999999999</v>
      </c>
      <c r="D2386">
        <f t="shared" si="37"/>
        <v>110</v>
      </c>
      <c r="G2386" s="1"/>
    </row>
    <row r="2387" spans="1:7" x14ac:dyDescent="0.25">
      <c r="A2387" s="3" t="s">
        <v>526</v>
      </c>
      <c r="B2387" s="6" t="s">
        <v>580</v>
      </c>
      <c r="C2387" s="6">
        <v>260.45940000000002</v>
      </c>
      <c r="D2387">
        <f t="shared" si="37"/>
        <v>110</v>
      </c>
      <c r="G2387" s="1"/>
    </row>
    <row r="2388" spans="1:7" x14ac:dyDescent="0.25">
      <c r="A2388" s="4" t="s">
        <v>526</v>
      </c>
      <c r="B2388" s="5" t="s">
        <v>581</v>
      </c>
      <c r="C2388" s="5">
        <v>1.3599999999999999E-2</v>
      </c>
      <c r="D2388">
        <f t="shared" si="37"/>
        <v>110</v>
      </c>
      <c r="G2388" s="1"/>
    </row>
    <row r="2389" spans="1:7" x14ac:dyDescent="0.25">
      <c r="A2389" s="3" t="s">
        <v>526</v>
      </c>
      <c r="B2389" s="6" t="s">
        <v>582</v>
      </c>
      <c r="C2389" s="6">
        <v>20</v>
      </c>
      <c r="D2389">
        <f t="shared" si="37"/>
        <v>110</v>
      </c>
      <c r="G2389" s="1"/>
    </row>
    <row r="2390" spans="1:7" x14ac:dyDescent="0.25">
      <c r="A2390" s="4" t="s">
        <v>526</v>
      </c>
      <c r="B2390" s="5" t="s">
        <v>583</v>
      </c>
      <c r="C2390" s="5">
        <v>15</v>
      </c>
      <c r="D2390">
        <f t="shared" si="37"/>
        <v>110</v>
      </c>
      <c r="G2390" s="1"/>
    </row>
    <row r="2391" spans="1:7" x14ac:dyDescent="0.25">
      <c r="A2391" s="3" t="s">
        <v>526</v>
      </c>
      <c r="B2391" s="6" t="s">
        <v>584</v>
      </c>
      <c r="C2391" s="6">
        <v>78.137799999999999</v>
      </c>
      <c r="D2391">
        <f t="shared" si="37"/>
        <v>110</v>
      </c>
      <c r="G2391" s="1"/>
    </row>
    <row r="2392" spans="1:7" x14ac:dyDescent="0.25">
      <c r="A2392" s="4" t="s">
        <v>526</v>
      </c>
      <c r="B2392" s="5" t="s">
        <v>585</v>
      </c>
      <c r="C2392" s="5">
        <v>13</v>
      </c>
      <c r="D2392">
        <f t="shared" si="37"/>
        <v>110</v>
      </c>
      <c r="G2392" s="1"/>
    </row>
    <row r="2393" spans="1:7" x14ac:dyDescent="0.25">
      <c r="A2393" s="3" t="s">
        <v>526</v>
      </c>
      <c r="B2393" s="6" t="s">
        <v>586</v>
      </c>
      <c r="C2393" s="6">
        <v>1</v>
      </c>
      <c r="D2393">
        <f t="shared" si="37"/>
        <v>110</v>
      </c>
      <c r="G2393" s="1"/>
    </row>
    <row r="2394" spans="1:7" x14ac:dyDescent="0.25">
      <c r="A2394" s="4" t="s">
        <v>526</v>
      </c>
      <c r="B2394" s="5" t="s">
        <v>587</v>
      </c>
      <c r="C2394" s="5">
        <v>0</v>
      </c>
      <c r="D2394">
        <f t="shared" si="37"/>
        <v>110</v>
      </c>
      <c r="G2394" s="1"/>
    </row>
    <row r="2395" spans="1:7" x14ac:dyDescent="0.25">
      <c r="A2395" s="3" t="s">
        <v>526</v>
      </c>
      <c r="B2395" s="6" t="s">
        <v>588</v>
      </c>
      <c r="C2395" s="6">
        <v>62.451999999999998</v>
      </c>
      <c r="D2395">
        <f t="shared" si="37"/>
        <v>110</v>
      </c>
      <c r="G2395" s="1"/>
    </row>
    <row r="2396" spans="1:7" x14ac:dyDescent="0.25">
      <c r="A2396" s="4" t="s">
        <v>526</v>
      </c>
      <c r="B2396" s="5" t="s">
        <v>589</v>
      </c>
      <c r="C2396" s="5">
        <v>0</v>
      </c>
      <c r="D2396">
        <f t="shared" si="37"/>
        <v>110</v>
      </c>
      <c r="G2396" s="1"/>
    </row>
    <row r="2397" spans="1:7" x14ac:dyDescent="0.25">
      <c r="A2397" s="3" t="s">
        <v>526</v>
      </c>
      <c r="B2397" s="6" t="s">
        <v>590</v>
      </c>
      <c r="C2397" s="6">
        <v>1</v>
      </c>
      <c r="D2397">
        <f t="shared" si="37"/>
        <v>110</v>
      </c>
      <c r="G2397" s="1"/>
    </row>
    <row r="2398" spans="1:7" x14ac:dyDescent="0.25">
      <c r="A2398" s="4" t="s">
        <v>526</v>
      </c>
      <c r="B2398" s="5" t="s">
        <v>591</v>
      </c>
      <c r="C2398" s="5">
        <v>6</v>
      </c>
      <c r="D2398">
        <f t="shared" si="37"/>
        <v>110</v>
      </c>
      <c r="G2398" s="1"/>
    </row>
    <row r="2399" spans="1:7" x14ac:dyDescent="0.25">
      <c r="A2399" s="3" t="s">
        <v>526</v>
      </c>
      <c r="B2399" s="6" t="s">
        <v>592</v>
      </c>
      <c r="C2399" s="6">
        <v>0</v>
      </c>
      <c r="D2399">
        <f t="shared" si="37"/>
        <v>110</v>
      </c>
      <c r="G2399" s="1"/>
    </row>
    <row r="2400" spans="1:7" x14ac:dyDescent="0.25">
      <c r="A2400" s="4" t="s">
        <v>526</v>
      </c>
      <c r="B2400" s="5" t="s">
        <v>593</v>
      </c>
      <c r="C2400" s="5">
        <v>2</v>
      </c>
      <c r="D2400">
        <f t="shared" si="37"/>
        <v>110</v>
      </c>
      <c r="G2400" s="1"/>
    </row>
    <row r="2401" spans="1:7" x14ac:dyDescent="0.25">
      <c r="A2401" s="3" t="s">
        <v>527</v>
      </c>
      <c r="B2401" s="6" t="s">
        <v>574</v>
      </c>
      <c r="C2401" s="6">
        <v>0</v>
      </c>
      <c r="D2401">
        <f t="shared" si="37"/>
        <v>111</v>
      </c>
      <c r="G2401" s="1"/>
    </row>
    <row r="2402" spans="1:7" x14ac:dyDescent="0.25">
      <c r="A2402" s="4" t="s">
        <v>527</v>
      </c>
      <c r="B2402" s="5" t="s">
        <v>575</v>
      </c>
      <c r="C2402" s="5">
        <v>0</v>
      </c>
      <c r="D2402">
        <f t="shared" si="37"/>
        <v>111</v>
      </c>
      <c r="G2402" s="1"/>
    </row>
    <row r="2403" spans="1:7" x14ac:dyDescent="0.25">
      <c r="A2403" s="3" t="s">
        <v>527</v>
      </c>
      <c r="B2403" s="6" t="s">
        <v>576</v>
      </c>
      <c r="C2403" s="6">
        <v>0</v>
      </c>
      <c r="D2403">
        <f t="shared" si="37"/>
        <v>111</v>
      </c>
      <c r="G2403" s="1"/>
    </row>
    <row r="2404" spans="1:7" x14ac:dyDescent="0.25">
      <c r="A2404" s="4" t="s">
        <v>527</v>
      </c>
      <c r="B2404" s="5" t="s">
        <v>577</v>
      </c>
      <c r="C2404" s="5">
        <v>0</v>
      </c>
      <c r="D2404">
        <f t="shared" si="37"/>
        <v>111</v>
      </c>
      <c r="G2404" s="1"/>
    </row>
    <row r="2405" spans="1:7" x14ac:dyDescent="0.25">
      <c r="A2405" s="3" t="s">
        <v>527</v>
      </c>
      <c r="B2405" s="6" t="s">
        <v>578</v>
      </c>
      <c r="C2405" s="6">
        <v>0</v>
      </c>
      <c r="D2405">
        <f t="shared" si="37"/>
        <v>111</v>
      </c>
      <c r="G2405" s="1"/>
    </row>
    <row r="2406" spans="1:7" x14ac:dyDescent="0.25">
      <c r="A2406" s="4" t="s">
        <v>527</v>
      </c>
      <c r="B2406" s="5" t="s">
        <v>579</v>
      </c>
      <c r="C2406" s="5">
        <v>1.7142999999999999</v>
      </c>
      <c r="D2406">
        <f t="shared" si="37"/>
        <v>111</v>
      </c>
      <c r="G2406" s="1"/>
    </row>
    <row r="2407" spans="1:7" x14ac:dyDescent="0.25">
      <c r="A2407" s="3" t="s">
        <v>527</v>
      </c>
      <c r="B2407" s="6" t="s">
        <v>580</v>
      </c>
      <c r="C2407" s="6">
        <v>85.421000000000006</v>
      </c>
      <c r="D2407">
        <f t="shared" si="37"/>
        <v>111</v>
      </c>
      <c r="G2407" s="1"/>
    </row>
    <row r="2408" spans="1:7" x14ac:dyDescent="0.25">
      <c r="A2408" s="4" t="s">
        <v>527</v>
      </c>
      <c r="B2408" s="5" t="s">
        <v>581</v>
      </c>
      <c r="C2408" s="5">
        <v>6.4999999999999997E-3</v>
      </c>
      <c r="D2408">
        <f t="shared" si="37"/>
        <v>111</v>
      </c>
      <c r="G2408" s="1"/>
    </row>
    <row r="2409" spans="1:7" x14ac:dyDescent="0.25">
      <c r="A2409" s="3" t="s">
        <v>527</v>
      </c>
      <c r="B2409" s="6" t="s">
        <v>582</v>
      </c>
      <c r="C2409" s="6">
        <v>15</v>
      </c>
      <c r="D2409">
        <f t="shared" si="37"/>
        <v>111</v>
      </c>
      <c r="G2409" s="1"/>
    </row>
    <row r="2410" spans="1:7" x14ac:dyDescent="0.25">
      <c r="A2410" s="4" t="s">
        <v>527</v>
      </c>
      <c r="B2410" s="5" t="s">
        <v>583</v>
      </c>
      <c r="C2410" s="5">
        <v>10</v>
      </c>
      <c r="D2410">
        <f t="shared" si="37"/>
        <v>111</v>
      </c>
      <c r="G2410" s="1"/>
    </row>
    <row r="2411" spans="1:7" x14ac:dyDescent="0.25">
      <c r="A2411" s="3" t="s">
        <v>527</v>
      </c>
      <c r="B2411" s="6" t="s">
        <v>584</v>
      </c>
      <c r="C2411" s="6">
        <v>49.828899999999997</v>
      </c>
      <c r="D2411">
        <f t="shared" si="37"/>
        <v>111</v>
      </c>
      <c r="G2411" s="1"/>
    </row>
    <row r="2412" spans="1:7" x14ac:dyDescent="0.25">
      <c r="A2412" s="4" t="s">
        <v>527</v>
      </c>
      <c r="B2412" s="5" t="s">
        <v>585</v>
      </c>
      <c r="C2412" s="5">
        <v>13</v>
      </c>
      <c r="D2412">
        <f t="shared" si="37"/>
        <v>111</v>
      </c>
      <c r="G2412" s="1"/>
    </row>
    <row r="2413" spans="1:7" x14ac:dyDescent="0.25">
      <c r="A2413" s="3" t="s">
        <v>527</v>
      </c>
      <c r="B2413" s="6" t="s">
        <v>586</v>
      </c>
      <c r="C2413" s="6">
        <v>1</v>
      </c>
      <c r="D2413">
        <f t="shared" si="37"/>
        <v>111</v>
      </c>
      <c r="G2413" s="1"/>
    </row>
    <row r="2414" spans="1:7" x14ac:dyDescent="0.25">
      <c r="A2414" s="4" t="s">
        <v>527</v>
      </c>
      <c r="B2414" s="5" t="s">
        <v>587</v>
      </c>
      <c r="C2414" s="5">
        <v>0</v>
      </c>
      <c r="D2414">
        <f t="shared" si="37"/>
        <v>111</v>
      </c>
      <c r="G2414" s="1"/>
    </row>
    <row r="2415" spans="1:7" x14ac:dyDescent="0.25">
      <c r="A2415" s="3" t="s">
        <v>527</v>
      </c>
      <c r="B2415" s="6" t="s">
        <v>588</v>
      </c>
      <c r="C2415" s="6">
        <v>63.865699999999997</v>
      </c>
      <c r="D2415">
        <f t="shared" si="37"/>
        <v>111</v>
      </c>
      <c r="G2415" s="1"/>
    </row>
    <row r="2416" spans="1:7" x14ac:dyDescent="0.25">
      <c r="A2416" s="4" t="s">
        <v>527</v>
      </c>
      <c r="B2416" s="5" t="s">
        <v>589</v>
      </c>
      <c r="C2416" s="5">
        <v>0</v>
      </c>
      <c r="D2416">
        <f t="shared" si="37"/>
        <v>111</v>
      </c>
      <c r="G2416" s="1"/>
    </row>
    <row r="2417" spans="1:7" x14ac:dyDescent="0.25">
      <c r="A2417" s="3" t="s">
        <v>527</v>
      </c>
      <c r="B2417" s="6" t="s">
        <v>590</v>
      </c>
      <c r="C2417" s="6">
        <v>1</v>
      </c>
      <c r="D2417">
        <f t="shared" si="37"/>
        <v>111</v>
      </c>
      <c r="G2417" s="1"/>
    </row>
    <row r="2418" spans="1:7" x14ac:dyDescent="0.25">
      <c r="A2418" s="4" t="s">
        <v>527</v>
      </c>
      <c r="B2418" s="5" t="s">
        <v>591</v>
      </c>
      <c r="C2418" s="5">
        <v>6</v>
      </c>
      <c r="D2418">
        <f t="shared" si="37"/>
        <v>111</v>
      </c>
      <c r="G2418" s="1"/>
    </row>
    <row r="2419" spans="1:7" x14ac:dyDescent="0.25">
      <c r="A2419" s="3" t="s">
        <v>527</v>
      </c>
      <c r="B2419" s="6" t="s">
        <v>592</v>
      </c>
      <c r="C2419" s="6">
        <v>0</v>
      </c>
      <c r="D2419">
        <f t="shared" si="37"/>
        <v>111</v>
      </c>
      <c r="G2419" s="1"/>
    </row>
    <row r="2420" spans="1:7" x14ac:dyDescent="0.25">
      <c r="A2420" s="4" t="s">
        <v>527</v>
      </c>
      <c r="B2420" s="5" t="s">
        <v>593</v>
      </c>
      <c r="C2420" s="5">
        <v>2</v>
      </c>
      <c r="D2420">
        <f t="shared" si="37"/>
        <v>111</v>
      </c>
      <c r="G2420" s="1"/>
    </row>
    <row r="2421" spans="1:7" x14ac:dyDescent="0.25">
      <c r="A2421" s="3" t="s">
        <v>496</v>
      </c>
      <c r="B2421" s="6" t="s">
        <v>574</v>
      </c>
      <c r="C2421" s="6">
        <v>2</v>
      </c>
      <c r="D2421">
        <f t="shared" si="37"/>
        <v>112</v>
      </c>
      <c r="G2421" s="1"/>
    </row>
    <row r="2422" spans="1:7" x14ac:dyDescent="0.25">
      <c r="A2422" s="4" t="s">
        <v>496</v>
      </c>
      <c r="B2422" s="5" t="s">
        <v>575</v>
      </c>
      <c r="C2422" s="5">
        <v>1</v>
      </c>
      <c r="D2422">
        <f t="shared" si="37"/>
        <v>112</v>
      </c>
      <c r="G2422" s="1"/>
    </row>
    <row r="2423" spans="1:7" x14ac:dyDescent="0.25">
      <c r="A2423" s="3" t="s">
        <v>496</v>
      </c>
      <c r="B2423" s="6" t="s">
        <v>576</v>
      </c>
      <c r="C2423" s="6">
        <v>0.5</v>
      </c>
      <c r="D2423">
        <f t="shared" si="37"/>
        <v>112</v>
      </c>
      <c r="G2423" s="1"/>
    </row>
    <row r="2424" spans="1:7" x14ac:dyDescent="0.25">
      <c r="A2424" s="4" t="s">
        <v>496</v>
      </c>
      <c r="B2424" s="5" t="s">
        <v>577</v>
      </c>
      <c r="C2424" s="5">
        <v>1</v>
      </c>
      <c r="D2424">
        <f t="shared" si="37"/>
        <v>112</v>
      </c>
      <c r="G2424" s="1"/>
    </row>
    <row r="2425" spans="1:7" x14ac:dyDescent="0.25">
      <c r="A2425" s="3" t="s">
        <v>496</v>
      </c>
      <c r="B2425" s="6" t="s">
        <v>579</v>
      </c>
      <c r="C2425" s="6">
        <v>15</v>
      </c>
      <c r="D2425">
        <f t="shared" si="37"/>
        <v>112</v>
      </c>
      <c r="G2425" s="1"/>
    </row>
    <row r="2426" spans="1:7" x14ac:dyDescent="0.25">
      <c r="A2426" s="4" t="s">
        <v>496</v>
      </c>
      <c r="B2426" s="5" t="s">
        <v>580</v>
      </c>
      <c r="C2426" s="5">
        <v>2867.3510999999999</v>
      </c>
      <c r="D2426">
        <f t="shared" si="37"/>
        <v>112</v>
      </c>
      <c r="G2426" s="1"/>
    </row>
    <row r="2427" spans="1:7" x14ac:dyDescent="0.25">
      <c r="A2427" s="3" t="s">
        <v>496</v>
      </c>
      <c r="B2427" s="6" t="s">
        <v>581</v>
      </c>
      <c r="C2427" s="6">
        <v>6.7299999999999999E-2</v>
      </c>
      <c r="D2427">
        <f t="shared" si="37"/>
        <v>112</v>
      </c>
      <c r="G2427" s="1"/>
    </row>
    <row r="2428" spans="1:7" x14ac:dyDescent="0.25">
      <c r="A2428" s="4" t="s">
        <v>496</v>
      </c>
      <c r="B2428" s="5" t="s">
        <v>582</v>
      </c>
      <c r="C2428" s="5">
        <v>45</v>
      </c>
      <c r="D2428">
        <f t="shared" si="37"/>
        <v>112</v>
      </c>
      <c r="G2428" s="1"/>
    </row>
    <row r="2429" spans="1:7" x14ac:dyDescent="0.25">
      <c r="A2429" s="3" t="s">
        <v>496</v>
      </c>
      <c r="B2429" s="6" t="s">
        <v>583</v>
      </c>
      <c r="C2429" s="6">
        <v>19</v>
      </c>
      <c r="D2429">
        <f t="shared" si="37"/>
        <v>112</v>
      </c>
      <c r="G2429" s="1"/>
    </row>
    <row r="2430" spans="1:7" x14ac:dyDescent="0.25">
      <c r="A2430" s="4" t="s">
        <v>496</v>
      </c>
      <c r="B2430" s="5" t="s">
        <v>584</v>
      </c>
      <c r="C2430" s="5">
        <v>191.1567</v>
      </c>
      <c r="D2430">
        <f t="shared" si="37"/>
        <v>112</v>
      </c>
      <c r="G2430" s="1"/>
    </row>
    <row r="2431" spans="1:7" x14ac:dyDescent="0.25">
      <c r="A2431" s="3" t="s">
        <v>496</v>
      </c>
      <c r="B2431" s="6" t="s">
        <v>585</v>
      </c>
      <c r="C2431" s="6">
        <v>29</v>
      </c>
      <c r="D2431">
        <f t="shared" si="37"/>
        <v>112</v>
      </c>
      <c r="G2431" s="1"/>
    </row>
    <row r="2432" spans="1:7" x14ac:dyDescent="0.25">
      <c r="A2432" s="4" t="s">
        <v>496</v>
      </c>
      <c r="B2432" s="5" t="s">
        <v>586</v>
      </c>
      <c r="C2432" s="5">
        <v>1</v>
      </c>
      <c r="D2432">
        <f t="shared" si="37"/>
        <v>112</v>
      </c>
      <c r="G2432" s="1"/>
    </row>
    <row r="2433" spans="1:7" x14ac:dyDescent="0.25">
      <c r="A2433" s="3" t="s">
        <v>496</v>
      </c>
      <c r="B2433" s="6" t="s">
        <v>587</v>
      </c>
      <c r="C2433" s="6">
        <v>1</v>
      </c>
      <c r="D2433">
        <f t="shared" si="37"/>
        <v>112</v>
      </c>
      <c r="G2433" s="1"/>
    </row>
    <row r="2434" spans="1:7" x14ac:dyDescent="0.25">
      <c r="A2434" s="4" t="s">
        <v>496</v>
      </c>
      <c r="B2434" s="5" t="s">
        <v>588</v>
      </c>
      <c r="C2434" s="5">
        <v>51.979700000000001</v>
      </c>
      <c r="D2434">
        <f t="shared" si="37"/>
        <v>112</v>
      </c>
      <c r="G2434" s="1"/>
    </row>
    <row r="2435" spans="1:7" x14ac:dyDescent="0.25">
      <c r="A2435" s="3" t="s">
        <v>496</v>
      </c>
      <c r="B2435" s="6" t="s">
        <v>589</v>
      </c>
      <c r="C2435" s="6">
        <v>2</v>
      </c>
      <c r="D2435">
        <f t="shared" si="37"/>
        <v>112</v>
      </c>
      <c r="G2435" s="1"/>
    </row>
    <row r="2436" spans="1:7" x14ac:dyDescent="0.25">
      <c r="A2436" s="4" t="s">
        <v>496</v>
      </c>
      <c r="B2436" s="5" t="s">
        <v>590</v>
      </c>
      <c r="C2436" s="5">
        <v>3</v>
      </c>
      <c r="D2436">
        <f t="shared" ref="D2436:D2499" si="38">IF(B2436="CCM", D2435+1, D2435)</f>
        <v>112</v>
      </c>
      <c r="G2436" s="1"/>
    </row>
    <row r="2437" spans="1:7" x14ac:dyDescent="0.25">
      <c r="A2437" s="3" t="s">
        <v>496</v>
      </c>
      <c r="B2437" s="6" t="s">
        <v>591</v>
      </c>
      <c r="C2437" s="6">
        <v>6</v>
      </c>
      <c r="D2437">
        <f t="shared" si="38"/>
        <v>112</v>
      </c>
      <c r="G2437" s="1"/>
    </row>
    <row r="2438" spans="1:7" x14ac:dyDescent="0.25">
      <c r="A2438" s="4" t="s">
        <v>496</v>
      </c>
      <c r="B2438" s="5" t="s">
        <v>592</v>
      </c>
      <c r="C2438" s="5">
        <v>1</v>
      </c>
      <c r="D2438">
        <f t="shared" si="38"/>
        <v>112</v>
      </c>
      <c r="G2438" s="1"/>
    </row>
    <row r="2439" spans="1:7" x14ac:dyDescent="0.25">
      <c r="A2439" s="3" t="s">
        <v>497</v>
      </c>
      <c r="B2439" s="6" t="s">
        <v>574</v>
      </c>
      <c r="C2439" s="6">
        <v>3</v>
      </c>
      <c r="D2439">
        <f t="shared" si="38"/>
        <v>113</v>
      </c>
      <c r="G2439" s="1"/>
    </row>
    <row r="2440" spans="1:7" x14ac:dyDescent="0.25">
      <c r="A2440" s="4" t="s">
        <v>497</v>
      </c>
      <c r="B2440" s="5" t="s">
        <v>575</v>
      </c>
      <c r="C2440" s="5">
        <v>1</v>
      </c>
      <c r="D2440">
        <f t="shared" si="38"/>
        <v>113</v>
      </c>
      <c r="G2440" s="1"/>
    </row>
    <row r="2441" spans="1:7" x14ac:dyDescent="0.25">
      <c r="A2441" s="3" t="s">
        <v>497</v>
      </c>
      <c r="B2441" s="6" t="s">
        <v>576</v>
      </c>
      <c r="C2441" s="6">
        <v>0.5</v>
      </c>
      <c r="D2441">
        <f t="shared" si="38"/>
        <v>113</v>
      </c>
      <c r="G2441" s="1"/>
    </row>
    <row r="2442" spans="1:7" x14ac:dyDescent="0.25">
      <c r="A2442" s="4" t="s">
        <v>497</v>
      </c>
      <c r="B2442" s="5" t="s">
        <v>577</v>
      </c>
      <c r="C2442" s="5">
        <v>2</v>
      </c>
      <c r="D2442">
        <f t="shared" si="38"/>
        <v>113</v>
      </c>
      <c r="G2442" s="1"/>
    </row>
    <row r="2443" spans="1:7" x14ac:dyDescent="0.25">
      <c r="A2443" s="3" t="s">
        <v>497</v>
      </c>
      <c r="B2443" s="6" t="s">
        <v>579</v>
      </c>
      <c r="C2443" s="6">
        <v>7.5</v>
      </c>
      <c r="D2443">
        <f t="shared" si="38"/>
        <v>113</v>
      </c>
      <c r="G2443" s="1"/>
    </row>
    <row r="2444" spans="1:7" x14ac:dyDescent="0.25">
      <c r="A2444" s="4" t="s">
        <v>497</v>
      </c>
      <c r="B2444" s="5" t="s">
        <v>580</v>
      </c>
      <c r="C2444" s="5">
        <v>780</v>
      </c>
      <c r="D2444">
        <f t="shared" si="38"/>
        <v>113</v>
      </c>
      <c r="G2444" s="1"/>
    </row>
    <row r="2445" spans="1:7" x14ac:dyDescent="0.25">
      <c r="A2445" s="3" t="s">
        <v>497</v>
      </c>
      <c r="B2445" s="6" t="s">
        <v>581</v>
      </c>
      <c r="C2445" s="6">
        <v>2.8199999999999999E-2</v>
      </c>
      <c r="D2445">
        <f t="shared" si="38"/>
        <v>113</v>
      </c>
      <c r="G2445" s="1"/>
    </row>
    <row r="2446" spans="1:7" x14ac:dyDescent="0.25">
      <c r="A2446" s="4" t="s">
        <v>497</v>
      </c>
      <c r="B2446" s="5" t="s">
        <v>582</v>
      </c>
      <c r="C2446" s="5">
        <v>26</v>
      </c>
      <c r="D2446">
        <f t="shared" si="38"/>
        <v>113</v>
      </c>
      <c r="G2446" s="1"/>
    </row>
    <row r="2447" spans="1:7" x14ac:dyDescent="0.25">
      <c r="A2447" s="3" t="s">
        <v>497</v>
      </c>
      <c r="B2447" s="6" t="s">
        <v>583</v>
      </c>
      <c r="C2447" s="6">
        <v>16</v>
      </c>
      <c r="D2447">
        <f t="shared" si="38"/>
        <v>113</v>
      </c>
      <c r="G2447" s="1"/>
    </row>
    <row r="2448" spans="1:7" x14ac:dyDescent="0.25">
      <c r="A2448" s="4" t="s">
        <v>497</v>
      </c>
      <c r="B2448" s="5" t="s">
        <v>584</v>
      </c>
      <c r="C2448" s="5">
        <v>104</v>
      </c>
      <c r="D2448">
        <f t="shared" si="38"/>
        <v>113</v>
      </c>
      <c r="G2448" s="1"/>
    </row>
    <row r="2449" spans="1:7" x14ac:dyDescent="0.25">
      <c r="A2449" s="3" t="s">
        <v>497</v>
      </c>
      <c r="B2449" s="6" t="s">
        <v>585</v>
      </c>
      <c r="C2449" s="6">
        <v>18</v>
      </c>
      <c r="D2449">
        <f t="shared" si="38"/>
        <v>113</v>
      </c>
      <c r="G2449" s="1"/>
    </row>
    <row r="2450" spans="1:7" x14ac:dyDescent="0.25">
      <c r="A2450" s="4" t="s">
        <v>497</v>
      </c>
      <c r="B2450" s="5" t="s">
        <v>586</v>
      </c>
      <c r="C2450" s="5">
        <v>1</v>
      </c>
      <c r="D2450">
        <f t="shared" si="38"/>
        <v>113</v>
      </c>
      <c r="G2450" s="1"/>
    </row>
    <row r="2451" spans="1:7" x14ac:dyDescent="0.25">
      <c r="A2451" s="3" t="s">
        <v>497</v>
      </c>
      <c r="B2451" s="6" t="s">
        <v>588</v>
      </c>
      <c r="C2451" s="6">
        <v>58.3078</v>
      </c>
      <c r="D2451">
        <f t="shared" si="38"/>
        <v>113</v>
      </c>
      <c r="G2451" s="1"/>
    </row>
    <row r="2452" spans="1:7" x14ac:dyDescent="0.25">
      <c r="A2452" s="4" t="s">
        <v>497</v>
      </c>
      <c r="B2452" s="5" t="s">
        <v>589</v>
      </c>
      <c r="C2452" s="5">
        <v>1</v>
      </c>
      <c r="D2452">
        <f t="shared" si="38"/>
        <v>113</v>
      </c>
      <c r="G2452" s="1"/>
    </row>
    <row r="2453" spans="1:7" x14ac:dyDescent="0.25">
      <c r="A2453" s="3" t="s">
        <v>497</v>
      </c>
      <c r="B2453" s="6" t="s">
        <v>590</v>
      </c>
      <c r="C2453" s="6">
        <v>4</v>
      </c>
      <c r="D2453">
        <f t="shared" si="38"/>
        <v>113</v>
      </c>
      <c r="G2453" s="1"/>
    </row>
    <row r="2454" spans="1:7" x14ac:dyDescent="0.25">
      <c r="A2454" s="4" t="s">
        <v>497</v>
      </c>
      <c r="B2454" s="5" t="s">
        <v>591</v>
      </c>
      <c r="C2454" s="5">
        <v>4</v>
      </c>
      <c r="D2454">
        <f t="shared" si="38"/>
        <v>113</v>
      </c>
      <c r="G2454" s="1"/>
    </row>
    <row r="2455" spans="1:7" x14ac:dyDescent="0.25">
      <c r="A2455" s="3" t="s">
        <v>498</v>
      </c>
      <c r="B2455" s="6" t="s">
        <v>579</v>
      </c>
      <c r="C2455" s="6">
        <v>2</v>
      </c>
      <c r="D2455">
        <f t="shared" si="38"/>
        <v>113</v>
      </c>
      <c r="G2455" s="1"/>
    </row>
    <row r="2456" spans="1:7" x14ac:dyDescent="0.25">
      <c r="A2456" s="4" t="s">
        <v>498</v>
      </c>
      <c r="B2456" s="5" t="s">
        <v>580</v>
      </c>
      <c r="C2456" s="5">
        <v>31.019600000000001</v>
      </c>
      <c r="D2456">
        <f t="shared" si="38"/>
        <v>113</v>
      </c>
      <c r="G2456" s="1"/>
    </row>
    <row r="2457" spans="1:7" x14ac:dyDescent="0.25">
      <c r="A2457" s="3" t="s">
        <v>498</v>
      </c>
      <c r="B2457" s="6" t="s">
        <v>581</v>
      </c>
      <c r="C2457" s="6">
        <v>3.3E-3</v>
      </c>
      <c r="D2457">
        <f t="shared" si="38"/>
        <v>113</v>
      </c>
      <c r="G2457" s="1"/>
    </row>
    <row r="2458" spans="1:7" x14ac:dyDescent="0.25">
      <c r="A2458" s="4" t="s">
        <v>498</v>
      </c>
      <c r="B2458" s="5" t="s">
        <v>582</v>
      </c>
      <c r="C2458" s="5">
        <v>6</v>
      </c>
      <c r="D2458">
        <f t="shared" si="38"/>
        <v>113</v>
      </c>
      <c r="G2458" s="1"/>
    </row>
    <row r="2459" spans="1:7" x14ac:dyDescent="0.25">
      <c r="A2459" s="3" t="s">
        <v>498</v>
      </c>
      <c r="B2459" s="6" t="s">
        <v>583</v>
      </c>
      <c r="C2459" s="6">
        <v>6</v>
      </c>
      <c r="D2459">
        <f t="shared" si="38"/>
        <v>113</v>
      </c>
      <c r="G2459" s="1"/>
    </row>
    <row r="2460" spans="1:7" x14ac:dyDescent="0.25">
      <c r="A2460" s="4" t="s">
        <v>498</v>
      </c>
      <c r="B2460" s="5" t="s">
        <v>584</v>
      </c>
      <c r="C2460" s="5">
        <v>15.5098</v>
      </c>
      <c r="D2460">
        <f t="shared" si="38"/>
        <v>113</v>
      </c>
      <c r="G2460" s="1"/>
    </row>
    <row r="2461" spans="1:7" x14ac:dyDescent="0.25">
      <c r="A2461" s="3" t="s">
        <v>498</v>
      </c>
      <c r="B2461" s="6" t="s">
        <v>585</v>
      </c>
      <c r="C2461" s="6">
        <v>8</v>
      </c>
      <c r="D2461">
        <f t="shared" si="38"/>
        <v>113</v>
      </c>
      <c r="G2461" s="1"/>
    </row>
    <row r="2462" spans="1:7" x14ac:dyDescent="0.25">
      <c r="A2462" s="4" t="s">
        <v>498</v>
      </c>
      <c r="B2462" s="5" t="s">
        <v>586</v>
      </c>
      <c r="C2462" s="5">
        <v>1</v>
      </c>
      <c r="D2462">
        <f t="shared" si="38"/>
        <v>113</v>
      </c>
      <c r="G2462" s="1"/>
    </row>
    <row r="2463" spans="1:7" x14ac:dyDescent="0.25">
      <c r="A2463" s="3" t="s">
        <v>498</v>
      </c>
      <c r="B2463" s="6" t="s">
        <v>588</v>
      </c>
      <c r="C2463" s="6">
        <v>72.064999999999998</v>
      </c>
      <c r="D2463">
        <f t="shared" si="38"/>
        <v>113</v>
      </c>
      <c r="G2463" s="1"/>
    </row>
    <row r="2464" spans="1:7" x14ac:dyDescent="0.25">
      <c r="A2464" s="4" t="s">
        <v>498</v>
      </c>
      <c r="B2464" s="5" t="s">
        <v>589</v>
      </c>
      <c r="C2464" s="5">
        <v>0</v>
      </c>
      <c r="D2464">
        <f t="shared" si="38"/>
        <v>113</v>
      </c>
      <c r="G2464" s="1"/>
    </row>
    <row r="2465" spans="1:7" x14ac:dyDescent="0.25">
      <c r="A2465" s="3" t="s">
        <v>498</v>
      </c>
      <c r="B2465" s="6" t="s">
        <v>591</v>
      </c>
      <c r="C2465" s="6">
        <v>1</v>
      </c>
      <c r="D2465">
        <f t="shared" si="38"/>
        <v>113</v>
      </c>
      <c r="G2465" s="1"/>
    </row>
    <row r="2466" spans="1:7" x14ac:dyDescent="0.25">
      <c r="A2466" s="4" t="s">
        <v>499</v>
      </c>
      <c r="B2466" s="5" t="s">
        <v>579</v>
      </c>
      <c r="C2466" s="5">
        <v>2</v>
      </c>
      <c r="D2466">
        <f t="shared" si="38"/>
        <v>113</v>
      </c>
      <c r="G2466" s="1"/>
    </row>
    <row r="2467" spans="1:7" x14ac:dyDescent="0.25">
      <c r="A2467" s="3" t="s">
        <v>499</v>
      </c>
      <c r="B2467" s="6" t="s">
        <v>580</v>
      </c>
      <c r="C2467" s="6">
        <v>36.189500000000002</v>
      </c>
      <c r="D2467">
        <f t="shared" si="38"/>
        <v>113</v>
      </c>
      <c r="G2467" s="1"/>
    </row>
    <row r="2468" spans="1:7" x14ac:dyDescent="0.25">
      <c r="A2468" s="4" t="s">
        <v>499</v>
      </c>
      <c r="B2468" s="5" t="s">
        <v>581</v>
      </c>
      <c r="C2468" s="5">
        <v>3.5999999999999999E-3</v>
      </c>
      <c r="D2468">
        <f t="shared" si="38"/>
        <v>113</v>
      </c>
      <c r="G2468" s="1"/>
    </row>
    <row r="2469" spans="1:7" x14ac:dyDescent="0.25">
      <c r="A2469" s="3" t="s">
        <v>499</v>
      </c>
      <c r="B2469" s="6" t="s">
        <v>582</v>
      </c>
      <c r="C2469" s="6">
        <v>7</v>
      </c>
      <c r="D2469">
        <f t="shared" si="38"/>
        <v>113</v>
      </c>
      <c r="G2469" s="1"/>
    </row>
    <row r="2470" spans="1:7" x14ac:dyDescent="0.25">
      <c r="A2470" s="4" t="s">
        <v>499</v>
      </c>
      <c r="B2470" s="5" t="s">
        <v>583</v>
      </c>
      <c r="C2470" s="5">
        <v>6</v>
      </c>
      <c r="D2470">
        <f t="shared" si="38"/>
        <v>113</v>
      </c>
      <c r="G2470" s="1"/>
    </row>
    <row r="2471" spans="1:7" x14ac:dyDescent="0.25">
      <c r="A2471" s="3" t="s">
        <v>499</v>
      </c>
      <c r="B2471" s="6" t="s">
        <v>584</v>
      </c>
      <c r="C2471" s="6">
        <v>18.0947</v>
      </c>
      <c r="D2471">
        <f t="shared" si="38"/>
        <v>113</v>
      </c>
      <c r="G2471" s="1"/>
    </row>
    <row r="2472" spans="1:7" x14ac:dyDescent="0.25">
      <c r="A2472" s="4" t="s">
        <v>499</v>
      </c>
      <c r="B2472" s="5" t="s">
        <v>585</v>
      </c>
      <c r="C2472" s="5">
        <v>8</v>
      </c>
      <c r="D2472">
        <f t="shared" si="38"/>
        <v>113</v>
      </c>
      <c r="G2472" s="1"/>
    </row>
    <row r="2473" spans="1:7" x14ac:dyDescent="0.25">
      <c r="A2473" s="3" t="s">
        <v>499</v>
      </c>
      <c r="B2473" s="6" t="s">
        <v>586</v>
      </c>
      <c r="C2473" s="6">
        <v>1</v>
      </c>
      <c r="D2473">
        <f t="shared" si="38"/>
        <v>113</v>
      </c>
      <c r="G2473" s="1"/>
    </row>
    <row r="2474" spans="1:7" x14ac:dyDescent="0.25">
      <c r="A2474" s="4" t="s">
        <v>499</v>
      </c>
      <c r="B2474" s="5" t="s">
        <v>588</v>
      </c>
      <c r="C2474" s="5">
        <v>71.510599999999997</v>
      </c>
      <c r="D2474">
        <f t="shared" si="38"/>
        <v>113</v>
      </c>
      <c r="G2474" s="1"/>
    </row>
    <row r="2475" spans="1:7" x14ac:dyDescent="0.25">
      <c r="A2475" s="3" t="s">
        <v>499</v>
      </c>
      <c r="B2475" s="6" t="s">
        <v>589</v>
      </c>
      <c r="C2475" s="6">
        <v>0</v>
      </c>
      <c r="D2475">
        <f t="shared" si="38"/>
        <v>113</v>
      </c>
      <c r="G2475" s="1"/>
    </row>
    <row r="2476" spans="1:7" x14ac:dyDescent="0.25">
      <c r="A2476" s="4" t="s">
        <v>499</v>
      </c>
      <c r="B2476" s="5" t="s">
        <v>591</v>
      </c>
      <c r="C2476" s="5">
        <v>1</v>
      </c>
      <c r="D2476">
        <f t="shared" si="38"/>
        <v>113</v>
      </c>
      <c r="G2476" s="1"/>
    </row>
    <row r="2477" spans="1:7" x14ac:dyDescent="0.25">
      <c r="A2477" s="3" t="s">
        <v>500</v>
      </c>
      <c r="B2477" s="6" t="s">
        <v>579</v>
      </c>
      <c r="C2477" s="6">
        <v>1.5</v>
      </c>
      <c r="D2477">
        <f t="shared" si="38"/>
        <v>113</v>
      </c>
      <c r="G2477" s="1"/>
    </row>
    <row r="2478" spans="1:7" x14ac:dyDescent="0.25">
      <c r="A2478" s="4" t="s">
        <v>500</v>
      </c>
      <c r="B2478" s="5" t="s">
        <v>580</v>
      </c>
      <c r="C2478" s="5">
        <v>12</v>
      </c>
      <c r="D2478">
        <f t="shared" si="38"/>
        <v>113</v>
      </c>
      <c r="G2478" s="1"/>
    </row>
    <row r="2479" spans="1:7" x14ac:dyDescent="0.25">
      <c r="A2479" s="3" t="s">
        <v>500</v>
      </c>
      <c r="B2479" s="6" t="s">
        <v>581</v>
      </c>
      <c r="C2479" s="6">
        <v>1.6999999999999999E-3</v>
      </c>
      <c r="D2479">
        <f t="shared" si="38"/>
        <v>113</v>
      </c>
      <c r="G2479" s="1"/>
    </row>
    <row r="2480" spans="1:7" x14ac:dyDescent="0.25">
      <c r="A2480" s="4" t="s">
        <v>500</v>
      </c>
      <c r="B2480" s="5" t="s">
        <v>582</v>
      </c>
      <c r="C2480" s="5">
        <v>4</v>
      </c>
      <c r="D2480">
        <f t="shared" si="38"/>
        <v>113</v>
      </c>
      <c r="G2480" s="1"/>
    </row>
    <row r="2481" spans="1:7" x14ac:dyDescent="0.25">
      <c r="A2481" s="3" t="s">
        <v>500</v>
      </c>
      <c r="B2481" s="6" t="s">
        <v>583</v>
      </c>
      <c r="C2481" s="6">
        <v>4</v>
      </c>
      <c r="D2481">
        <f t="shared" si="38"/>
        <v>113</v>
      </c>
      <c r="G2481" s="1"/>
    </row>
    <row r="2482" spans="1:7" x14ac:dyDescent="0.25">
      <c r="A2482" s="4" t="s">
        <v>500</v>
      </c>
      <c r="B2482" s="5" t="s">
        <v>584</v>
      </c>
      <c r="C2482" s="5">
        <v>8</v>
      </c>
      <c r="D2482">
        <f t="shared" si="38"/>
        <v>113</v>
      </c>
      <c r="G2482" s="1"/>
    </row>
    <row r="2483" spans="1:7" x14ac:dyDescent="0.25">
      <c r="A2483" s="3" t="s">
        <v>500</v>
      </c>
      <c r="B2483" s="6" t="s">
        <v>585</v>
      </c>
      <c r="C2483" s="6">
        <v>9</v>
      </c>
      <c r="D2483">
        <f t="shared" si="38"/>
        <v>113</v>
      </c>
      <c r="G2483" s="1"/>
    </row>
    <row r="2484" spans="1:7" x14ac:dyDescent="0.25">
      <c r="A2484" s="4" t="s">
        <v>500</v>
      </c>
      <c r="B2484" s="5" t="s">
        <v>586</v>
      </c>
      <c r="C2484" s="5">
        <v>1</v>
      </c>
      <c r="D2484">
        <f t="shared" si="38"/>
        <v>113</v>
      </c>
      <c r="G2484" s="1"/>
    </row>
    <row r="2485" spans="1:7" x14ac:dyDescent="0.25">
      <c r="A2485" s="3" t="s">
        <v>500</v>
      </c>
      <c r="B2485" s="6" t="s">
        <v>588</v>
      </c>
      <c r="C2485" s="6">
        <v>72.860699999999994</v>
      </c>
      <c r="D2485">
        <f t="shared" si="38"/>
        <v>113</v>
      </c>
      <c r="G2485" s="1"/>
    </row>
    <row r="2486" spans="1:7" x14ac:dyDescent="0.25">
      <c r="A2486" s="4" t="s">
        <v>500</v>
      </c>
      <c r="B2486" s="5" t="s">
        <v>589</v>
      </c>
      <c r="C2486" s="5">
        <v>0</v>
      </c>
      <c r="D2486">
        <f t="shared" si="38"/>
        <v>113</v>
      </c>
      <c r="G2486" s="1"/>
    </row>
    <row r="2487" spans="1:7" x14ac:dyDescent="0.25">
      <c r="A2487" s="3" t="s">
        <v>500</v>
      </c>
      <c r="B2487" s="6" t="s">
        <v>591</v>
      </c>
      <c r="C2487" s="6">
        <v>1</v>
      </c>
      <c r="D2487">
        <f t="shared" si="38"/>
        <v>113</v>
      </c>
      <c r="G2487" s="1"/>
    </row>
    <row r="2488" spans="1:7" x14ac:dyDescent="0.25">
      <c r="A2488" s="4" t="s">
        <v>501</v>
      </c>
      <c r="B2488" s="5" t="s">
        <v>579</v>
      </c>
      <c r="C2488" s="5">
        <v>1.5</v>
      </c>
      <c r="D2488">
        <f t="shared" si="38"/>
        <v>113</v>
      </c>
      <c r="G2488" s="1"/>
    </row>
    <row r="2489" spans="1:7" x14ac:dyDescent="0.25">
      <c r="A2489" s="3" t="s">
        <v>501</v>
      </c>
      <c r="B2489" s="6" t="s">
        <v>580</v>
      </c>
      <c r="C2489" s="6">
        <v>12</v>
      </c>
      <c r="D2489">
        <f t="shared" si="38"/>
        <v>113</v>
      </c>
      <c r="G2489" s="1"/>
    </row>
    <row r="2490" spans="1:7" x14ac:dyDescent="0.25">
      <c r="A2490" s="4" t="s">
        <v>501</v>
      </c>
      <c r="B2490" s="5" t="s">
        <v>581</v>
      </c>
      <c r="C2490" s="5">
        <v>1.6999999999999999E-3</v>
      </c>
      <c r="D2490">
        <f t="shared" si="38"/>
        <v>113</v>
      </c>
      <c r="G2490" s="1"/>
    </row>
    <row r="2491" spans="1:7" x14ac:dyDescent="0.25">
      <c r="A2491" s="3" t="s">
        <v>501</v>
      </c>
      <c r="B2491" s="6" t="s">
        <v>582</v>
      </c>
      <c r="C2491" s="6">
        <v>4</v>
      </c>
      <c r="D2491">
        <f t="shared" si="38"/>
        <v>113</v>
      </c>
      <c r="G2491" s="1"/>
    </row>
    <row r="2492" spans="1:7" x14ac:dyDescent="0.25">
      <c r="A2492" s="4" t="s">
        <v>501</v>
      </c>
      <c r="B2492" s="5" t="s">
        <v>583</v>
      </c>
      <c r="C2492" s="5">
        <v>4</v>
      </c>
      <c r="D2492">
        <f t="shared" si="38"/>
        <v>113</v>
      </c>
      <c r="G2492" s="1"/>
    </row>
    <row r="2493" spans="1:7" x14ac:dyDescent="0.25">
      <c r="A2493" s="3" t="s">
        <v>501</v>
      </c>
      <c r="B2493" s="6" t="s">
        <v>584</v>
      </c>
      <c r="C2493" s="6">
        <v>8</v>
      </c>
      <c r="D2493">
        <f t="shared" si="38"/>
        <v>113</v>
      </c>
      <c r="G2493" s="1"/>
    </row>
    <row r="2494" spans="1:7" x14ac:dyDescent="0.25">
      <c r="A2494" s="4" t="s">
        <v>501</v>
      </c>
      <c r="B2494" s="5" t="s">
        <v>585</v>
      </c>
      <c r="C2494" s="5">
        <v>9</v>
      </c>
      <c r="D2494">
        <f t="shared" si="38"/>
        <v>113</v>
      </c>
      <c r="G2494" s="1"/>
    </row>
    <row r="2495" spans="1:7" x14ac:dyDescent="0.25">
      <c r="A2495" s="3" t="s">
        <v>501</v>
      </c>
      <c r="B2495" s="6" t="s">
        <v>586</v>
      </c>
      <c r="C2495" s="6">
        <v>1</v>
      </c>
      <c r="D2495">
        <f t="shared" si="38"/>
        <v>113</v>
      </c>
      <c r="G2495" s="1"/>
    </row>
    <row r="2496" spans="1:7" x14ac:dyDescent="0.25">
      <c r="A2496" s="4" t="s">
        <v>501</v>
      </c>
      <c r="B2496" s="5" t="s">
        <v>588</v>
      </c>
      <c r="C2496" s="5">
        <v>72.860699999999994</v>
      </c>
      <c r="D2496">
        <f t="shared" si="38"/>
        <v>113</v>
      </c>
      <c r="G2496" s="1"/>
    </row>
    <row r="2497" spans="1:7" x14ac:dyDescent="0.25">
      <c r="A2497" s="3" t="s">
        <v>501</v>
      </c>
      <c r="B2497" s="6" t="s">
        <v>589</v>
      </c>
      <c r="C2497" s="6">
        <v>0</v>
      </c>
      <c r="D2497">
        <f t="shared" si="38"/>
        <v>113</v>
      </c>
      <c r="G2497" s="1"/>
    </row>
    <row r="2498" spans="1:7" x14ac:dyDescent="0.25">
      <c r="A2498" s="4" t="s">
        <v>501</v>
      </c>
      <c r="B2498" s="5" t="s">
        <v>591</v>
      </c>
      <c r="C2498" s="5">
        <v>1</v>
      </c>
      <c r="D2498">
        <f t="shared" si="38"/>
        <v>113</v>
      </c>
      <c r="G2498" s="1"/>
    </row>
    <row r="2499" spans="1:7" x14ac:dyDescent="0.25">
      <c r="A2499" s="3" t="s">
        <v>528</v>
      </c>
      <c r="B2499" s="6" t="s">
        <v>574</v>
      </c>
      <c r="C2499" s="6">
        <v>0</v>
      </c>
      <c r="D2499">
        <f t="shared" si="38"/>
        <v>114</v>
      </c>
      <c r="G2499" s="1"/>
    </row>
    <row r="2500" spans="1:7" x14ac:dyDescent="0.25">
      <c r="A2500" s="4" t="s">
        <v>528</v>
      </c>
      <c r="B2500" s="5" t="s">
        <v>575</v>
      </c>
      <c r="C2500" s="5">
        <v>0</v>
      </c>
      <c r="D2500">
        <f t="shared" ref="D2500:D2563" si="39">IF(B2500="CCM", D2499+1, D2499)</f>
        <v>114</v>
      </c>
      <c r="G2500" s="1"/>
    </row>
    <row r="2501" spans="1:7" x14ac:dyDescent="0.25">
      <c r="A2501" s="3" t="s">
        <v>528</v>
      </c>
      <c r="B2501" s="6" t="s">
        <v>576</v>
      </c>
      <c r="C2501" s="6">
        <v>1</v>
      </c>
      <c r="D2501">
        <f t="shared" si="39"/>
        <v>114</v>
      </c>
      <c r="G2501" s="1"/>
    </row>
    <row r="2502" spans="1:7" x14ac:dyDescent="0.25">
      <c r="A2502" s="4" t="s">
        <v>528</v>
      </c>
      <c r="B2502" s="5" t="s">
        <v>577</v>
      </c>
      <c r="C2502" s="5">
        <v>1</v>
      </c>
      <c r="D2502">
        <f t="shared" si="39"/>
        <v>114</v>
      </c>
      <c r="G2502" s="1"/>
    </row>
    <row r="2503" spans="1:7" x14ac:dyDescent="0.25">
      <c r="A2503" s="3" t="s">
        <v>528</v>
      </c>
      <c r="B2503" s="6" t="s">
        <v>578</v>
      </c>
      <c r="C2503" s="6">
        <v>0</v>
      </c>
      <c r="D2503">
        <f t="shared" si="39"/>
        <v>114</v>
      </c>
      <c r="G2503" s="1"/>
    </row>
    <row r="2504" spans="1:7" x14ac:dyDescent="0.25">
      <c r="A2504" s="4" t="s">
        <v>528</v>
      </c>
      <c r="B2504" s="5" t="s">
        <v>579</v>
      </c>
      <c r="C2504" s="5">
        <v>2</v>
      </c>
      <c r="D2504">
        <f t="shared" si="39"/>
        <v>114</v>
      </c>
      <c r="G2504" s="1"/>
    </row>
    <row r="2505" spans="1:7" x14ac:dyDescent="0.25">
      <c r="A2505" s="3" t="s">
        <v>528</v>
      </c>
      <c r="B2505" s="6" t="s">
        <v>580</v>
      </c>
      <c r="C2505" s="6">
        <v>48</v>
      </c>
      <c r="D2505">
        <f t="shared" si="39"/>
        <v>114</v>
      </c>
      <c r="G2505" s="1"/>
    </row>
    <row r="2506" spans="1:7" x14ac:dyDescent="0.25">
      <c r="A2506" s="4" t="s">
        <v>528</v>
      </c>
      <c r="B2506" s="5" t="s">
        <v>581</v>
      </c>
      <c r="C2506" s="5">
        <v>4.4000000000000003E-3</v>
      </c>
      <c r="D2506">
        <f t="shared" si="39"/>
        <v>114</v>
      </c>
      <c r="G2506" s="1"/>
    </row>
    <row r="2507" spans="1:7" x14ac:dyDescent="0.25">
      <c r="A2507" s="3" t="s">
        <v>528</v>
      </c>
      <c r="B2507" s="6" t="s">
        <v>582</v>
      </c>
      <c r="C2507" s="6">
        <v>8</v>
      </c>
      <c r="D2507">
        <f t="shared" si="39"/>
        <v>114</v>
      </c>
      <c r="G2507" s="1"/>
    </row>
    <row r="2508" spans="1:7" x14ac:dyDescent="0.25">
      <c r="A2508" s="4" t="s">
        <v>528</v>
      </c>
      <c r="B2508" s="5" t="s">
        <v>583</v>
      </c>
      <c r="C2508" s="5">
        <v>8</v>
      </c>
      <c r="D2508">
        <f t="shared" si="39"/>
        <v>114</v>
      </c>
      <c r="G2508" s="1"/>
    </row>
    <row r="2509" spans="1:7" x14ac:dyDescent="0.25">
      <c r="A2509" s="3" t="s">
        <v>528</v>
      </c>
      <c r="B2509" s="6" t="s">
        <v>584</v>
      </c>
      <c r="C2509" s="6">
        <v>24</v>
      </c>
      <c r="D2509">
        <f t="shared" si="39"/>
        <v>114</v>
      </c>
      <c r="G2509" s="1"/>
    </row>
    <row r="2510" spans="1:7" x14ac:dyDescent="0.25">
      <c r="A2510" s="4" t="s">
        <v>528</v>
      </c>
      <c r="B2510" s="5" t="s">
        <v>585</v>
      </c>
      <c r="C2510" s="5">
        <v>9</v>
      </c>
      <c r="D2510">
        <f t="shared" si="39"/>
        <v>114</v>
      </c>
      <c r="G2510" s="1"/>
    </row>
    <row r="2511" spans="1:7" x14ac:dyDescent="0.25">
      <c r="A2511" s="3" t="s">
        <v>528</v>
      </c>
      <c r="B2511" s="6" t="s">
        <v>586</v>
      </c>
      <c r="C2511" s="6">
        <v>1</v>
      </c>
      <c r="D2511">
        <f t="shared" si="39"/>
        <v>114</v>
      </c>
      <c r="G2511" s="1"/>
    </row>
    <row r="2512" spans="1:7" x14ac:dyDescent="0.25">
      <c r="A2512" s="4" t="s">
        <v>528</v>
      </c>
      <c r="B2512" s="5" t="s">
        <v>587</v>
      </c>
      <c r="C2512" s="5">
        <v>0</v>
      </c>
      <c r="D2512">
        <f t="shared" si="39"/>
        <v>114</v>
      </c>
      <c r="G2512" s="1"/>
    </row>
    <row r="2513" spans="1:7" x14ac:dyDescent="0.25">
      <c r="A2513" s="3" t="s">
        <v>528</v>
      </c>
      <c r="B2513" s="6" t="s">
        <v>588</v>
      </c>
      <c r="C2513" s="6">
        <v>69.519900000000007</v>
      </c>
      <c r="D2513">
        <f t="shared" si="39"/>
        <v>114</v>
      </c>
      <c r="G2513" s="1"/>
    </row>
    <row r="2514" spans="1:7" x14ac:dyDescent="0.25">
      <c r="A2514" s="4" t="s">
        <v>528</v>
      </c>
      <c r="B2514" s="5" t="s">
        <v>589</v>
      </c>
      <c r="C2514" s="5">
        <v>0</v>
      </c>
      <c r="D2514">
        <f t="shared" si="39"/>
        <v>114</v>
      </c>
      <c r="G2514" s="1"/>
    </row>
    <row r="2515" spans="1:7" x14ac:dyDescent="0.25">
      <c r="A2515" s="3" t="s">
        <v>528</v>
      </c>
      <c r="B2515" s="6" t="s">
        <v>590</v>
      </c>
      <c r="C2515" s="6">
        <v>1</v>
      </c>
      <c r="D2515">
        <f t="shared" si="39"/>
        <v>114</v>
      </c>
      <c r="G2515" s="1"/>
    </row>
    <row r="2516" spans="1:7" x14ac:dyDescent="0.25">
      <c r="A2516" s="4" t="s">
        <v>528</v>
      </c>
      <c r="B2516" s="5" t="s">
        <v>591</v>
      </c>
      <c r="C2516" s="5">
        <v>4</v>
      </c>
      <c r="D2516">
        <f t="shared" si="39"/>
        <v>114</v>
      </c>
      <c r="G2516" s="1"/>
    </row>
    <row r="2517" spans="1:7" x14ac:dyDescent="0.25">
      <c r="A2517" s="3" t="s">
        <v>528</v>
      </c>
      <c r="B2517" s="6" t="s">
        <v>592</v>
      </c>
      <c r="C2517" s="6">
        <v>0</v>
      </c>
      <c r="D2517">
        <f t="shared" si="39"/>
        <v>114</v>
      </c>
      <c r="G2517" s="1"/>
    </row>
    <row r="2518" spans="1:7" x14ac:dyDescent="0.25">
      <c r="A2518" s="4" t="s">
        <v>528</v>
      </c>
      <c r="B2518" s="5" t="s">
        <v>593</v>
      </c>
      <c r="C2518" s="5">
        <v>0</v>
      </c>
      <c r="D2518">
        <f t="shared" si="39"/>
        <v>114</v>
      </c>
      <c r="G2518" s="1"/>
    </row>
    <row r="2519" spans="1:7" x14ac:dyDescent="0.25">
      <c r="A2519" s="3" t="s">
        <v>502</v>
      </c>
      <c r="B2519" s="6" t="s">
        <v>574</v>
      </c>
      <c r="C2519" s="6">
        <v>1</v>
      </c>
      <c r="D2519">
        <f t="shared" si="39"/>
        <v>115</v>
      </c>
      <c r="G2519" s="1"/>
    </row>
    <row r="2520" spans="1:7" x14ac:dyDescent="0.25">
      <c r="A2520" s="4" t="s">
        <v>502</v>
      </c>
      <c r="B2520" s="5" t="s">
        <v>576</v>
      </c>
      <c r="C2520" s="5">
        <v>0.66669999999999996</v>
      </c>
      <c r="D2520">
        <f t="shared" si="39"/>
        <v>115</v>
      </c>
      <c r="G2520" s="1"/>
    </row>
    <row r="2521" spans="1:7" x14ac:dyDescent="0.25">
      <c r="A2521" s="3" t="s">
        <v>502</v>
      </c>
      <c r="B2521" s="6" t="s">
        <v>577</v>
      </c>
      <c r="C2521" s="6">
        <v>3</v>
      </c>
      <c r="D2521">
        <f t="shared" si="39"/>
        <v>115</v>
      </c>
      <c r="G2521" s="1"/>
    </row>
    <row r="2522" spans="1:7" x14ac:dyDescent="0.25">
      <c r="A2522" s="4" t="s">
        <v>502</v>
      </c>
      <c r="B2522" s="5" t="s">
        <v>579</v>
      </c>
      <c r="C2522" s="5">
        <v>7.5</v>
      </c>
      <c r="D2522">
        <f t="shared" si="39"/>
        <v>115</v>
      </c>
      <c r="G2522" s="1"/>
    </row>
    <row r="2523" spans="1:7" x14ac:dyDescent="0.25">
      <c r="A2523" s="3" t="s">
        <v>502</v>
      </c>
      <c r="B2523" s="6" t="s">
        <v>580</v>
      </c>
      <c r="C2523" s="6">
        <v>571.10320000000002</v>
      </c>
      <c r="D2523">
        <f t="shared" si="39"/>
        <v>115</v>
      </c>
      <c r="G2523" s="1"/>
    </row>
    <row r="2524" spans="1:7" x14ac:dyDescent="0.25">
      <c r="A2524" s="4" t="s">
        <v>502</v>
      </c>
      <c r="B2524" s="5" t="s">
        <v>581</v>
      </c>
      <c r="C2524" s="5">
        <v>2.29E-2</v>
      </c>
      <c r="D2524">
        <f t="shared" si="39"/>
        <v>115</v>
      </c>
      <c r="G2524" s="1"/>
    </row>
    <row r="2525" spans="1:7" x14ac:dyDescent="0.25">
      <c r="A2525" s="3" t="s">
        <v>502</v>
      </c>
      <c r="B2525" s="6" t="s">
        <v>582</v>
      </c>
      <c r="C2525" s="6">
        <v>20</v>
      </c>
      <c r="D2525">
        <f t="shared" si="39"/>
        <v>115</v>
      </c>
      <c r="G2525" s="1"/>
    </row>
    <row r="2526" spans="1:7" x14ac:dyDescent="0.25">
      <c r="A2526" s="4" t="s">
        <v>502</v>
      </c>
      <c r="B2526" s="5" t="s">
        <v>583</v>
      </c>
      <c r="C2526" s="5">
        <v>14</v>
      </c>
      <c r="D2526">
        <f t="shared" si="39"/>
        <v>115</v>
      </c>
      <c r="G2526" s="1"/>
    </row>
    <row r="2527" spans="1:7" x14ac:dyDescent="0.25">
      <c r="A2527" s="3" t="s">
        <v>502</v>
      </c>
      <c r="B2527" s="6" t="s">
        <v>584</v>
      </c>
      <c r="C2527" s="6">
        <v>76.147099999999995</v>
      </c>
      <c r="D2527">
        <f t="shared" si="39"/>
        <v>115</v>
      </c>
      <c r="G2527" s="1"/>
    </row>
    <row r="2528" spans="1:7" x14ac:dyDescent="0.25">
      <c r="A2528" s="4" t="s">
        <v>502</v>
      </c>
      <c r="B2528" s="5" t="s">
        <v>585</v>
      </c>
      <c r="C2528" s="5">
        <v>11</v>
      </c>
      <c r="D2528">
        <f t="shared" si="39"/>
        <v>115</v>
      </c>
      <c r="G2528" s="1"/>
    </row>
    <row r="2529" spans="1:7" x14ac:dyDescent="0.25">
      <c r="A2529" s="3" t="s">
        <v>502</v>
      </c>
      <c r="B2529" s="6" t="s">
        <v>586</v>
      </c>
      <c r="C2529" s="6">
        <v>1</v>
      </c>
      <c r="D2529">
        <f t="shared" si="39"/>
        <v>115</v>
      </c>
      <c r="G2529" s="1"/>
    </row>
    <row r="2530" spans="1:7" x14ac:dyDescent="0.25">
      <c r="A2530" s="4" t="s">
        <v>502</v>
      </c>
      <c r="B2530" s="5" t="s">
        <v>588</v>
      </c>
      <c r="C2530" s="5">
        <v>64.020399999999995</v>
      </c>
      <c r="D2530">
        <f t="shared" si="39"/>
        <v>115</v>
      </c>
      <c r="G2530" s="1"/>
    </row>
    <row r="2531" spans="1:7" x14ac:dyDescent="0.25">
      <c r="A2531" s="3" t="s">
        <v>502</v>
      </c>
      <c r="B2531" s="6" t="s">
        <v>589</v>
      </c>
      <c r="C2531" s="6">
        <v>0</v>
      </c>
      <c r="D2531">
        <f t="shared" si="39"/>
        <v>115</v>
      </c>
      <c r="G2531" s="1"/>
    </row>
    <row r="2532" spans="1:7" x14ac:dyDescent="0.25">
      <c r="A2532" s="4" t="s">
        <v>502</v>
      </c>
      <c r="B2532" s="5" t="s">
        <v>590</v>
      </c>
      <c r="C2532" s="5">
        <v>2</v>
      </c>
      <c r="D2532">
        <f t="shared" si="39"/>
        <v>115</v>
      </c>
      <c r="G2532" s="1"/>
    </row>
    <row r="2533" spans="1:7" x14ac:dyDescent="0.25">
      <c r="A2533" s="3" t="s">
        <v>502</v>
      </c>
      <c r="B2533" s="6" t="s">
        <v>591</v>
      </c>
      <c r="C2533" s="6">
        <v>3</v>
      </c>
      <c r="D2533">
        <f t="shared" si="39"/>
        <v>115</v>
      </c>
      <c r="G2533" s="1"/>
    </row>
    <row r="2534" spans="1:7" x14ac:dyDescent="0.25">
      <c r="A2534" s="4" t="s">
        <v>503</v>
      </c>
      <c r="B2534" s="5" t="s">
        <v>579</v>
      </c>
      <c r="C2534" s="5">
        <v>1.5</v>
      </c>
      <c r="D2534">
        <f t="shared" si="39"/>
        <v>115</v>
      </c>
      <c r="G2534" s="1"/>
    </row>
    <row r="2535" spans="1:7" x14ac:dyDescent="0.25">
      <c r="A2535" s="3" t="s">
        <v>503</v>
      </c>
      <c r="B2535" s="6" t="s">
        <v>580</v>
      </c>
      <c r="C2535" s="6">
        <v>12</v>
      </c>
      <c r="D2535">
        <f t="shared" si="39"/>
        <v>115</v>
      </c>
      <c r="G2535" s="1"/>
    </row>
    <row r="2536" spans="1:7" x14ac:dyDescent="0.25">
      <c r="A2536" s="4" t="s">
        <v>503</v>
      </c>
      <c r="B2536" s="5" t="s">
        <v>581</v>
      </c>
      <c r="C2536" s="5">
        <v>1.6999999999999999E-3</v>
      </c>
      <c r="D2536">
        <f t="shared" si="39"/>
        <v>115</v>
      </c>
      <c r="G2536" s="1"/>
    </row>
    <row r="2537" spans="1:7" x14ac:dyDescent="0.25">
      <c r="A2537" s="3" t="s">
        <v>503</v>
      </c>
      <c r="B2537" s="6" t="s">
        <v>582</v>
      </c>
      <c r="C2537" s="6">
        <v>4</v>
      </c>
      <c r="D2537">
        <f t="shared" si="39"/>
        <v>115</v>
      </c>
      <c r="G2537" s="1"/>
    </row>
    <row r="2538" spans="1:7" x14ac:dyDescent="0.25">
      <c r="A2538" s="4" t="s">
        <v>503</v>
      </c>
      <c r="B2538" s="5" t="s">
        <v>583</v>
      </c>
      <c r="C2538" s="5">
        <v>4</v>
      </c>
      <c r="D2538">
        <f t="shared" si="39"/>
        <v>115</v>
      </c>
      <c r="G2538" s="1"/>
    </row>
    <row r="2539" spans="1:7" x14ac:dyDescent="0.25">
      <c r="A2539" s="3" t="s">
        <v>503</v>
      </c>
      <c r="B2539" s="6" t="s">
        <v>584</v>
      </c>
      <c r="C2539" s="6">
        <v>8</v>
      </c>
      <c r="D2539">
        <f t="shared" si="39"/>
        <v>115</v>
      </c>
      <c r="G2539" s="1"/>
    </row>
    <row r="2540" spans="1:7" x14ac:dyDescent="0.25">
      <c r="A2540" s="4" t="s">
        <v>503</v>
      </c>
      <c r="B2540" s="5" t="s">
        <v>585</v>
      </c>
      <c r="C2540" s="5">
        <v>9</v>
      </c>
      <c r="D2540">
        <f t="shared" si="39"/>
        <v>115</v>
      </c>
      <c r="G2540" s="1"/>
    </row>
    <row r="2541" spans="1:7" x14ac:dyDescent="0.25">
      <c r="A2541" s="3" t="s">
        <v>503</v>
      </c>
      <c r="B2541" s="6" t="s">
        <v>586</v>
      </c>
      <c r="C2541" s="6">
        <v>1</v>
      </c>
      <c r="D2541">
        <f t="shared" si="39"/>
        <v>115</v>
      </c>
      <c r="G2541" s="1"/>
    </row>
    <row r="2542" spans="1:7" x14ac:dyDescent="0.25">
      <c r="A2542" s="4" t="s">
        <v>503</v>
      </c>
      <c r="B2542" s="5" t="s">
        <v>588</v>
      </c>
      <c r="C2542" s="5">
        <v>72.860699999999994</v>
      </c>
      <c r="D2542">
        <f t="shared" si="39"/>
        <v>115</v>
      </c>
      <c r="G2542" s="1"/>
    </row>
    <row r="2543" spans="1:7" x14ac:dyDescent="0.25">
      <c r="A2543" s="3" t="s">
        <v>503</v>
      </c>
      <c r="B2543" s="6" t="s">
        <v>589</v>
      </c>
      <c r="C2543" s="6">
        <v>0</v>
      </c>
      <c r="D2543">
        <f t="shared" si="39"/>
        <v>115</v>
      </c>
      <c r="G2543" s="1"/>
    </row>
    <row r="2544" spans="1:7" x14ac:dyDescent="0.25">
      <c r="A2544" s="4" t="s">
        <v>503</v>
      </c>
      <c r="B2544" s="5" t="s">
        <v>591</v>
      </c>
      <c r="C2544" s="5">
        <v>1</v>
      </c>
      <c r="D2544">
        <f t="shared" si="39"/>
        <v>115</v>
      </c>
      <c r="G2544" s="1"/>
    </row>
    <row r="2545" spans="1:7" x14ac:dyDescent="0.25">
      <c r="A2545" s="3" t="s">
        <v>504</v>
      </c>
      <c r="B2545" s="6" t="s">
        <v>574</v>
      </c>
      <c r="C2545" s="6">
        <v>1</v>
      </c>
      <c r="D2545">
        <f t="shared" si="39"/>
        <v>116</v>
      </c>
      <c r="G2545" s="1"/>
    </row>
    <row r="2546" spans="1:7" x14ac:dyDescent="0.25">
      <c r="A2546" s="4" t="s">
        <v>504</v>
      </c>
      <c r="B2546" s="5" t="s">
        <v>578</v>
      </c>
      <c r="C2546" s="5">
        <v>1</v>
      </c>
      <c r="D2546">
        <f t="shared" si="39"/>
        <v>116</v>
      </c>
      <c r="G2546" s="1"/>
    </row>
    <row r="2547" spans="1:7" x14ac:dyDescent="0.25">
      <c r="A2547" s="3" t="s">
        <v>504</v>
      </c>
      <c r="B2547" s="6" t="s">
        <v>579</v>
      </c>
      <c r="C2547" s="6">
        <v>5</v>
      </c>
      <c r="D2547">
        <f t="shared" si="39"/>
        <v>116</v>
      </c>
      <c r="G2547" s="1"/>
    </row>
    <row r="2548" spans="1:7" x14ac:dyDescent="0.25">
      <c r="A2548" s="4" t="s">
        <v>504</v>
      </c>
      <c r="B2548" s="5" t="s">
        <v>580</v>
      </c>
      <c r="C2548" s="5">
        <v>237.74440000000001</v>
      </c>
      <c r="D2548">
        <f t="shared" si="39"/>
        <v>116</v>
      </c>
      <c r="G2548" s="1"/>
    </row>
    <row r="2549" spans="1:7" x14ac:dyDescent="0.25">
      <c r="A2549" s="3" t="s">
        <v>504</v>
      </c>
      <c r="B2549" s="6" t="s">
        <v>581</v>
      </c>
      <c r="C2549" s="6">
        <v>1.2800000000000001E-2</v>
      </c>
      <c r="D2549">
        <f t="shared" si="39"/>
        <v>116</v>
      </c>
      <c r="G2549" s="1"/>
    </row>
    <row r="2550" spans="1:7" x14ac:dyDescent="0.25">
      <c r="A2550" s="4" t="s">
        <v>504</v>
      </c>
      <c r="B2550" s="5" t="s">
        <v>582</v>
      </c>
      <c r="C2550" s="5">
        <v>15</v>
      </c>
      <c r="D2550">
        <f t="shared" si="39"/>
        <v>116</v>
      </c>
      <c r="G2550" s="1"/>
    </row>
    <row r="2551" spans="1:7" x14ac:dyDescent="0.25">
      <c r="A2551" s="3" t="s">
        <v>504</v>
      </c>
      <c r="B2551" s="6" t="s">
        <v>583</v>
      </c>
      <c r="C2551" s="6">
        <v>9</v>
      </c>
      <c r="D2551">
        <f t="shared" si="39"/>
        <v>116</v>
      </c>
      <c r="G2551" s="1"/>
    </row>
    <row r="2552" spans="1:7" x14ac:dyDescent="0.25">
      <c r="A2552" s="4" t="s">
        <v>504</v>
      </c>
      <c r="B2552" s="5" t="s">
        <v>584</v>
      </c>
      <c r="C2552" s="5">
        <v>47.548900000000003</v>
      </c>
      <c r="D2552">
        <f t="shared" si="39"/>
        <v>116</v>
      </c>
      <c r="G2552" s="1"/>
    </row>
    <row r="2553" spans="1:7" x14ac:dyDescent="0.25">
      <c r="A2553" s="3" t="s">
        <v>504</v>
      </c>
      <c r="B2553" s="6" t="s">
        <v>585</v>
      </c>
      <c r="C2553" s="6">
        <v>10</v>
      </c>
      <c r="D2553">
        <f t="shared" si="39"/>
        <v>116</v>
      </c>
      <c r="G2553" s="1"/>
    </row>
    <row r="2554" spans="1:7" x14ac:dyDescent="0.25">
      <c r="A2554" s="4" t="s">
        <v>504</v>
      </c>
      <c r="B2554" s="5" t="s">
        <v>586</v>
      </c>
      <c r="C2554" s="5">
        <v>0.66669999999999996</v>
      </c>
      <c r="D2554">
        <f t="shared" si="39"/>
        <v>116</v>
      </c>
      <c r="G2554" s="1"/>
    </row>
    <row r="2555" spans="1:7" x14ac:dyDescent="0.25">
      <c r="A2555" s="3" t="s">
        <v>504</v>
      </c>
      <c r="B2555" s="6" t="s">
        <v>588</v>
      </c>
      <c r="C2555" s="6">
        <v>66.291499999999999</v>
      </c>
      <c r="D2555">
        <f t="shared" si="39"/>
        <v>116</v>
      </c>
      <c r="G2555" s="1"/>
    </row>
    <row r="2556" spans="1:7" x14ac:dyDescent="0.25">
      <c r="A2556" s="4" t="s">
        <v>504</v>
      </c>
      <c r="B2556" s="5" t="s">
        <v>589</v>
      </c>
      <c r="C2556" s="5">
        <v>0</v>
      </c>
      <c r="D2556">
        <f t="shared" si="39"/>
        <v>116</v>
      </c>
      <c r="G2556" s="1"/>
    </row>
    <row r="2557" spans="1:7" x14ac:dyDescent="0.25">
      <c r="A2557" s="3" t="s">
        <v>504</v>
      </c>
      <c r="B2557" s="6" t="s">
        <v>590</v>
      </c>
      <c r="C2557" s="6">
        <v>4</v>
      </c>
      <c r="D2557">
        <f t="shared" si="39"/>
        <v>116</v>
      </c>
      <c r="G2557" s="1"/>
    </row>
    <row r="2558" spans="1:7" x14ac:dyDescent="0.25">
      <c r="A2558" s="4" t="s">
        <v>504</v>
      </c>
      <c r="B2558" s="5" t="s">
        <v>591</v>
      </c>
      <c r="C2558" s="5">
        <v>3</v>
      </c>
      <c r="D2558">
        <f t="shared" si="39"/>
        <v>116</v>
      </c>
      <c r="G2558" s="1"/>
    </row>
    <row r="2559" spans="1:7" x14ac:dyDescent="0.25">
      <c r="A2559" s="3" t="s">
        <v>505</v>
      </c>
      <c r="B2559" s="6" t="s">
        <v>579</v>
      </c>
      <c r="C2559" s="6">
        <v>1.5</v>
      </c>
      <c r="D2559">
        <f t="shared" si="39"/>
        <v>116</v>
      </c>
      <c r="G2559" s="1"/>
    </row>
    <row r="2560" spans="1:7" x14ac:dyDescent="0.25">
      <c r="A2560" s="4" t="s">
        <v>505</v>
      </c>
      <c r="B2560" s="5" t="s">
        <v>580</v>
      </c>
      <c r="C2560" s="5">
        <v>12</v>
      </c>
      <c r="D2560">
        <f t="shared" si="39"/>
        <v>116</v>
      </c>
      <c r="G2560" s="1"/>
    </row>
    <row r="2561" spans="1:7" x14ac:dyDescent="0.25">
      <c r="A2561" s="3" t="s">
        <v>505</v>
      </c>
      <c r="B2561" s="6" t="s">
        <v>581</v>
      </c>
      <c r="C2561" s="6">
        <v>1.6999999999999999E-3</v>
      </c>
      <c r="D2561">
        <f t="shared" si="39"/>
        <v>116</v>
      </c>
      <c r="G2561" s="1"/>
    </row>
    <row r="2562" spans="1:7" x14ac:dyDescent="0.25">
      <c r="A2562" s="4" t="s">
        <v>505</v>
      </c>
      <c r="B2562" s="5" t="s">
        <v>582</v>
      </c>
      <c r="C2562" s="5">
        <v>4</v>
      </c>
      <c r="D2562">
        <f t="shared" si="39"/>
        <v>116</v>
      </c>
      <c r="G2562" s="1"/>
    </row>
    <row r="2563" spans="1:7" x14ac:dyDescent="0.25">
      <c r="A2563" s="3" t="s">
        <v>505</v>
      </c>
      <c r="B2563" s="6" t="s">
        <v>583</v>
      </c>
      <c r="C2563" s="6">
        <v>4</v>
      </c>
      <c r="D2563">
        <f t="shared" si="39"/>
        <v>116</v>
      </c>
      <c r="G2563" s="1"/>
    </row>
    <row r="2564" spans="1:7" x14ac:dyDescent="0.25">
      <c r="A2564" s="4" t="s">
        <v>505</v>
      </c>
      <c r="B2564" s="5" t="s">
        <v>584</v>
      </c>
      <c r="C2564" s="5">
        <v>8</v>
      </c>
      <c r="D2564">
        <f t="shared" ref="D2564:D2627" si="40">IF(B2564="CCM", D2563+1, D2563)</f>
        <v>116</v>
      </c>
      <c r="G2564" s="1"/>
    </row>
    <row r="2565" spans="1:7" x14ac:dyDescent="0.25">
      <c r="A2565" s="3" t="s">
        <v>505</v>
      </c>
      <c r="B2565" s="6" t="s">
        <v>585</v>
      </c>
      <c r="C2565" s="6">
        <v>9</v>
      </c>
      <c r="D2565">
        <f t="shared" si="40"/>
        <v>116</v>
      </c>
      <c r="G2565" s="1"/>
    </row>
    <row r="2566" spans="1:7" x14ac:dyDescent="0.25">
      <c r="A2566" s="4" t="s">
        <v>505</v>
      </c>
      <c r="B2566" s="5" t="s">
        <v>586</v>
      </c>
      <c r="C2566" s="5">
        <v>1</v>
      </c>
      <c r="D2566">
        <f t="shared" si="40"/>
        <v>116</v>
      </c>
      <c r="G2566" s="1"/>
    </row>
    <row r="2567" spans="1:7" x14ac:dyDescent="0.25">
      <c r="A2567" s="3" t="s">
        <v>505</v>
      </c>
      <c r="B2567" s="6" t="s">
        <v>588</v>
      </c>
      <c r="C2567" s="6">
        <v>72.860699999999994</v>
      </c>
      <c r="D2567">
        <f t="shared" si="40"/>
        <v>116</v>
      </c>
      <c r="G2567" s="1"/>
    </row>
    <row r="2568" spans="1:7" x14ac:dyDescent="0.25">
      <c r="A2568" s="4" t="s">
        <v>505</v>
      </c>
      <c r="B2568" s="5" t="s">
        <v>589</v>
      </c>
      <c r="C2568" s="5">
        <v>0</v>
      </c>
      <c r="D2568">
        <f t="shared" si="40"/>
        <v>116</v>
      </c>
      <c r="G2568" s="1"/>
    </row>
    <row r="2569" spans="1:7" x14ac:dyDescent="0.25">
      <c r="A2569" s="3" t="s">
        <v>505</v>
      </c>
      <c r="B2569" s="6" t="s">
        <v>591</v>
      </c>
      <c r="C2569" s="6">
        <v>1</v>
      </c>
      <c r="D2569">
        <f t="shared" si="40"/>
        <v>116</v>
      </c>
      <c r="G2569" s="1"/>
    </row>
    <row r="2570" spans="1:7" x14ac:dyDescent="0.25">
      <c r="A2570" s="4" t="s">
        <v>506</v>
      </c>
      <c r="B2570" s="5" t="s">
        <v>579</v>
      </c>
      <c r="C2570" s="5">
        <v>1</v>
      </c>
      <c r="D2570">
        <f t="shared" si="40"/>
        <v>116</v>
      </c>
      <c r="G2570" s="1"/>
    </row>
    <row r="2571" spans="1:7" x14ac:dyDescent="0.25">
      <c r="A2571" s="3" t="s">
        <v>506</v>
      </c>
      <c r="B2571" s="6" t="s">
        <v>580</v>
      </c>
      <c r="C2571" s="6">
        <v>8</v>
      </c>
      <c r="D2571">
        <f t="shared" si="40"/>
        <v>116</v>
      </c>
      <c r="G2571" s="1"/>
    </row>
    <row r="2572" spans="1:7" x14ac:dyDescent="0.25">
      <c r="A2572" s="4" t="s">
        <v>506</v>
      </c>
      <c r="B2572" s="5" t="s">
        <v>581</v>
      </c>
      <c r="C2572" s="5">
        <v>1.2999999999999999E-3</v>
      </c>
      <c r="D2572">
        <f t="shared" si="40"/>
        <v>116</v>
      </c>
      <c r="G2572" s="1"/>
    </row>
    <row r="2573" spans="1:7" x14ac:dyDescent="0.25">
      <c r="A2573" s="3" t="s">
        <v>506</v>
      </c>
      <c r="B2573" s="6" t="s">
        <v>582</v>
      </c>
      <c r="C2573" s="6">
        <v>4</v>
      </c>
      <c r="D2573">
        <f t="shared" si="40"/>
        <v>116</v>
      </c>
      <c r="G2573" s="1"/>
    </row>
    <row r="2574" spans="1:7" x14ac:dyDescent="0.25">
      <c r="A2574" s="4" t="s">
        <v>506</v>
      </c>
      <c r="B2574" s="5" t="s">
        <v>583</v>
      </c>
      <c r="C2574" s="5">
        <v>4</v>
      </c>
      <c r="D2574">
        <f t="shared" si="40"/>
        <v>116</v>
      </c>
      <c r="G2574" s="1"/>
    </row>
    <row r="2575" spans="1:7" x14ac:dyDescent="0.25">
      <c r="A2575" s="3" t="s">
        <v>506</v>
      </c>
      <c r="B2575" s="6" t="s">
        <v>584</v>
      </c>
      <c r="C2575" s="6">
        <v>8</v>
      </c>
      <c r="D2575">
        <f t="shared" si="40"/>
        <v>116</v>
      </c>
      <c r="G2575" s="1"/>
    </row>
    <row r="2576" spans="1:7" x14ac:dyDescent="0.25">
      <c r="A2576" s="4" t="s">
        <v>506</v>
      </c>
      <c r="B2576" s="5" t="s">
        <v>585</v>
      </c>
      <c r="C2576" s="5">
        <v>7</v>
      </c>
      <c r="D2576">
        <f t="shared" si="40"/>
        <v>116</v>
      </c>
      <c r="G2576" s="1"/>
    </row>
    <row r="2577" spans="1:7" x14ac:dyDescent="0.25">
      <c r="A2577" s="3" t="s">
        <v>506</v>
      </c>
      <c r="B2577" s="6" t="s">
        <v>586</v>
      </c>
      <c r="C2577" s="6">
        <v>1</v>
      </c>
      <c r="D2577">
        <f t="shared" si="40"/>
        <v>116</v>
      </c>
      <c r="G2577" s="1"/>
    </row>
    <row r="2578" spans="1:7" x14ac:dyDescent="0.25">
      <c r="A2578" s="4" t="s">
        <v>506</v>
      </c>
      <c r="B2578" s="5" t="s">
        <v>588</v>
      </c>
      <c r="C2578" s="5">
        <v>75.241600000000005</v>
      </c>
      <c r="D2578">
        <f t="shared" si="40"/>
        <v>116</v>
      </c>
      <c r="G2578" s="1"/>
    </row>
    <row r="2579" spans="1:7" x14ac:dyDescent="0.25">
      <c r="A2579" s="3" t="s">
        <v>506</v>
      </c>
      <c r="B2579" s="6" t="s">
        <v>589</v>
      </c>
      <c r="C2579" s="6">
        <v>0</v>
      </c>
      <c r="D2579">
        <f t="shared" si="40"/>
        <v>116</v>
      </c>
      <c r="G2579" s="1"/>
    </row>
    <row r="2580" spans="1:7" x14ac:dyDescent="0.25">
      <c r="A2580" s="4" t="s">
        <v>506</v>
      </c>
      <c r="B2580" s="5" t="s">
        <v>591</v>
      </c>
      <c r="C2580" s="5">
        <v>1</v>
      </c>
      <c r="D2580">
        <f t="shared" si="40"/>
        <v>116</v>
      </c>
      <c r="G2580" s="1"/>
    </row>
    <row r="2581" spans="1:7" x14ac:dyDescent="0.25">
      <c r="A2581" s="3" t="s">
        <v>529</v>
      </c>
      <c r="B2581" s="6" t="s">
        <v>574</v>
      </c>
      <c r="C2581" s="6">
        <v>0</v>
      </c>
      <c r="D2581">
        <f t="shared" si="40"/>
        <v>117</v>
      </c>
      <c r="G2581" s="1"/>
    </row>
    <row r="2582" spans="1:7" x14ac:dyDescent="0.25">
      <c r="A2582" s="4" t="s">
        <v>529</v>
      </c>
      <c r="B2582" s="5" t="s">
        <v>575</v>
      </c>
      <c r="C2582" s="5">
        <v>0</v>
      </c>
      <c r="D2582">
        <f t="shared" si="40"/>
        <v>117</v>
      </c>
      <c r="G2582" s="1"/>
    </row>
    <row r="2583" spans="1:7" x14ac:dyDescent="0.25">
      <c r="A2583" s="3" t="s">
        <v>529</v>
      </c>
      <c r="B2583" s="6" t="s">
        <v>576</v>
      </c>
      <c r="C2583" s="6">
        <v>1</v>
      </c>
      <c r="D2583">
        <f t="shared" si="40"/>
        <v>117</v>
      </c>
      <c r="G2583" s="1"/>
    </row>
    <row r="2584" spans="1:7" x14ac:dyDescent="0.25">
      <c r="A2584" s="4" t="s">
        <v>529</v>
      </c>
      <c r="B2584" s="5" t="s">
        <v>577</v>
      </c>
      <c r="C2584" s="5">
        <v>1</v>
      </c>
      <c r="D2584">
        <f t="shared" si="40"/>
        <v>117</v>
      </c>
      <c r="G2584" s="1"/>
    </row>
    <row r="2585" spans="1:7" x14ac:dyDescent="0.25">
      <c r="A2585" s="3" t="s">
        <v>529</v>
      </c>
      <c r="B2585" s="6" t="s">
        <v>578</v>
      </c>
      <c r="C2585" s="6">
        <v>1</v>
      </c>
      <c r="D2585">
        <f t="shared" si="40"/>
        <v>117</v>
      </c>
      <c r="G2585" s="1"/>
    </row>
    <row r="2586" spans="1:7" x14ac:dyDescent="0.25">
      <c r="A2586" s="4" t="s">
        <v>529</v>
      </c>
      <c r="B2586" s="5" t="s">
        <v>579</v>
      </c>
      <c r="C2586" s="5">
        <v>4.6666999999999996</v>
      </c>
      <c r="D2586">
        <f t="shared" si="40"/>
        <v>117</v>
      </c>
      <c r="G2586" s="1"/>
    </row>
    <row r="2587" spans="1:7" x14ac:dyDescent="0.25">
      <c r="A2587" s="3" t="s">
        <v>529</v>
      </c>
      <c r="B2587" s="6" t="s">
        <v>580</v>
      </c>
      <c r="C2587" s="6">
        <v>248.03729999999999</v>
      </c>
      <c r="D2587">
        <f t="shared" si="40"/>
        <v>117</v>
      </c>
      <c r="G2587" s="1"/>
    </row>
    <row r="2588" spans="1:7" x14ac:dyDescent="0.25">
      <c r="A2588" s="4" t="s">
        <v>529</v>
      </c>
      <c r="B2588" s="5" t="s">
        <v>581</v>
      </c>
      <c r="C2588" s="5">
        <v>1.32E-2</v>
      </c>
      <c r="D2588">
        <f t="shared" si="40"/>
        <v>117</v>
      </c>
      <c r="G2588" s="1"/>
    </row>
    <row r="2589" spans="1:7" x14ac:dyDescent="0.25">
      <c r="A2589" s="3" t="s">
        <v>529</v>
      </c>
      <c r="B2589" s="6" t="s">
        <v>582</v>
      </c>
      <c r="C2589" s="6">
        <v>16</v>
      </c>
      <c r="D2589">
        <f t="shared" si="40"/>
        <v>117</v>
      </c>
      <c r="G2589" s="1"/>
    </row>
    <row r="2590" spans="1:7" x14ac:dyDescent="0.25">
      <c r="A2590" s="4" t="s">
        <v>529</v>
      </c>
      <c r="B2590" s="5" t="s">
        <v>583</v>
      </c>
      <c r="C2590" s="5">
        <v>10</v>
      </c>
      <c r="D2590">
        <f t="shared" si="40"/>
        <v>117</v>
      </c>
      <c r="G2590" s="1"/>
    </row>
    <row r="2591" spans="1:7" x14ac:dyDescent="0.25">
      <c r="A2591" s="3" t="s">
        <v>529</v>
      </c>
      <c r="B2591" s="6" t="s">
        <v>584</v>
      </c>
      <c r="C2591" s="6">
        <v>53.150799999999997</v>
      </c>
      <c r="D2591">
        <f t="shared" si="40"/>
        <v>117</v>
      </c>
      <c r="G2591" s="1"/>
    </row>
    <row r="2592" spans="1:7" x14ac:dyDescent="0.25">
      <c r="A2592" s="4" t="s">
        <v>529</v>
      </c>
      <c r="B2592" s="5" t="s">
        <v>585</v>
      </c>
      <c r="C2592" s="5">
        <v>7</v>
      </c>
      <c r="D2592">
        <f t="shared" si="40"/>
        <v>117</v>
      </c>
      <c r="G2592" s="1"/>
    </row>
    <row r="2593" spans="1:7" x14ac:dyDescent="0.25">
      <c r="A2593" s="3" t="s">
        <v>529</v>
      </c>
      <c r="B2593" s="6" t="s">
        <v>586</v>
      </c>
      <c r="C2593" s="6">
        <v>0</v>
      </c>
      <c r="D2593">
        <f t="shared" si="40"/>
        <v>117</v>
      </c>
      <c r="G2593" s="1"/>
    </row>
    <row r="2594" spans="1:7" x14ac:dyDescent="0.25">
      <c r="A2594" s="4" t="s">
        <v>529</v>
      </c>
      <c r="B2594" s="5" t="s">
        <v>587</v>
      </c>
      <c r="C2594" s="5">
        <v>0</v>
      </c>
      <c r="D2594">
        <f t="shared" si="40"/>
        <v>117</v>
      </c>
      <c r="G2594" s="1"/>
    </row>
    <row r="2595" spans="1:7" x14ac:dyDescent="0.25">
      <c r="A2595" s="3" t="s">
        <v>529</v>
      </c>
      <c r="B2595" s="6" t="s">
        <v>588</v>
      </c>
      <c r="C2595" s="6">
        <v>69.491699999999994</v>
      </c>
      <c r="D2595">
        <f t="shared" si="40"/>
        <v>117</v>
      </c>
      <c r="G2595" s="1"/>
    </row>
    <row r="2596" spans="1:7" x14ac:dyDescent="0.25">
      <c r="A2596" s="4" t="s">
        <v>529</v>
      </c>
      <c r="B2596" s="5" t="s">
        <v>589</v>
      </c>
      <c r="C2596" s="5">
        <v>0</v>
      </c>
      <c r="D2596">
        <f t="shared" si="40"/>
        <v>117</v>
      </c>
      <c r="G2596" s="1"/>
    </row>
    <row r="2597" spans="1:7" x14ac:dyDescent="0.25">
      <c r="A2597" s="3" t="s">
        <v>529</v>
      </c>
      <c r="B2597" s="6" t="s">
        <v>590</v>
      </c>
      <c r="C2597" s="6">
        <v>1</v>
      </c>
      <c r="D2597">
        <f t="shared" si="40"/>
        <v>117</v>
      </c>
      <c r="G2597" s="1"/>
    </row>
    <row r="2598" spans="1:7" x14ac:dyDescent="0.25">
      <c r="A2598" s="4" t="s">
        <v>529</v>
      </c>
      <c r="B2598" s="5" t="s">
        <v>591</v>
      </c>
      <c r="C2598" s="5">
        <v>3</v>
      </c>
      <c r="D2598">
        <f t="shared" si="40"/>
        <v>117</v>
      </c>
      <c r="G2598" s="1"/>
    </row>
    <row r="2599" spans="1:7" x14ac:dyDescent="0.25">
      <c r="A2599" s="3" t="s">
        <v>529</v>
      </c>
      <c r="B2599" s="6" t="s">
        <v>592</v>
      </c>
      <c r="C2599" s="6">
        <v>0</v>
      </c>
      <c r="D2599">
        <f t="shared" si="40"/>
        <v>117</v>
      </c>
      <c r="G2599" s="1"/>
    </row>
    <row r="2600" spans="1:7" x14ac:dyDescent="0.25">
      <c r="A2600" s="4" t="s">
        <v>529</v>
      </c>
      <c r="B2600" s="5" t="s">
        <v>593</v>
      </c>
      <c r="C2600" s="5">
        <v>0</v>
      </c>
      <c r="D2600">
        <f t="shared" si="40"/>
        <v>117</v>
      </c>
      <c r="G2600" s="1"/>
    </row>
    <row r="2601" spans="1:7" x14ac:dyDescent="0.25">
      <c r="A2601" s="3" t="s">
        <v>507</v>
      </c>
      <c r="B2601" s="6" t="s">
        <v>579</v>
      </c>
      <c r="C2601" s="6">
        <v>1</v>
      </c>
      <c r="D2601">
        <f t="shared" si="40"/>
        <v>117</v>
      </c>
      <c r="G2601" s="1"/>
    </row>
    <row r="2602" spans="1:7" x14ac:dyDescent="0.25">
      <c r="A2602" s="4" t="s">
        <v>507</v>
      </c>
      <c r="B2602" s="5" t="s">
        <v>580</v>
      </c>
      <c r="C2602" s="5">
        <v>8</v>
      </c>
      <c r="D2602">
        <f t="shared" si="40"/>
        <v>117</v>
      </c>
      <c r="G2602" s="1"/>
    </row>
    <row r="2603" spans="1:7" x14ac:dyDescent="0.25">
      <c r="A2603" s="3" t="s">
        <v>507</v>
      </c>
      <c r="B2603" s="6" t="s">
        <v>581</v>
      </c>
      <c r="C2603" s="6">
        <v>1.2999999999999999E-3</v>
      </c>
      <c r="D2603">
        <f t="shared" si="40"/>
        <v>117</v>
      </c>
      <c r="G2603" s="1"/>
    </row>
    <row r="2604" spans="1:7" x14ac:dyDescent="0.25">
      <c r="A2604" s="4" t="s">
        <v>507</v>
      </c>
      <c r="B2604" s="5" t="s">
        <v>582</v>
      </c>
      <c r="C2604" s="5">
        <v>4</v>
      </c>
      <c r="D2604">
        <f t="shared" si="40"/>
        <v>117</v>
      </c>
      <c r="G2604" s="1"/>
    </row>
    <row r="2605" spans="1:7" x14ac:dyDescent="0.25">
      <c r="A2605" s="3" t="s">
        <v>507</v>
      </c>
      <c r="B2605" s="6" t="s">
        <v>583</v>
      </c>
      <c r="C2605" s="6">
        <v>4</v>
      </c>
      <c r="D2605">
        <f t="shared" si="40"/>
        <v>117</v>
      </c>
      <c r="G2605" s="1"/>
    </row>
    <row r="2606" spans="1:7" x14ac:dyDescent="0.25">
      <c r="A2606" s="4" t="s">
        <v>507</v>
      </c>
      <c r="B2606" s="5" t="s">
        <v>584</v>
      </c>
      <c r="C2606" s="5">
        <v>8</v>
      </c>
      <c r="D2606">
        <f t="shared" si="40"/>
        <v>117</v>
      </c>
      <c r="G2606" s="1"/>
    </row>
    <row r="2607" spans="1:7" x14ac:dyDescent="0.25">
      <c r="A2607" s="3" t="s">
        <v>507</v>
      </c>
      <c r="B2607" s="6" t="s">
        <v>585</v>
      </c>
      <c r="C2607" s="6">
        <v>7</v>
      </c>
      <c r="D2607">
        <f t="shared" si="40"/>
        <v>117</v>
      </c>
      <c r="G2607" s="1"/>
    </row>
    <row r="2608" spans="1:7" x14ac:dyDescent="0.25">
      <c r="A2608" s="4" t="s">
        <v>507</v>
      </c>
      <c r="B2608" s="5" t="s">
        <v>586</v>
      </c>
      <c r="C2608" s="5">
        <v>1</v>
      </c>
      <c r="D2608">
        <f t="shared" si="40"/>
        <v>117</v>
      </c>
      <c r="G2608" s="1"/>
    </row>
    <row r="2609" spans="1:7" x14ac:dyDescent="0.25">
      <c r="A2609" s="3" t="s">
        <v>507</v>
      </c>
      <c r="B2609" s="6" t="s">
        <v>588</v>
      </c>
      <c r="C2609" s="6">
        <v>75.241600000000005</v>
      </c>
      <c r="D2609">
        <f t="shared" si="40"/>
        <v>117</v>
      </c>
      <c r="G2609" s="1"/>
    </row>
    <row r="2610" spans="1:7" x14ac:dyDescent="0.25">
      <c r="A2610" s="4" t="s">
        <v>507</v>
      </c>
      <c r="B2610" s="5" t="s">
        <v>589</v>
      </c>
      <c r="C2610" s="5">
        <v>0</v>
      </c>
      <c r="D2610">
        <f t="shared" si="40"/>
        <v>117</v>
      </c>
      <c r="G2610" s="1"/>
    </row>
    <row r="2611" spans="1:7" x14ac:dyDescent="0.25">
      <c r="A2611" s="3" t="s">
        <v>507</v>
      </c>
      <c r="B2611" s="6" t="s">
        <v>591</v>
      </c>
      <c r="C2611" s="6">
        <v>1</v>
      </c>
      <c r="D2611">
        <f t="shared" si="40"/>
        <v>117</v>
      </c>
      <c r="G2611" s="1"/>
    </row>
    <row r="2612" spans="1:7" x14ac:dyDescent="0.25">
      <c r="A2612" s="4" t="s">
        <v>435</v>
      </c>
      <c r="B2612" s="5" t="s">
        <v>579</v>
      </c>
      <c r="C2612" s="5">
        <v>2</v>
      </c>
      <c r="D2612">
        <f t="shared" si="40"/>
        <v>117</v>
      </c>
      <c r="G2612" s="1"/>
    </row>
    <row r="2613" spans="1:7" x14ac:dyDescent="0.25">
      <c r="A2613" s="3" t="s">
        <v>435</v>
      </c>
      <c r="B2613" s="6" t="s">
        <v>580</v>
      </c>
      <c r="C2613" s="6">
        <v>63.398499999999999</v>
      </c>
      <c r="D2613">
        <f t="shared" si="40"/>
        <v>117</v>
      </c>
      <c r="G2613" s="1"/>
    </row>
    <row r="2614" spans="1:7" x14ac:dyDescent="0.25">
      <c r="A2614" s="4" t="s">
        <v>435</v>
      </c>
      <c r="B2614" s="5" t="s">
        <v>581</v>
      </c>
      <c r="C2614" s="5">
        <v>5.3E-3</v>
      </c>
      <c r="D2614">
        <f t="shared" si="40"/>
        <v>117</v>
      </c>
      <c r="G2614" s="1"/>
    </row>
    <row r="2615" spans="1:7" x14ac:dyDescent="0.25">
      <c r="A2615" s="3" t="s">
        <v>435</v>
      </c>
      <c r="B2615" s="6" t="s">
        <v>582</v>
      </c>
      <c r="C2615" s="6">
        <v>10</v>
      </c>
      <c r="D2615">
        <f t="shared" si="40"/>
        <v>117</v>
      </c>
      <c r="G2615" s="1"/>
    </row>
    <row r="2616" spans="1:7" x14ac:dyDescent="0.25">
      <c r="A2616" s="4" t="s">
        <v>435</v>
      </c>
      <c r="B2616" s="5" t="s">
        <v>583</v>
      </c>
      <c r="C2616" s="5">
        <v>9</v>
      </c>
      <c r="D2616">
        <f t="shared" si="40"/>
        <v>117</v>
      </c>
      <c r="G2616" s="1"/>
    </row>
    <row r="2617" spans="1:7" x14ac:dyDescent="0.25">
      <c r="A2617" s="3" t="s">
        <v>435</v>
      </c>
      <c r="B2617" s="6" t="s">
        <v>584</v>
      </c>
      <c r="C2617" s="6">
        <v>31.699300000000001</v>
      </c>
      <c r="D2617">
        <f t="shared" si="40"/>
        <v>117</v>
      </c>
      <c r="G2617" s="1"/>
    </row>
    <row r="2618" spans="1:7" x14ac:dyDescent="0.25">
      <c r="A2618" s="4" t="s">
        <v>435</v>
      </c>
      <c r="B2618" s="5" t="s">
        <v>585</v>
      </c>
      <c r="C2618" s="5">
        <v>11</v>
      </c>
      <c r="D2618">
        <f t="shared" si="40"/>
        <v>117</v>
      </c>
      <c r="G2618" s="1"/>
    </row>
    <row r="2619" spans="1:7" x14ac:dyDescent="0.25">
      <c r="A2619" s="3" t="s">
        <v>435</v>
      </c>
      <c r="B2619" s="6" t="s">
        <v>588</v>
      </c>
      <c r="C2619" s="6">
        <v>66.840599999999995</v>
      </c>
      <c r="D2619">
        <f t="shared" si="40"/>
        <v>117</v>
      </c>
      <c r="G2619" s="1"/>
    </row>
    <row r="2620" spans="1:7" x14ac:dyDescent="0.25">
      <c r="A2620" s="4" t="s">
        <v>435</v>
      </c>
      <c r="B2620" s="5" t="s">
        <v>591</v>
      </c>
      <c r="C2620" s="5">
        <v>2</v>
      </c>
      <c r="D2620">
        <f t="shared" si="40"/>
        <v>117</v>
      </c>
      <c r="G2620" s="1"/>
    </row>
    <row r="2621" spans="1:7" x14ac:dyDescent="0.25">
      <c r="A2621" s="3" t="s">
        <v>530</v>
      </c>
      <c r="B2621" s="6" t="s">
        <v>574</v>
      </c>
      <c r="C2621" s="6">
        <v>1</v>
      </c>
      <c r="D2621">
        <f t="shared" si="40"/>
        <v>118</v>
      </c>
      <c r="G2621" s="1"/>
    </row>
    <row r="2622" spans="1:7" x14ac:dyDescent="0.25">
      <c r="A2622" s="4" t="s">
        <v>530</v>
      </c>
      <c r="B2622" s="5" t="s">
        <v>575</v>
      </c>
      <c r="C2622" s="5">
        <v>0</v>
      </c>
      <c r="D2622">
        <f t="shared" si="40"/>
        <v>118</v>
      </c>
      <c r="G2622" s="1"/>
    </row>
    <row r="2623" spans="1:7" x14ac:dyDescent="0.25">
      <c r="A2623" s="3" t="s">
        <v>530</v>
      </c>
      <c r="B2623" s="6" t="s">
        <v>576</v>
      </c>
      <c r="C2623" s="6">
        <v>0.63639999999999997</v>
      </c>
      <c r="D2623">
        <f t="shared" si="40"/>
        <v>118</v>
      </c>
      <c r="G2623" s="1"/>
    </row>
    <row r="2624" spans="1:7" x14ac:dyDescent="0.25">
      <c r="A2624" s="4" t="s">
        <v>530</v>
      </c>
      <c r="B2624" s="5" t="s">
        <v>577</v>
      </c>
      <c r="C2624" s="5">
        <v>11</v>
      </c>
      <c r="D2624">
        <f t="shared" si="40"/>
        <v>118</v>
      </c>
      <c r="G2624" s="1"/>
    </row>
    <row r="2625" spans="1:7" x14ac:dyDescent="0.25">
      <c r="A2625" s="3" t="s">
        <v>530</v>
      </c>
      <c r="B2625" s="6" t="s">
        <v>578</v>
      </c>
      <c r="C2625" s="6">
        <v>3</v>
      </c>
      <c r="D2625">
        <f t="shared" si="40"/>
        <v>118</v>
      </c>
      <c r="G2625" s="1"/>
    </row>
    <row r="2626" spans="1:7" x14ac:dyDescent="0.25">
      <c r="A2626" s="4" t="s">
        <v>530</v>
      </c>
      <c r="B2626" s="5" t="s">
        <v>579</v>
      </c>
      <c r="C2626" s="5">
        <v>11.9</v>
      </c>
      <c r="D2626">
        <f t="shared" si="40"/>
        <v>118</v>
      </c>
      <c r="G2626" s="1"/>
    </row>
    <row r="2627" spans="1:7" x14ac:dyDescent="0.25">
      <c r="A2627" s="3" t="s">
        <v>530</v>
      </c>
      <c r="B2627" s="6" t="s">
        <v>580</v>
      </c>
      <c r="C2627" s="6">
        <v>2261</v>
      </c>
      <c r="D2627">
        <f t="shared" si="40"/>
        <v>118</v>
      </c>
      <c r="G2627" s="1"/>
    </row>
    <row r="2628" spans="1:7" x14ac:dyDescent="0.25">
      <c r="A2628" s="4" t="s">
        <v>530</v>
      </c>
      <c r="B2628" s="5" t="s">
        <v>581</v>
      </c>
      <c r="C2628" s="5">
        <v>5.74E-2</v>
      </c>
      <c r="D2628">
        <f t="shared" ref="D2628:D2691" si="41">IF(B2628="CCM", D2627+1, D2627)</f>
        <v>118</v>
      </c>
      <c r="G2628" s="1"/>
    </row>
    <row r="2629" spans="1:7" x14ac:dyDescent="0.25">
      <c r="A2629" s="3" t="s">
        <v>530</v>
      </c>
      <c r="B2629" s="6" t="s">
        <v>582</v>
      </c>
      <c r="C2629" s="6">
        <v>38</v>
      </c>
      <c r="D2629">
        <f t="shared" si="41"/>
        <v>118</v>
      </c>
      <c r="G2629" s="1"/>
    </row>
    <row r="2630" spans="1:7" x14ac:dyDescent="0.25">
      <c r="A2630" s="4" t="s">
        <v>530</v>
      </c>
      <c r="B2630" s="5" t="s">
        <v>583</v>
      </c>
      <c r="C2630" s="5">
        <v>32</v>
      </c>
      <c r="D2630">
        <f t="shared" si="41"/>
        <v>118</v>
      </c>
      <c r="G2630" s="1"/>
    </row>
    <row r="2631" spans="1:7" x14ac:dyDescent="0.25">
      <c r="A2631" s="3" t="s">
        <v>530</v>
      </c>
      <c r="B2631" s="6" t="s">
        <v>584</v>
      </c>
      <c r="C2631" s="6">
        <v>190</v>
      </c>
      <c r="D2631">
        <f t="shared" si="41"/>
        <v>118</v>
      </c>
      <c r="G2631" s="1"/>
    </row>
    <row r="2632" spans="1:7" x14ac:dyDescent="0.25">
      <c r="A2632" s="4" t="s">
        <v>530</v>
      </c>
      <c r="B2632" s="5" t="s">
        <v>585</v>
      </c>
      <c r="C2632" s="5">
        <v>14</v>
      </c>
      <c r="D2632">
        <f t="shared" si="41"/>
        <v>118</v>
      </c>
      <c r="G2632" s="1"/>
    </row>
    <row r="2633" spans="1:7" x14ac:dyDescent="0.25">
      <c r="A2633" s="3" t="s">
        <v>530</v>
      </c>
      <c r="B2633" s="6" t="s">
        <v>586</v>
      </c>
      <c r="C2633" s="6">
        <v>0</v>
      </c>
      <c r="D2633">
        <f t="shared" si="41"/>
        <v>118</v>
      </c>
      <c r="G2633" s="1"/>
    </row>
    <row r="2634" spans="1:7" x14ac:dyDescent="0.25">
      <c r="A2634" s="4" t="s">
        <v>530</v>
      </c>
      <c r="B2634" s="5" t="s">
        <v>587</v>
      </c>
      <c r="C2634" s="5">
        <v>1</v>
      </c>
      <c r="D2634">
        <f t="shared" si="41"/>
        <v>118</v>
      </c>
      <c r="G2634" s="1"/>
    </row>
    <row r="2635" spans="1:7" x14ac:dyDescent="0.25">
      <c r="A2635" s="3" t="s">
        <v>530</v>
      </c>
      <c r="B2635" s="6" t="s">
        <v>588</v>
      </c>
      <c r="C2635" s="6">
        <v>58.949300000000001</v>
      </c>
      <c r="D2635">
        <f t="shared" si="41"/>
        <v>118</v>
      </c>
      <c r="G2635" s="1"/>
    </row>
    <row r="2636" spans="1:7" x14ac:dyDescent="0.25">
      <c r="A2636" s="4" t="s">
        <v>530</v>
      </c>
      <c r="B2636" s="5" t="s">
        <v>589</v>
      </c>
      <c r="C2636" s="5">
        <v>3</v>
      </c>
      <c r="D2636">
        <f t="shared" si="41"/>
        <v>118</v>
      </c>
      <c r="G2636" s="1"/>
    </row>
    <row r="2637" spans="1:7" x14ac:dyDescent="0.25">
      <c r="A2637" s="3" t="s">
        <v>530</v>
      </c>
      <c r="B2637" s="6" t="s">
        <v>590</v>
      </c>
      <c r="C2637" s="6">
        <v>2</v>
      </c>
      <c r="D2637">
        <f t="shared" si="41"/>
        <v>118</v>
      </c>
      <c r="G2637" s="1"/>
    </row>
    <row r="2638" spans="1:7" x14ac:dyDescent="0.25">
      <c r="A2638" s="4" t="s">
        <v>530</v>
      </c>
      <c r="B2638" s="5" t="s">
        <v>591</v>
      </c>
      <c r="C2638" s="5">
        <v>9</v>
      </c>
      <c r="D2638">
        <f t="shared" si="41"/>
        <v>118</v>
      </c>
      <c r="G2638" s="1"/>
    </row>
    <row r="2639" spans="1:7" x14ac:dyDescent="0.25">
      <c r="A2639" s="3" t="s">
        <v>530</v>
      </c>
      <c r="B2639" s="6" t="s">
        <v>592</v>
      </c>
      <c r="C2639" s="6">
        <v>1</v>
      </c>
      <c r="D2639">
        <f t="shared" si="41"/>
        <v>118</v>
      </c>
      <c r="G2639" s="1"/>
    </row>
    <row r="2640" spans="1:7" x14ac:dyDescent="0.25">
      <c r="A2640" s="4" t="s">
        <v>530</v>
      </c>
      <c r="B2640" s="5" t="s">
        <v>593</v>
      </c>
      <c r="C2640" s="5">
        <v>2</v>
      </c>
      <c r="D2640">
        <f t="shared" si="41"/>
        <v>118</v>
      </c>
      <c r="G2640" s="1"/>
    </row>
    <row r="2641" spans="1:7" x14ac:dyDescent="0.25">
      <c r="A2641" s="3" t="s">
        <v>531</v>
      </c>
      <c r="B2641" s="6" t="s">
        <v>574</v>
      </c>
      <c r="C2641" s="6">
        <v>0</v>
      </c>
      <c r="D2641">
        <f t="shared" si="41"/>
        <v>119</v>
      </c>
      <c r="G2641" s="1"/>
    </row>
    <row r="2642" spans="1:7" x14ac:dyDescent="0.25">
      <c r="A2642" s="4" t="s">
        <v>531</v>
      </c>
      <c r="B2642" s="5" t="s">
        <v>575</v>
      </c>
      <c r="C2642" s="5">
        <v>0</v>
      </c>
      <c r="D2642">
        <f t="shared" si="41"/>
        <v>119</v>
      </c>
      <c r="G2642" s="1"/>
    </row>
    <row r="2643" spans="1:7" x14ac:dyDescent="0.25">
      <c r="A2643" s="3" t="s">
        <v>531</v>
      </c>
      <c r="B2643" s="6" t="s">
        <v>576</v>
      </c>
      <c r="C2643" s="6">
        <v>1</v>
      </c>
      <c r="D2643">
        <f t="shared" si="41"/>
        <v>119</v>
      </c>
      <c r="G2643" s="1"/>
    </row>
    <row r="2644" spans="1:7" x14ac:dyDescent="0.25">
      <c r="A2644" s="4" t="s">
        <v>531</v>
      </c>
      <c r="B2644" s="5" t="s">
        <v>577</v>
      </c>
      <c r="C2644" s="5">
        <v>1</v>
      </c>
      <c r="D2644">
        <f t="shared" si="41"/>
        <v>119</v>
      </c>
      <c r="G2644" s="1"/>
    </row>
    <row r="2645" spans="1:7" x14ac:dyDescent="0.25">
      <c r="A2645" s="3" t="s">
        <v>531</v>
      </c>
      <c r="B2645" s="6" t="s">
        <v>578</v>
      </c>
      <c r="C2645" s="6">
        <v>0</v>
      </c>
      <c r="D2645">
        <f t="shared" si="41"/>
        <v>119</v>
      </c>
      <c r="G2645" s="1"/>
    </row>
    <row r="2646" spans="1:7" x14ac:dyDescent="0.25">
      <c r="A2646" s="4" t="s">
        <v>531</v>
      </c>
      <c r="B2646" s="5" t="s">
        <v>579</v>
      </c>
      <c r="C2646" s="5">
        <v>3.75</v>
      </c>
      <c r="D2646">
        <f t="shared" si="41"/>
        <v>119</v>
      </c>
      <c r="G2646" s="1"/>
    </row>
    <row r="2647" spans="1:7" x14ac:dyDescent="0.25">
      <c r="A2647" s="3" t="s">
        <v>531</v>
      </c>
      <c r="B2647" s="6" t="s">
        <v>580</v>
      </c>
      <c r="C2647" s="6">
        <v>475.16759999999999</v>
      </c>
      <c r="D2647">
        <f t="shared" si="41"/>
        <v>119</v>
      </c>
      <c r="G2647" s="1"/>
    </row>
    <row r="2648" spans="1:7" x14ac:dyDescent="0.25">
      <c r="A2648" s="4" t="s">
        <v>531</v>
      </c>
      <c r="B2648" s="5" t="s">
        <v>581</v>
      </c>
      <c r="C2648" s="5">
        <v>2.0299999999999999E-2</v>
      </c>
      <c r="D2648">
        <f t="shared" si="41"/>
        <v>119</v>
      </c>
      <c r="G2648" s="1"/>
    </row>
    <row r="2649" spans="1:7" x14ac:dyDescent="0.25">
      <c r="A2649" s="3" t="s">
        <v>531</v>
      </c>
      <c r="B2649" s="6" t="s">
        <v>582</v>
      </c>
      <c r="C2649" s="6">
        <v>31</v>
      </c>
      <c r="D2649">
        <f t="shared" si="41"/>
        <v>119</v>
      </c>
      <c r="G2649" s="1"/>
    </row>
    <row r="2650" spans="1:7" x14ac:dyDescent="0.25">
      <c r="A2650" s="4" t="s">
        <v>531</v>
      </c>
      <c r="B2650" s="5" t="s">
        <v>583</v>
      </c>
      <c r="C2650" s="5">
        <v>17</v>
      </c>
      <c r="D2650">
        <f t="shared" si="41"/>
        <v>119</v>
      </c>
      <c r="G2650" s="1"/>
    </row>
    <row r="2651" spans="1:7" x14ac:dyDescent="0.25">
      <c r="A2651" s="3" t="s">
        <v>531</v>
      </c>
      <c r="B2651" s="6" t="s">
        <v>584</v>
      </c>
      <c r="C2651" s="6">
        <v>126.71129999999999</v>
      </c>
      <c r="D2651">
        <f t="shared" si="41"/>
        <v>119</v>
      </c>
      <c r="G2651" s="1"/>
    </row>
    <row r="2652" spans="1:7" x14ac:dyDescent="0.25">
      <c r="A2652" s="4" t="s">
        <v>531</v>
      </c>
      <c r="B2652" s="5" t="s">
        <v>585</v>
      </c>
      <c r="C2652" s="5">
        <v>19</v>
      </c>
      <c r="D2652">
        <f t="shared" si="41"/>
        <v>119</v>
      </c>
      <c r="G2652" s="1"/>
    </row>
    <row r="2653" spans="1:7" x14ac:dyDescent="0.25">
      <c r="A2653" s="3" t="s">
        <v>531</v>
      </c>
      <c r="B2653" s="6" t="s">
        <v>586</v>
      </c>
      <c r="C2653" s="6">
        <v>1</v>
      </c>
      <c r="D2653">
        <f t="shared" si="41"/>
        <v>119</v>
      </c>
      <c r="G2653" s="1"/>
    </row>
    <row r="2654" spans="1:7" x14ac:dyDescent="0.25">
      <c r="A2654" s="4" t="s">
        <v>531</v>
      </c>
      <c r="B2654" s="5" t="s">
        <v>587</v>
      </c>
      <c r="C2654" s="5">
        <v>0</v>
      </c>
      <c r="D2654">
        <f t="shared" si="41"/>
        <v>119</v>
      </c>
      <c r="G2654" s="1"/>
    </row>
    <row r="2655" spans="1:7" x14ac:dyDescent="0.25">
      <c r="A2655" s="3" t="s">
        <v>531</v>
      </c>
      <c r="B2655" s="6" t="s">
        <v>588</v>
      </c>
      <c r="C2655" s="6">
        <v>57.398499999999999</v>
      </c>
      <c r="D2655">
        <f t="shared" si="41"/>
        <v>119</v>
      </c>
      <c r="G2655" s="1"/>
    </row>
    <row r="2656" spans="1:7" x14ac:dyDescent="0.25">
      <c r="A2656" s="4" t="s">
        <v>531</v>
      </c>
      <c r="B2656" s="5" t="s">
        <v>589</v>
      </c>
      <c r="C2656" s="5">
        <v>0</v>
      </c>
      <c r="D2656">
        <f t="shared" si="41"/>
        <v>119</v>
      </c>
      <c r="G2656" s="1"/>
    </row>
    <row r="2657" spans="1:7" x14ac:dyDescent="0.25">
      <c r="A2657" s="3" t="s">
        <v>531</v>
      </c>
      <c r="B2657" s="6" t="s">
        <v>590</v>
      </c>
      <c r="C2657" s="6">
        <v>1</v>
      </c>
      <c r="D2657">
        <f t="shared" si="41"/>
        <v>119</v>
      </c>
      <c r="G2657" s="1"/>
    </row>
    <row r="2658" spans="1:7" x14ac:dyDescent="0.25">
      <c r="A2658" s="4" t="s">
        <v>531</v>
      </c>
      <c r="B2658" s="5" t="s">
        <v>591</v>
      </c>
      <c r="C2658" s="5">
        <v>9</v>
      </c>
      <c r="D2658">
        <f t="shared" si="41"/>
        <v>119</v>
      </c>
      <c r="G2658" s="1"/>
    </row>
    <row r="2659" spans="1:7" x14ac:dyDescent="0.25">
      <c r="A2659" s="3" t="s">
        <v>531</v>
      </c>
      <c r="B2659" s="6" t="s">
        <v>592</v>
      </c>
      <c r="C2659" s="6">
        <v>0</v>
      </c>
      <c r="D2659">
        <f t="shared" si="41"/>
        <v>119</v>
      </c>
      <c r="G2659" s="1"/>
    </row>
    <row r="2660" spans="1:7" x14ac:dyDescent="0.25">
      <c r="A2660" s="4" t="s">
        <v>531</v>
      </c>
      <c r="B2660" s="5" t="s">
        <v>593</v>
      </c>
      <c r="C2660" s="5">
        <v>4</v>
      </c>
      <c r="D2660">
        <f t="shared" si="41"/>
        <v>119</v>
      </c>
      <c r="G2660" s="1"/>
    </row>
    <row r="2661" spans="1:7" x14ac:dyDescent="0.25">
      <c r="A2661" s="3" t="s">
        <v>532</v>
      </c>
      <c r="B2661" s="6" t="s">
        <v>574</v>
      </c>
      <c r="C2661" s="6">
        <v>1</v>
      </c>
      <c r="D2661">
        <f t="shared" si="41"/>
        <v>120</v>
      </c>
      <c r="G2661" s="1"/>
    </row>
    <row r="2662" spans="1:7" x14ac:dyDescent="0.25">
      <c r="A2662" s="4" t="s">
        <v>532</v>
      </c>
      <c r="B2662" s="5" t="s">
        <v>575</v>
      </c>
      <c r="C2662" s="5">
        <v>0</v>
      </c>
      <c r="D2662">
        <f t="shared" si="41"/>
        <v>120</v>
      </c>
      <c r="G2662" s="1"/>
    </row>
    <row r="2663" spans="1:7" x14ac:dyDescent="0.25">
      <c r="A2663" s="3" t="s">
        <v>532</v>
      </c>
      <c r="B2663" s="6" t="s">
        <v>576</v>
      </c>
      <c r="C2663" s="6">
        <v>0</v>
      </c>
      <c r="D2663">
        <f t="shared" si="41"/>
        <v>120</v>
      </c>
      <c r="G2663" s="1"/>
    </row>
    <row r="2664" spans="1:7" x14ac:dyDescent="0.25">
      <c r="A2664" s="4" t="s">
        <v>532</v>
      </c>
      <c r="B2664" s="5" t="s">
        <v>577</v>
      </c>
      <c r="C2664" s="5">
        <v>0</v>
      </c>
      <c r="D2664">
        <f t="shared" si="41"/>
        <v>120</v>
      </c>
      <c r="G2664" s="1"/>
    </row>
    <row r="2665" spans="1:7" x14ac:dyDescent="0.25">
      <c r="A2665" s="3" t="s">
        <v>532</v>
      </c>
      <c r="B2665" s="6" t="s">
        <v>578</v>
      </c>
      <c r="C2665" s="6">
        <v>0</v>
      </c>
      <c r="D2665">
        <f t="shared" si="41"/>
        <v>120</v>
      </c>
      <c r="G2665" s="1"/>
    </row>
    <row r="2666" spans="1:7" x14ac:dyDescent="0.25">
      <c r="A2666" s="4" t="s">
        <v>532</v>
      </c>
      <c r="B2666" s="5" t="s">
        <v>579</v>
      </c>
      <c r="C2666" s="5">
        <v>13.5</v>
      </c>
      <c r="D2666">
        <f t="shared" si="41"/>
        <v>120</v>
      </c>
      <c r="G2666" s="1"/>
    </row>
    <row r="2667" spans="1:7" x14ac:dyDescent="0.25">
      <c r="A2667" s="3" t="s">
        <v>532</v>
      </c>
      <c r="B2667" s="6" t="s">
        <v>580</v>
      </c>
      <c r="C2667" s="6">
        <v>3154.0862000000002</v>
      </c>
      <c r="D2667">
        <f t="shared" si="41"/>
        <v>120</v>
      </c>
      <c r="G2667" s="1"/>
    </row>
    <row r="2668" spans="1:7" x14ac:dyDescent="0.25">
      <c r="A2668" s="4" t="s">
        <v>532</v>
      </c>
      <c r="B2668" s="5" t="s">
        <v>581</v>
      </c>
      <c r="C2668" s="5">
        <v>7.17E-2</v>
      </c>
      <c r="D2668">
        <f t="shared" si="41"/>
        <v>120</v>
      </c>
      <c r="G2668" s="1"/>
    </row>
    <row r="2669" spans="1:7" x14ac:dyDescent="0.25">
      <c r="A2669" s="3" t="s">
        <v>532</v>
      </c>
      <c r="B2669" s="6" t="s">
        <v>582</v>
      </c>
      <c r="C2669" s="6">
        <v>55</v>
      </c>
      <c r="D2669">
        <f t="shared" si="41"/>
        <v>120</v>
      </c>
      <c r="G2669" s="1"/>
    </row>
    <row r="2670" spans="1:7" x14ac:dyDescent="0.25">
      <c r="A2670" s="4" t="s">
        <v>532</v>
      </c>
      <c r="B2670" s="5" t="s">
        <v>583</v>
      </c>
      <c r="C2670" s="5">
        <v>19</v>
      </c>
      <c r="D2670">
        <f t="shared" si="41"/>
        <v>120</v>
      </c>
      <c r="G2670" s="1"/>
    </row>
    <row r="2671" spans="1:7" x14ac:dyDescent="0.25">
      <c r="A2671" s="3" t="s">
        <v>532</v>
      </c>
      <c r="B2671" s="6" t="s">
        <v>584</v>
      </c>
      <c r="C2671" s="6">
        <v>233.636</v>
      </c>
      <c r="D2671">
        <f t="shared" si="41"/>
        <v>120</v>
      </c>
      <c r="G2671" s="1"/>
    </row>
    <row r="2672" spans="1:7" x14ac:dyDescent="0.25">
      <c r="A2672" s="4" t="s">
        <v>532</v>
      </c>
      <c r="B2672" s="5" t="s">
        <v>585</v>
      </c>
      <c r="C2672" s="5">
        <v>36</v>
      </c>
      <c r="D2672">
        <f t="shared" si="41"/>
        <v>120</v>
      </c>
      <c r="G2672" s="1"/>
    </row>
    <row r="2673" spans="1:7" x14ac:dyDescent="0.25">
      <c r="A2673" s="3" t="s">
        <v>532</v>
      </c>
      <c r="B2673" s="6" t="s">
        <v>586</v>
      </c>
      <c r="C2673" s="6">
        <v>1</v>
      </c>
      <c r="D2673">
        <f t="shared" si="41"/>
        <v>120</v>
      </c>
      <c r="G2673" s="1"/>
    </row>
    <row r="2674" spans="1:7" x14ac:dyDescent="0.25">
      <c r="A2674" s="4" t="s">
        <v>532</v>
      </c>
      <c r="B2674" s="5" t="s">
        <v>587</v>
      </c>
      <c r="C2674" s="5">
        <v>0</v>
      </c>
      <c r="D2674">
        <f t="shared" si="41"/>
        <v>120</v>
      </c>
      <c r="G2674" s="1"/>
    </row>
    <row r="2675" spans="1:7" x14ac:dyDescent="0.25">
      <c r="A2675" s="3" t="s">
        <v>532</v>
      </c>
      <c r="B2675" s="6" t="s">
        <v>588</v>
      </c>
      <c r="C2675" s="6">
        <v>49.212899999999998</v>
      </c>
      <c r="D2675">
        <f t="shared" si="41"/>
        <v>120</v>
      </c>
      <c r="G2675" s="1"/>
    </row>
    <row r="2676" spans="1:7" x14ac:dyDescent="0.25">
      <c r="A2676" s="4" t="s">
        <v>532</v>
      </c>
      <c r="B2676" s="5" t="s">
        <v>589</v>
      </c>
      <c r="C2676" s="5">
        <v>1</v>
      </c>
      <c r="D2676">
        <f t="shared" si="41"/>
        <v>120</v>
      </c>
      <c r="G2676" s="1"/>
    </row>
    <row r="2677" spans="1:7" x14ac:dyDescent="0.25">
      <c r="A2677" s="3" t="s">
        <v>532</v>
      </c>
      <c r="B2677" s="6" t="s">
        <v>590</v>
      </c>
      <c r="C2677" s="6">
        <v>7</v>
      </c>
      <c r="D2677">
        <f t="shared" si="41"/>
        <v>120</v>
      </c>
      <c r="G2677" s="1"/>
    </row>
    <row r="2678" spans="1:7" x14ac:dyDescent="0.25">
      <c r="A2678" s="4" t="s">
        <v>532</v>
      </c>
      <c r="B2678" s="5" t="s">
        <v>591</v>
      </c>
      <c r="C2678" s="5">
        <v>9</v>
      </c>
      <c r="D2678">
        <f t="shared" si="41"/>
        <v>120</v>
      </c>
      <c r="G2678" s="1"/>
    </row>
    <row r="2679" spans="1:7" x14ac:dyDescent="0.25">
      <c r="A2679" s="3" t="s">
        <v>532</v>
      </c>
      <c r="B2679" s="6" t="s">
        <v>592</v>
      </c>
      <c r="C2679" s="6">
        <v>0</v>
      </c>
      <c r="D2679">
        <f t="shared" si="41"/>
        <v>120</v>
      </c>
      <c r="G2679" s="1"/>
    </row>
    <row r="2680" spans="1:7" x14ac:dyDescent="0.25">
      <c r="A2680" s="4" t="s">
        <v>532</v>
      </c>
      <c r="B2680" s="5" t="s">
        <v>593</v>
      </c>
      <c r="C2680" s="5">
        <v>3</v>
      </c>
      <c r="D2680">
        <f t="shared" si="41"/>
        <v>120</v>
      </c>
      <c r="G2680" s="1"/>
    </row>
    <row r="2681" spans="1:7" x14ac:dyDescent="0.25">
      <c r="A2681" s="3" t="s">
        <v>508</v>
      </c>
      <c r="B2681" s="6" t="s">
        <v>574</v>
      </c>
      <c r="C2681" s="6">
        <v>4</v>
      </c>
      <c r="D2681">
        <f t="shared" si="41"/>
        <v>121</v>
      </c>
      <c r="G2681" s="1"/>
    </row>
    <row r="2682" spans="1:7" x14ac:dyDescent="0.25">
      <c r="A2682" s="4" t="s">
        <v>508</v>
      </c>
      <c r="B2682" s="5" t="s">
        <v>575</v>
      </c>
      <c r="C2682" s="5">
        <v>1</v>
      </c>
      <c r="D2682">
        <f t="shared" si="41"/>
        <v>121</v>
      </c>
      <c r="G2682" s="1"/>
    </row>
    <row r="2683" spans="1:7" x14ac:dyDescent="0.25">
      <c r="A2683" s="3" t="s">
        <v>508</v>
      </c>
      <c r="B2683" s="6" t="s">
        <v>576</v>
      </c>
      <c r="C2683" s="6">
        <v>0.5</v>
      </c>
      <c r="D2683">
        <f t="shared" si="41"/>
        <v>121</v>
      </c>
      <c r="G2683" s="1"/>
    </row>
    <row r="2684" spans="1:7" x14ac:dyDescent="0.25">
      <c r="A2684" s="4" t="s">
        <v>508</v>
      </c>
      <c r="B2684" s="5" t="s">
        <v>577</v>
      </c>
      <c r="C2684" s="5">
        <v>3</v>
      </c>
      <c r="D2684">
        <f t="shared" si="41"/>
        <v>121</v>
      </c>
      <c r="G2684" s="1"/>
    </row>
    <row r="2685" spans="1:7" x14ac:dyDescent="0.25">
      <c r="A2685" s="3" t="s">
        <v>508</v>
      </c>
      <c r="B2685" s="6" t="s">
        <v>579</v>
      </c>
      <c r="C2685" s="6">
        <v>11</v>
      </c>
      <c r="D2685">
        <f t="shared" si="41"/>
        <v>121</v>
      </c>
      <c r="G2685" s="1"/>
    </row>
    <row r="2686" spans="1:7" x14ac:dyDescent="0.25">
      <c r="A2686" s="4" t="s">
        <v>508</v>
      </c>
      <c r="B2686" s="5" t="s">
        <v>580</v>
      </c>
      <c r="C2686" s="5">
        <v>988.44330000000002</v>
      </c>
      <c r="D2686">
        <f t="shared" si="41"/>
        <v>121</v>
      </c>
      <c r="G2686" s="1"/>
    </row>
    <row r="2687" spans="1:7" x14ac:dyDescent="0.25">
      <c r="A2687" s="3" t="s">
        <v>508</v>
      </c>
      <c r="B2687" s="6" t="s">
        <v>581</v>
      </c>
      <c r="C2687" s="6">
        <v>3.3099999999999997E-2</v>
      </c>
      <c r="D2687">
        <f t="shared" si="41"/>
        <v>121</v>
      </c>
      <c r="G2687" s="1"/>
    </row>
    <row r="2688" spans="1:7" x14ac:dyDescent="0.25">
      <c r="A2688" s="4" t="s">
        <v>508</v>
      </c>
      <c r="B2688" s="5" t="s">
        <v>582</v>
      </c>
      <c r="C2688" s="5">
        <v>23</v>
      </c>
      <c r="D2688">
        <f t="shared" si="41"/>
        <v>121</v>
      </c>
      <c r="G2688" s="1"/>
    </row>
    <row r="2689" spans="1:7" x14ac:dyDescent="0.25">
      <c r="A2689" s="3" t="s">
        <v>508</v>
      </c>
      <c r="B2689" s="6" t="s">
        <v>583</v>
      </c>
      <c r="C2689" s="6">
        <v>15</v>
      </c>
      <c r="D2689">
        <f t="shared" si="41"/>
        <v>121</v>
      </c>
      <c r="G2689" s="1"/>
    </row>
    <row r="2690" spans="1:7" x14ac:dyDescent="0.25">
      <c r="A2690" s="4" t="s">
        <v>508</v>
      </c>
      <c r="B2690" s="5" t="s">
        <v>584</v>
      </c>
      <c r="C2690" s="5">
        <v>89.858500000000006</v>
      </c>
      <c r="D2690">
        <f t="shared" si="41"/>
        <v>121</v>
      </c>
      <c r="G2690" s="1"/>
    </row>
    <row r="2691" spans="1:7" x14ac:dyDescent="0.25">
      <c r="A2691" s="3" t="s">
        <v>508</v>
      </c>
      <c r="B2691" s="6" t="s">
        <v>585</v>
      </c>
      <c r="C2691" s="6">
        <v>19</v>
      </c>
      <c r="D2691">
        <f t="shared" si="41"/>
        <v>121</v>
      </c>
      <c r="G2691" s="1"/>
    </row>
    <row r="2692" spans="1:7" x14ac:dyDescent="0.25">
      <c r="A2692" s="4" t="s">
        <v>508</v>
      </c>
      <c r="B2692" s="5" t="s">
        <v>586</v>
      </c>
      <c r="C2692" s="5">
        <v>1</v>
      </c>
      <c r="D2692">
        <f t="shared" ref="D2692:D2755" si="42">IF(B2692="CCM", D2691+1, D2691)</f>
        <v>121</v>
      </c>
      <c r="G2692" s="1"/>
    </row>
    <row r="2693" spans="1:7" x14ac:dyDescent="0.25">
      <c r="A2693" s="3" t="s">
        <v>508</v>
      </c>
      <c r="B2693" s="6" t="s">
        <v>587</v>
      </c>
      <c r="C2693" s="6">
        <v>2</v>
      </c>
      <c r="D2693">
        <f t="shared" si="42"/>
        <v>121</v>
      </c>
      <c r="G2693" s="1"/>
    </row>
    <row r="2694" spans="1:7" x14ac:dyDescent="0.25">
      <c r="A2694" s="4" t="s">
        <v>508</v>
      </c>
      <c r="B2694" s="5" t="s">
        <v>588</v>
      </c>
      <c r="C2694" s="5">
        <v>58.239199999999997</v>
      </c>
      <c r="D2694">
        <f t="shared" si="42"/>
        <v>121</v>
      </c>
      <c r="G2694" s="1"/>
    </row>
    <row r="2695" spans="1:7" x14ac:dyDescent="0.25">
      <c r="A2695" s="3" t="s">
        <v>508</v>
      </c>
      <c r="B2695" s="6" t="s">
        <v>589</v>
      </c>
      <c r="C2695" s="6">
        <v>1</v>
      </c>
      <c r="D2695">
        <f t="shared" si="42"/>
        <v>121</v>
      </c>
      <c r="G2695" s="1"/>
    </row>
    <row r="2696" spans="1:7" x14ac:dyDescent="0.25">
      <c r="A2696" s="4" t="s">
        <v>508</v>
      </c>
      <c r="B2696" s="5" t="s">
        <v>590</v>
      </c>
      <c r="C2696" s="5">
        <v>5</v>
      </c>
      <c r="D2696">
        <f t="shared" si="42"/>
        <v>121</v>
      </c>
      <c r="G2696" s="1"/>
    </row>
    <row r="2697" spans="1:7" x14ac:dyDescent="0.25">
      <c r="A2697" s="3" t="s">
        <v>508</v>
      </c>
      <c r="B2697" s="6" t="s">
        <v>591</v>
      </c>
      <c r="C2697" s="6">
        <v>4</v>
      </c>
      <c r="D2697">
        <f t="shared" si="42"/>
        <v>121</v>
      </c>
      <c r="G2697" s="1"/>
    </row>
    <row r="2698" spans="1:7" x14ac:dyDescent="0.25">
      <c r="A2698" s="4" t="s">
        <v>508</v>
      </c>
      <c r="B2698" s="5" t="s">
        <v>592</v>
      </c>
      <c r="C2698" s="5">
        <v>2</v>
      </c>
      <c r="D2698">
        <f t="shared" si="42"/>
        <v>121</v>
      </c>
      <c r="G2698" s="1"/>
    </row>
    <row r="2699" spans="1:7" x14ac:dyDescent="0.25">
      <c r="A2699" s="3" t="s">
        <v>509</v>
      </c>
      <c r="B2699" s="6" t="s">
        <v>579</v>
      </c>
      <c r="C2699" s="6">
        <v>1</v>
      </c>
      <c r="D2699">
        <f t="shared" si="42"/>
        <v>121</v>
      </c>
      <c r="G2699" s="1"/>
    </row>
    <row r="2700" spans="1:7" x14ac:dyDescent="0.25">
      <c r="A2700" s="4" t="s">
        <v>509</v>
      </c>
      <c r="B2700" s="5" t="s">
        <v>580</v>
      </c>
      <c r="C2700" s="5">
        <v>4.7549000000000001</v>
      </c>
      <c r="D2700">
        <f t="shared" si="42"/>
        <v>121</v>
      </c>
      <c r="G2700" s="1"/>
    </row>
    <row r="2701" spans="1:7" x14ac:dyDescent="0.25">
      <c r="A2701" s="3" t="s">
        <v>509</v>
      </c>
      <c r="B2701" s="6" t="s">
        <v>581</v>
      </c>
      <c r="C2701" s="6">
        <v>8.9999999999999998E-4</v>
      </c>
      <c r="D2701">
        <f t="shared" si="42"/>
        <v>121</v>
      </c>
      <c r="G2701" s="1"/>
    </row>
    <row r="2702" spans="1:7" x14ac:dyDescent="0.25">
      <c r="A2702" s="4" t="s">
        <v>509</v>
      </c>
      <c r="B2702" s="5" t="s">
        <v>582</v>
      </c>
      <c r="C2702" s="5">
        <v>3</v>
      </c>
      <c r="D2702">
        <f t="shared" si="42"/>
        <v>121</v>
      </c>
      <c r="G2702" s="1"/>
    </row>
    <row r="2703" spans="1:7" x14ac:dyDescent="0.25">
      <c r="A2703" s="3" t="s">
        <v>509</v>
      </c>
      <c r="B2703" s="6" t="s">
        <v>583</v>
      </c>
      <c r="C2703" s="6">
        <v>3</v>
      </c>
      <c r="D2703">
        <f t="shared" si="42"/>
        <v>121</v>
      </c>
      <c r="G2703" s="1"/>
    </row>
    <row r="2704" spans="1:7" x14ac:dyDescent="0.25">
      <c r="A2704" s="4" t="s">
        <v>509</v>
      </c>
      <c r="B2704" s="5" t="s">
        <v>584</v>
      </c>
      <c r="C2704" s="5">
        <v>4.7549000000000001</v>
      </c>
      <c r="D2704">
        <f t="shared" si="42"/>
        <v>121</v>
      </c>
      <c r="G2704" s="1"/>
    </row>
    <row r="2705" spans="1:7" x14ac:dyDescent="0.25">
      <c r="A2705" s="3" t="s">
        <v>509</v>
      </c>
      <c r="B2705" s="6" t="s">
        <v>585</v>
      </c>
      <c r="C2705" s="6">
        <v>15</v>
      </c>
      <c r="D2705">
        <f t="shared" si="42"/>
        <v>121</v>
      </c>
      <c r="G2705" s="1"/>
    </row>
    <row r="2706" spans="1:7" x14ac:dyDescent="0.25">
      <c r="A2706" s="4" t="s">
        <v>509</v>
      </c>
      <c r="B2706" s="5" t="s">
        <v>586</v>
      </c>
      <c r="C2706" s="5">
        <v>1</v>
      </c>
      <c r="D2706">
        <f t="shared" si="42"/>
        <v>121</v>
      </c>
      <c r="G2706" s="1"/>
    </row>
    <row r="2707" spans="1:7" x14ac:dyDescent="0.25">
      <c r="A2707" s="3" t="s">
        <v>509</v>
      </c>
      <c r="B2707" s="6" t="s">
        <v>588</v>
      </c>
      <c r="C2707" s="6">
        <v>70.129199999999997</v>
      </c>
      <c r="D2707">
        <f t="shared" si="42"/>
        <v>121</v>
      </c>
      <c r="G2707" s="1"/>
    </row>
    <row r="2708" spans="1:7" x14ac:dyDescent="0.25">
      <c r="A2708" s="4" t="s">
        <v>509</v>
      </c>
      <c r="B2708" s="5" t="s">
        <v>589</v>
      </c>
      <c r="C2708" s="5">
        <v>0</v>
      </c>
      <c r="D2708">
        <f t="shared" si="42"/>
        <v>121</v>
      </c>
      <c r="G2708" s="1"/>
    </row>
    <row r="2709" spans="1:7" x14ac:dyDescent="0.25">
      <c r="A2709" s="3" t="s">
        <v>509</v>
      </c>
      <c r="B2709" s="6" t="s">
        <v>591</v>
      </c>
      <c r="C2709" s="6">
        <v>1</v>
      </c>
      <c r="D2709">
        <f t="shared" si="42"/>
        <v>121</v>
      </c>
      <c r="G2709" s="1"/>
    </row>
    <row r="2710" spans="1:7" x14ac:dyDescent="0.25">
      <c r="A2710" s="4" t="s">
        <v>510</v>
      </c>
      <c r="B2710" s="5" t="s">
        <v>574</v>
      </c>
      <c r="C2710" s="5">
        <v>2</v>
      </c>
      <c r="D2710">
        <f t="shared" si="42"/>
        <v>122</v>
      </c>
      <c r="G2710" s="1"/>
    </row>
    <row r="2711" spans="1:7" x14ac:dyDescent="0.25">
      <c r="A2711" s="3" t="s">
        <v>510</v>
      </c>
      <c r="B2711" s="6" t="s">
        <v>575</v>
      </c>
      <c r="C2711" s="6">
        <v>1</v>
      </c>
      <c r="D2711">
        <f t="shared" si="42"/>
        <v>122</v>
      </c>
      <c r="G2711" s="1"/>
    </row>
    <row r="2712" spans="1:7" x14ac:dyDescent="0.25">
      <c r="A2712" s="4" t="s">
        <v>510</v>
      </c>
      <c r="B2712" s="5" t="s">
        <v>576</v>
      </c>
      <c r="C2712" s="5">
        <v>0.5</v>
      </c>
      <c r="D2712">
        <f t="shared" si="42"/>
        <v>122</v>
      </c>
      <c r="G2712" s="1"/>
    </row>
    <row r="2713" spans="1:7" x14ac:dyDescent="0.25">
      <c r="A2713" s="3" t="s">
        <v>510</v>
      </c>
      <c r="B2713" s="6" t="s">
        <v>577</v>
      </c>
      <c r="C2713" s="6">
        <v>2</v>
      </c>
      <c r="D2713">
        <f t="shared" si="42"/>
        <v>122</v>
      </c>
      <c r="G2713" s="1"/>
    </row>
    <row r="2714" spans="1:7" x14ac:dyDescent="0.25">
      <c r="A2714" s="4" t="s">
        <v>510</v>
      </c>
      <c r="B2714" s="5" t="s">
        <v>579</v>
      </c>
      <c r="C2714" s="5">
        <v>13.5</v>
      </c>
      <c r="D2714">
        <f t="shared" si="42"/>
        <v>122</v>
      </c>
      <c r="G2714" s="1"/>
    </row>
    <row r="2715" spans="1:7" x14ac:dyDescent="0.25">
      <c r="A2715" s="3" t="s">
        <v>510</v>
      </c>
      <c r="B2715" s="6" t="s">
        <v>580</v>
      </c>
      <c r="C2715" s="6">
        <v>1566</v>
      </c>
      <c r="D2715">
        <f t="shared" si="42"/>
        <v>122</v>
      </c>
      <c r="G2715" s="1"/>
    </row>
    <row r="2716" spans="1:7" x14ac:dyDescent="0.25">
      <c r="A2716" s="4" t="s">
        <v>510</v>
      </c>
      <c r="B2716" s="5" t="s">
        <v>581</v>
      </c>
      <c r="C2716" s="5">
        <v>4.4999999999999998E-2</v>
      </c>
      <c r="D2716">
        <f t="shared" si="42"/>
        <v>122</v>
      </c>
      <c r="G2716" s="1"/>
    </row>
    <row r="2717" spans="1:7" x14ac:dyDescent="0.25">
      <c r="A2717" s="3" t="s">
        <v>510</v>
      </c>
      <c r="B2717" s="6" t="s">
        <v>582</v>
      </c>
      <c r="C2717" s="6">
        <v>29</v>
      </c>
      <c r="D2717">
        <f t="shared" si="42"/>
        <v>122</v>
      </c>
      <c r="G2717" s="1"/>
    </row>
    <row r="2718" spans="1:7" x14ac:dyDescent="0.25">
      <c r="A2718" s="4" t="s">
        <v>510</v>
      </c>
      <c r="B2718" s="5" t="s">
        <v>583</v>
      </c>
      <c r="C2718" s="5">
        <v>16</v>
      </c>
      <c r="D2718">
        <f t="shared" si="42"/>
        <v>122</v>
      </c>
      <c r="G2718" s="1"/>
    </row>
    <row r="2719" spans="1:7" x14ac:dyDescent="0.25">
      <c r="A2719" s="3" t="s">
        <v>510</v>
      </c>
      <c r="B2719" s="6" t="s">
        <v>584</v>
      </c>
      <c r="C2719" s="6">
        <v>116</v>
      </c>
      <c r="D2719">
        <f t="shared" si="42"/>
        <v>122</v>
      </c>
      <c r="G2719" s="1"/>
    </row>
    <row r="2720" spans="1:7" x14ac:dyDescent="0.25">
      <c r="A2720" s="4" t="s">
        <v>510</v>
      </c>
      <c r="B2720" s="5" t="s">
        <v>585</v>
      </c>
      <c r="C2720" s="5">
        <v>19</v>
      </c>
      <c r="D2720">
        <f t="shared" si="42"/>
        <v>122</v>
      </c>
      <c r="G2720" s="1"/>
    </row>
    <row r="2721" spans="1:7" x14ac:dyDescent="0.25">
      <c r="A2721" s="3" t="s">
        <v>510</v>
      </c>
      <c r="B2721" s="6" t="s">
        <v>586</v>
      </c>
      <c r="C2721" s="6">
        <v>1</v>
      </c>
      <c r="D2721">
        <f t="shared" si="42"/>
        <v>122</v>
      </c>
      <c r="G2721" s="1"/>
    </row>
    <row r="2722" spans="1:7" x14ac:dyDescent="0.25">
      <c r="A2722" s="4" t="s">
        <v>510</v>
      </c>
      <c r="B2722" s="5" t="s">
        <v>587</v>
      </c>
      <c r="C2722" s="5">
        <v>1</v>
      </c>
      <c r="D2722">
        <f t="shared" si="42"/>
        <v>122</v>
      </c>
      <c r="G2722" s="1"/>
    </row>
    <row r="2723" spans="1:7" x14ac:dyDescent="0.25">
      <c r="A2723" s="3" t="s">
        <v>510</v>
      </c>
      <c r="B2723" s="6" t="s">
        <v>588</v>
      </c>
      <c r="C2723" s="6">
        <v>57.502200000000002</v>
      </c>
      <c r="D2723">
        <f t="shared" si="42"/>
        <v>122</v>
      </c>
      <c r="G2723" s="1"/>
    </row>
    <row r="2724" spans="1:7" x14ac:dyDescent="0.25">
      <c r="A2724" s="4" t="s">
        <v>510</v>
      </c>
      <c r="B2724" s="5" t="s">
        <v>589</v>
      </c>
      <c r="C2724" s="5">
        <v>0</v>
      </c>
      <c r="D2724">
        <f t="shared" si="42"/>
        <v>122</v>
      </c>
      <c r="G2724" s="1"/>
    </row>
    <row r="2725" spans="1:7" x14ac:dyDescent="0.25">
      <c r="A2725" s="3" t="s">
        <v>510</v>
      </c>
      <c r="B2725" s="6" t="s">
        <v>590</v>
      </c>
      <c r="C2725" s="6">
        <v>3</v>
      </c>
      <c r="D2725">
        <f t="shared" si="42"/>
        <v>122</v>
      </c>
      <c r="G2725" s="1"/>
    </row>
    <row r="2726" spans="1:7" x14ac:dyDescent="0.25">
      <c r="A2726" s="4" t="s">
        <v>510</v>
      </c>
      <c r="B2726" s="5" t="s">
        <v>591</v>
      </c>
      <c r="C2726" s="5">
        <v>2</v>
      </c>
      <c r="D2726">
        <f t="shared" si="42"/>
        <v>122</v>
      </c>
      <c r="G2726" s="1"/>
    </row>
    <row r="2727" spans="1:7" x14ac:dyDescent="0.25">
      <c r="A2727" s="3" t="s">
        <v>510</v>
      </c>
      <c r="B2727" s="6" t="s">
        <v>592</v>
      </c>
      <c r="C2727" s="6">
        <v>1</v>
      </c>
      <c r="D2727">
        <f t="shared" si="42"/>
        <v>122</v>
      </c>
      <c r="G2727" s="1"/>
    </row>
    <row r="2728" spans="1:7" x14ac:dyDescent="0.25">
      <c r="A2728" s="4" t="s">
        <v>511</v>
      </c>
      <c r="B2728" s="5" t="s">
        <v>579</v>
      </c>
      <c r="C2728" s="5">
        <v>1</v>
      </c>
      <c r="D2728">
        <f t="shared" si="42"/>
        <v>122</v>
      </c>
      <c r="G2728" s="1"/>
    </row>
    <row r="2729" spans="1:7" x14ac:dyDescent="0.25">
      <c r="A2729" s="3" t="s">
        <v>511</v>
      </c>
      <c r="B2729" s="6" t="s">
        <v>580</v>
      </c>
      <c r="C2729" s="6">
        <v>4.7549000000000001</v>
      </c>
      <c r="D2729">
        <f t="shared" si="42"/>
        <v>122</v>
      </c>
      <c r="G2729" s="1"/>
    </row>
    <row r="2730" spans="1:7" x14ac:dyDescent="0.25">
      <c r="A2730" s="4" t="s">
        <v>511</v>
      </c>
      <c r="B2730" s="5" t="s">
        <v>581</v>
      </c>
      <c r="C2730" s="5">
        <v>8.9999999999999998E-4</v>
      </c>
      <c r="D2730">
        <f t="shared" si="42"/>
        <v>122</v>
      </c>
      <c r="G2730" s="1"/>
    </row>
    <row r="2731" spans="1:7" x14ac:dyDescent="0.25">
      <c r="A2731" s="3" t="s">
        <v>511</v>
      </c>
      <c r="B2731" s="6" t="s">
        <v>582</v>
      </c>
      <c r="C2731" s="6">
        <v>3</v>
      </c>
      <c r="D2731">
        <f t="shared" si="42"/>
        <v>122</v>
      </c>
      <c r="G2731" s="1"/>
    </row>
    <row r="2732" spans="1:7" x14ac:dyDescent="0.25">
      <c r="A2732" s="4" t="s">
        <v>511</v>
      </c>
      <c r="B2732" s="5" t="s">
        <v>583</v>
      </c>
      <c r="C2732" s="5">
        <v>3</v>
      </c>
      <c r="D2732">
        <f t="shared" si="42"/>
        <v>122</v>
      </c>
      <c r="G2732" s="1"/>
    </row>
    <row r="2733" spans="1:7" x14ac:dyDescent="0.25">
      <c r="A2733" s="3" t="s">
        <v>511</v>
      </c>
      <c r="B2733" s="6" t="s">
        <v>584</v>
      </c>
      <c r="C2733" s="6">
        <v>4.7549000000000001</v>
      </c>
      <c r="D2733">
        <f t="shared" si="42"/>
        <v>122</v>
      </c>
      <c r="G2733" s="1"/>
    </row>
    <row r="2734" spans="1:7" x14ac:dyDescent="0.25">
      <c r="A2734" s="4" t="s">
        <v>511</v>
      </c>
      <c r="B2734" s="5" t="s">
        <v>585</v>
      </c>
      <c r="C2734" s="5">
        <v>15</v>
      </c>
      <c r="D2734">
        <f t="shared" si="42"/>
        <v>122</v>
      </c>
      <c r="G2734" s="1"/>
    </row>
    <row r="2735" spans="1:7" x14ac:dyDescent="0.25">
      <c r="A2735" s="3" t="s">
        <v>511</v>
      </c>
      <c r="B2735" s="6" t="s">
        <v>586</v>
      </c>
      <c r="C2735" s="6">
        <v>1</v>
      </c>
      <c r="D2735">
        <f t="shared" si="42"/>
        <v>122</v>
      </c>
      <c r="G2735" s="1"/>
    </row>
    <row r="2736" spans="1:7" x14ac:dyDescent="0.25">
      <c r="A2736" s="4" t="s">
        <v>511</v>
      </c>
      <c r="B2736" s="5" t="s">
        <v>588</v>
      </c>
      <c r="C2736" s="5">
        <v>70.129199999999997</v>
      </c>
      <c r="D2736">
        <f t="shared" si="42"/>
        <v>122</v>
      </c>
      <c r="G2736" s="1"/>
    </row>
    <row r="2737" spans="1:7" x14ac:dyDescent="0.25">
      <c r="A2737" s="3" t="s">
        <v>511</v>
      </c>
      <c r="B2737" s="6" t="s">
        <v>589</v>
      </c>
      <c r="C2737" s="6">
        <v>0</v>
      </c>
      <c r="D2737">
        <f t="shared" si="42"/>
        <v>122</v>
      </c>
      <c r="G2737" s="1"/>
    </row>
    <row r="2738" spans="1:7" x14ac:dyDescent="0.25">
      <c r="A2738" s="4" t="s">
        <v>511</v>
      </c>
      <c r="B2738" s="5" t="s">
        <v>591</v>
      </c>
      <c r="C2738" s="5">
        <v>1</v>
      </c>
      <c r="D2738">
        <f t="shared" si="42"/>
        <v>122</v>
      </c>
      <c r="G2738" s="1"/>
    </row>
    <row r="2739" spans="1:7" x14ac:dyDescent="0.25">
      <c r="A2739" s="3" t="s">
        <v>512</v>
      </c>
      <c r="B2739" s="6" t="s">
        <v>574</v>
      </c>
      <c r="C2739" s="6">
        <v>2</v>
      </c>
      <c r="D2739">
        <f t="shared" si="42"/>
        <v>123</v>
      </c>
      <c r="G2739" s="1"/>
    </row>
    <row r="2740" spans="1:7" x14ac:dyDescent="0.25">
      <c r="A2740" s="4" t="s">
        <v>512</v>
      </c>
      <c r="B2740" s="5" t="s">
        <v>575</v>
      </c>
      <c r="C2740" s="5">
        <v>1</v>
      </c>
      <c r="D2740">
        <f t="shared" si="42"/>
        <v>123</v>
      </c>
      <c r="G2740" s="1"/>
    </row>
    <row r="2741" spans="1:7" x14ac:dyDescent="0.25">
      <c r="A2741" s="3" t="s">
        <v>512</v>
      </c>
      <c r="B2741" s="6" t="s">
        <v>576</v>
      </c>
      <c r="C2741" s="6">
        <v>0.5</v>
      </c>
      <c r="D2741">
        <f t="shared" si="42"/>
        <v>123</v>
      </c>
      <c r="G2741" s="1"/>
    </row>
    <row r="2742" spans="1:7" x14ac:dyDescent="0.25">
      <c r="A2742" s="4" t="s">
        <v>512</v>
      </c>
      <c r="B2742" s="5" t="s">
        <v>577</v>
      </c>
      <c r="C2742" s="5">
        <v>2</v>
      </c>
      <c r="D2742">
        <f t="shared" si="42"/>
        <v>123</v>
      </c>
      <c r="G2742" s="1"/>
    </row>
    <row r="2743" spans="1:7" x14ac:dyDescent="0.25">
      <c r="A2743" s="3" t="s">
        <v>512</v>
      </c>
      <c r="B2743" s="6" t="s">
        <v>579</v>
      </c>
      <c r="C2743" s="6">
        <v>12.375</v>
      </c>
      <c r="D2743">
        <f t="shared" si="42"/>
        <v>123</v>
      </c>
      <c r="G2743" s="1"/>
    </row>
    <row r="2744" spans="1:7" x14ac:dyDescent="0.25">
      <c r="A2744" s="4" t="s">
        <v>512</v>
      </c>
      <c r="B2744" s="5" t="s">
        <v>580</v>
      </c>
      <c r="C2744" s="5">
        <v>1402.0853999999999</v>
      </c>
      <c r="D2744">
        <f t="shared" si="42"/>
        <v>123</v>
      </c>
      <c r="G2744" s="1"/>
    </row>
    <row r="2745" spans="1:7" x14ac:dyDescent="0.25">
      <c r="A2745" s="3" t="s">
        <v>512</v>
      </c>
      <c r="B2745" s="6" t="s">
        <v>581</v>
      </c>
      <c r="C2745" s="6">
        <v>4.1799999999999997E-2</v>
      </c>
      <c r="D2745">
        <f t="shared" si="42"/>
        <v>123</v>
      </c>
      <c r="G2745" s="1"/>
    </row>
    <row r="2746" spans="1:7" x14ac:dyDescent="0.25">
      <c r="A2746" s="4" t="s">
        <v>512</v>
      </c>
      <c r="B2746" s="5" t="s">
        <v>582</v>
      </c>
      <c r="C2746" s="5">
        <v>29</v>
      </c>
      <c r="D2746">
        <f t="shared" si="42"/>
        <v>123</v>
      </c>
      <c r="G2746" s="1"/>
    </row>
    <row r="2747" spans="1:7" x14ac:dyDescent="0.25">
      <c r="A2747" s="3" t="s">
        <v>512</v>
      </c>
      <c r="B2747" s="6" t="s">
        <v>583</v>
      </c>
      <c r="C2747" s="6">
        <v>15</v>
      </c>
      <c r="D2747">
        <f t="shared" si="42"/>
        <v>123</v>
      </c>
      <c r="G2747" s="1"/>
    </row>
    <row r="2748" spans="1:7" x14ac:dyDescent="0.25">
      <c r="A2748" s="4" t="s">
        <v>512</v>
      </c>
      <c r="B2748" s="5" t="s">
        <v>584</v>
      </c>
      <c r="C2748" s="5">
        <v>113.2998</v>
      </c>
      <c r="D2748">
        <f t="shared" si="42"/>
        <v>123</v>
      </c>
      <c r="G2748" s="1"/>
    </row>
    <row r="2749" spans="1:7" x14ac:dyDescent="0.25">
      <c r="A2749" s="3" t="s">
        <v>512</v>
      </c>
      <c r="B2749" s="6" t="s">
        <v>585</v>
      </c>
      <c r="C2749" s="6">
        <v>19</v>
      </c>
      <c r="D2749">
        <f t="shared" si="42"/>
        <v>123</v>
      </c>
      <c r="G2749" s="1"/>
    </row>
    <row r="2750" spans="1:7" x14ac:dyDescent="0.25">
      <c r="A2750" s="4" t="s">
        <v>512</v>
      </c>
      <c r="B2750" s="5" t="s">
        <v>586</v>
      </c>
      <c r="C2750" s="5">
        <v>1</v>
      </c>
      <c r="D2750">
        <f t="shared" si="42"/>
        <v>123</v>
      </c>
      <c r="G2750" s="1"/>
    </row>
    <row r="2751" spans="1:7" x14ac:dyDescent="0.25">
      <c r="A2751" s="3" t="s">
        <v>512</v>
      </c>
      <c r="B2751" s="6" t="s">
        <v>587</v>
      </c>
      <c r="C2751" s="6">
        <v>1</v>
      </c>
      <c r="D2751">
        <f t="shared" si="42"/>
        <v>123</v>
      </c>
      <c r="G2751" s="1"/>
    </row>
    <row r="2752" spans="1:7" x14ac:dyDescent="0.25">
      <c r="A2752" s="4" t="s">
        <v>512</v>
      </c>
      <c r="B2752" s="5" t="s">
        <v>588</v>
      </c>
      <c r="C2752" s="5">
        <v>57.581899999999997</v>
      </c>
      <c r="D2752">
        <f t="shared" si="42"/>
        <v>123</v>
      </c>
      <c r="G2752" s="1"/>
    </row>
    <row r="2753" spans="1:7" x14ac:dyDescent="0.25">
      <c r="A2753" s="3" t="s">
        <v>512</v>
      </c>
      <c r="B2753" s="6" t="s">
        <v>589</v>
      </c>
      <c r="C2753" s="6">
        <v>0</v>
      </c>
      <c r="D2753">
        <f t="shared" si="42"/>
        <v>123</v>
      </c>
      <c r="G2753" s="1"/>
    </row>
    <row r="2754" spans="1:7" x14ac:dyDescent="0.25">
      <c r="A2754" s="4" t="s">
        <v>512</v>
      </c>
      <c r="B2754" s="5" t="s">
        <v>590</v>
      </c>
      <c r="C2754" s="5">
        <v>3</v>
      </c>
      <c r="D2754">
        <f t="shared" si="42"/>
        <v>123</v>
      </c>
      <c r="G2754" s="1"/>
    </row>
    <row r="2755" spans="1:7" x14ac:dyDescent="0.25">
      <c r="A2755" s="3" t="s">
        <v>512</v>
      </c>
      <c r="B2755" s="6" t="s">
        <v>591</v>
      </c>
      <c r="C2755" s="6">
        <v>2</v>
      </c>
      <c r="D2755">
        <f t="shared" si="42"/>
        <v>123</v>
      </c>
      <c r="G2755" s="1"/>
    </row>
    <row r="2756" spans="1:7" x14ac:dyDescent="0.25">
      <c r="A2756" s="4" t="s">
        <v>512</v>
      </c>
      <c r="B2756" s="5" t="s">
        <v>592</v>
      </c>
      <c r="C2756" s="5">
        <v>1</v>
      </c>
      <c r="D2756">
        <f t="shared" ref="D2756:D2819" si="43">IF(B2756="CCM", D2755+1, D2755)</f>
        <v>123</v>
      </c>
      <c r="G2756" s="1"/>
    </row>
    <row r="2757" spans="1:7" x14ac:dyDescent="0.25">
      <c r="A2757" s="3" t="s">
        <v>513</v>
      </c>
      <c r="B2757" s="6" t="s">
        <v>579</v>
      </c>
      <c r="C2757" s="6">
        <v>1</v>
      </c>
      <c r="D2757">
        <f t="shared" si="43"/>
        <v>123</v>
      </c>
      <c r="G2757" s="1"/>
    </row>
    <row r="2758" spans="1:7" x14ac:dyDescent="0.25">
      <c r="A2758" s="4" t="s">
        <v>513</v>
      </c>
      <c r="B2758" s="5" t="s">
        <v>580</v>
      </c>
      <c r="C2758" s="5">
        <v>4.7549000000000001</v>
      </c>
      <c r="D2758">
        <f t="shared" si="43"/>
        <v>123</v>
      </c>
      <c r="G2758" s="1"/>
    </row>
    <row r="2759" spans="1:7" x14ac:dyDescent="0.25">
      <c r="A2759" s="3" t="s">
        <v>513</v>
      </c>
      <c r="B2759" s="6" t="s">
        <v>581</v>
      </c>
      <c r="C2759" s="6">
        <v>8.9999999999999998E-4</v>
      </c>
      <c r="D2759">
        <f t="shared" si="43"/>
        <v>123</v>
      </c>
      <c r="G2759" s="1"/>
    </row>
    <row r="2760" spans="1:7" x14ac:dyDescent="0.25">
      <c r="A2760" s="4" t="s">
        <v>513</v>
      </c>
      <c r="B2760" s="5" t="s">
        <v>582</v>
      </c>
      <c r="C2760" s="5">
        <v>3</v>
      </c>
      <c r="D2760">
        <f t="shared" si="43"/>
        <v>123</v>
      </c>
      <c r="G2760" s="1"/>
    </row>
    <row r="2761" spans="1:7" x14ac:dyDescent="0.25">
      <c r="A2761" s="3" t="s">
        <v>513</v>
      </c>
      <c r="B2761" s="6" t="s">
        <v>583</v>
      </c>
      <c r="C2761" s="6">
        <v>3</v>
      </c>
      <c r="D2761">
        <f t="shared" si="43"/>
        <v>123</v>
      </c>
      <c r="G2761" s="1"/>
    </row>
    <row r="2762" spans="1:7" x14ac:dyDescent="0.25">
      <c r="A2762" s="4" t="s">
        <v>513</v>
      </c>
      <c r="B2762" s="5" t="s">
        <v>584</v>
      </c>
      <c r="C2762" s="5">
        <v>4.7549000000000001</v>
      </c>
      <c r="D2762">
        <f t="shared" si="43"/>
        <v>123</v>
      </c>
      <c r="G2762" s="1"/>
    </row>
    <row r="2763" spans="1:7" x14ac:dyDescent="0.25">
      <c r="A2763" s="3" t="s">
        <v>513</v>
      </c>
      <c r="B2763" s="6" t="s">
        <v>585</v>
      </c>
      <c r="C2763" s="6">
        <v>15</v>
      </c>
      <c r="D2763">
        <f t="shared" si="43"/>
        <v>123</v>
      </c>
      <c r="G2763" s="1"/>
    </row>
    <row r="2764" spans="1:7" x14ac:dyDescent="0.25">
      <c r="A2764" s="4" t="s">
        <v>513</v>
      </c>
      <c r="B2764" s="5" t="s">
        <v>586</v>
      </c>
      <c r="C2764" s="5">
        <v>1</v>
      </c>
      <c r="D2764">
        <f t="shared" si="43"/>
        <v>123</v>
      </c>
      <c r="G2764" s="1"/>
    </row>
    <row r="2765" spans="1:7" x14ac:dyDescent="0.25">
      <c r="A2765" s="3" t="s">
        <v>513</v>
      </c>
      <c r="B2765" s="6" t="s">
        <v>588</v>
      </c>
      <c r="C2765" s="6">
        <v>70.129199999999997</v>
      </c>
      <c r="D2765">
        <f t="shared" si="43"/>
        <v>123</v>
      </c>
      <c r="G2765" s="1"/>
    </row>
    <row r="2766" spans="1:7" x14ac:dyDescent="0.25">
      <c r="A2766" s="4" t="s">
        <v>513</v>
      </c>
      <c r="B2766" s="5" t="s">
        <v>589</v>
      </c>
      <c r="C2766" s="5">
        <v>0</v>
      </c>
      <c r="D2766">
        <f t="shared" si="43"/>
        <v>123</v>
      </c>
      <c r="G2766" s="1"/>
    </row>
    <row r="2767" spans="1:7" x14ac:dyDescent="0.25">
      <c r="A2767" s="3" t="s">
        <v>513</v>
      </c>
      <c r="B2767" s="6" t="s">
        <v>591</v>
      </c>
      <c r="C2767" s="6">
        <v>1</v>
      </c>
      <c r="D2767">
        <f t="shared" si="43"/>
        <v>123</v>
      </c>
      <c r="G2767" s="1"/>
    </row>
    <row r="2768" spans="1:7" x14ac:dyDescent="0.25">
      <c r="A2768" s="4" t="s">
        <v>514</v>
      </c>
      <c r="B2768" s="5" t="s">
        <v>579</v>
      </c>
      <c r="C2768" s="5">
        <v>1</v>
      </c>
      <c r="D2768">
        <f t="shared" si="43"/>
        <v>123</v>
      </c>
      <c r="G2768" s="1"/>
    </row>
    <row r="2769" spans="1:7" x14ac:dyDescent="0.25">
      <c r="A2769" s="3" t="s">
        <v>514</v>
      </c>
      <c r="B2769" s="6" t="s">
        <v>580</v>
      </c>
      <c r="C2769" s="6">
        <v>4.7549000000000001</v>
      </c>
      <c r="D2769">
        <f t="shared" si="43"/>
        <v>123</v>
      </c>
      <c r="G2769" s="1"/>
    </row>
    <row r="2770" spans="1:7" x14ac:dyDescent="0.25">
      <c r="A2770" s="4" t="s">
        <v>514</v>
      </c>
      <c r="B2770" s="5" t="s">
        <v>581</v>
      </c>
      <c r="C2770" s="5">
        <v>8.9999999999999998E-4</v>
      </c>
      <c r="D2770">
        <f t="shared" si="43"/>
        <v>123</v>
      </c>
      <c r="G2770" s="1"/>
    </row>
    <row r="2771" spans="1:7" x14ac:dyDescent="0.25">
      <c r="A2771" s="3" t="s">
        <v>514</v>
      </c>
      <c r="B2771" s="6" t="s">
        <v>582</v>
      </c>
      <c r="C2771" s="6">
        <v>3</v>
      </c>
      <c r="D2771">
        <f t="shared" si="43"/>
        <v>123</v>
      </c>
      <c r="G2771" s="1"/>
    </row>
    <row r="2772" spans="1:7" x14ac:dyDescent="0.25">
      <c r="A2772" s="4" t="s">
        <v>514</v>
      </c>
      <c r="B2772" s="5" t="s">
        <v>583</v>
      </c>
      <c r="C2772" s="5">
        <v>3</v>
      </c>
      <c r="D2772">
        <f t="shared" si="43"/>
        <v>123</v>
      </c>
      <c r="G2772" s="1"/>
    </row>
    <row r="2773" spans="1:7" x14ac:dyDescent="0.25">
      <c r="A2773" s="3" t="s">
        <v>514</v>
      </c>
      <c r="B2773" s="6" t="s">
        <v>584</v>
      </c>
      <c r="C2773" s="6">
        <v>4.7549000000000001</v>
      </c>
      <c r="D2773">
        <f t="shared" si="43"/>
        <v>123</v>
      </c>
      <c r="G2773" s="1"/>
    </row>
    <row r="2774" spans="1:7" x14ac:dyDescent="0.25">
      <c r="A2774" s="4" t="s">
        <v>514</v>
      </c>
      <c r="B2774" s="5" t="s">
        <v>585</v>
      </c>
      <c r="C2774" s="5">
        <v>9</v>
      </c>
      <c r="D2774">
        <f t="shared" si="43"/>
        <v>123</v>
      </c>
      <c r="G2774" s="1"/>
    </row>
    <row r="2775" spans="1:7" x14ac:dyDescent="0.25">
      <c r="A2775" s="3" t="s">
        <v>514</v>
      </c>
      <c r="B2775" s="6" t="s">
        <v>586</v>
      </c>
      <c r="C2775" s="6">
        <v>1</v>
      </c>
      <c r="D2775">
        <f t="shared" si="43"/>
        <v>123</v>
      </c>
      <c r="G2775" s="1"/>
    </row>
    <row r="2776" spans="1:7" x14ac:dyDescent="0.25">
      <c r="A2776" s="4" t="s">
        <v>514</v>
      </c>
      <c r="B2776" s="5" t="s">
        <v>588</v>
      </c>
      <c r="C2776" s="5">
        <v>74.968599999999995</v>
      </c>
      <c r="D2776">
        <f t="shared" si="43"/>
        <v>123</v>
      </c>
      <c r="G2776" s="1"/>
    </row>
    <row r="2777" spans="1:7" x14ac:dyDescent="0.25">
      <c r="A2777" s="3" t="s">
        <v>514</v>
      </c>
      <c r="B2777" s="6" t="s">
        <v>589</v>
      </c>
      <c r="C2777" s="6">
        <v>0</v>
      </c>
      <c r="D2777">
        <f t="shared" si="43"/>
        <v>123</v>
      </c>
      <c r="G2777" s="1"/>
    </row>
    <row r="2778" spans="1:7" x14ac:dyDescent="0.25">
      <c r="A2778" s="4" t="s">
        <v>514</v>
      </c>
      <c r="B2778" s="5" t="s">
        <v>591</v>
      </c>
      <c r="C2778" s="5">
        <v>1</v>
      </c>
      <c r="D2778">
        <f t="shared" si="43"/>
        <v>123</v>
      </c>
      <c r="G2778" s="1"/>
    </row>
    <row r="2779" spans="1:7" x14ac:dyDescent="0.25">
      <c r="A2779" s="3" t="s">
        <v>515</v>
      </c>
      <c r="B2779" s="6" t="s">
        <v>574</v>
      </c>
      <c r="C2779" s="6">
        <v>2</v>
      </c>
      <c r="D2779">
        <f t="shared" si="43"/>
        <v>124</v>
      </c>
      <c r="G2779" s="1"/>
    </row>
    <row r="2780" spans="1:7" x14ac:dyDescent="0.25">
      <c r="A2780" s="4" t="s">
        <v>515</v>
      </c>
      <c r="B2780" s="5" t="s">
        <v>575</v>
      </c>
      <c r="C2780" s="5">
        <v>1</v>
      </c>
      <c r="D2780">
        <f t="shared" si="43"/>
        <v>124</v>
      </c>
      <c r="G2780" s="1"/>
    </row>
    <row r="2781" spans="1:7" x14ac:dyDescent="0.25">
      <c r="A2781" s="3" t="s">
        <v>515</v>
      </c>
      <c r="B2781" s="6" t="s">
        <v>576</v>
      </c>
      <c r="C2781" s="6">
        <v>0.5</v>
      </c>
      <c r="D2781">
        <f t="shared" si="43"/>
        <v>124</v>
      </c>
      <c r="G2781" s="1"/>
    </row>
    <row r="2782" spans="1:7" x14ac:dyDescent="0.25">
      <c r="A2782" s="4" t="s">
        <v>515</v>
      </c>
      <c r="B2782" s="5" t="s">
        <v>577</v>
      </c>
      <c r="C2782" s="5">
        <v>2</v>
      </c>
      <c r="D2782">
        <f t="shared" si="43"/>
        <v>124</v>
      </c>
      <c r="G2782" s="1"/>
    </row>
    <row r="2783" spans="1:7" x14ac:dyDescent="0.25">
      <c r="A2783" s="3" t="s">
        <v>515</v>
      </c>
      <c r="B2783" s="6" t="s">
        <v>579</v>
      </c>
      <c r="C2783" s="6">
        <v>13.5</v>
      </c>
      <c r="D2783">
        <f t="shared" si="43"/>
        <v>124</v>
      </c>
      <c r="G2783" s="1"/>
    </row>
    <row r="2784" spans="1:7" x14ac:dyDescent="0.25">
      <c r="A2784" s="4" t="s">
        <v>515</v>
      </c>
      <c r="B2784" s="5" t="s">
        <v>580</v>
      </c>
      <c r="C2784" s="5">
        <v>1566</v>
      </c>
      <c r="D2784">
        <f t="shared" si="43"/>
        <v>124</v>
      </c>
      <c r="G2784" s="1"/>
    </row>
    <row r="2785" spans="1:7" x14ac:dyDescent="0.25">
      <c r="A2785" s="3" t="s">
        <v>515</v>
      </c>
      <c r="B2785" s="6" t="s">
        <v>581</v>
      </c>
      <c r="C2785" s="6">
        <v>4.4999999999999998E-2</v>
      </c>
      <c r="D2785">
        <f t="shared" si="43"/>
        <v>124</v>
      </c>
      <c r="G2785" s="1"/>
    </row>
    <row r="2786" spans="1:7" x14ac:dyDescent="0.25">
      <c r="A2786" s="4" t="s">
        <v>515</v>
      </c>
      <c r="B2786" s="5" t="s">
        <v>582</v>
      </c>
      <c r="C2786" s="5">
        <v>29</v>
      </c>
      <c r="D2786">
        <f t="shared" si="43"/>
        <v>124</v>
      </c>
      <c r="G2786" s="1"/>
    </row>
    <row r="2787" spans="1:7" x14ac:dyDescent="0.25">
      <c r="A2787" s="3" t="s">
        <v>515</v>
      </c>
      <c r="B2787" s="6" t="s">
        <v>583</v>
      </c>
      <c r="C2787" s="6">
        <v>16</v>
      </c>
      <c r="D2787">
        <f t="shared" si="43"/>
        <v>124</v>
      </c>
      <c r="G2787" s="1"/>
    </row>
    <row r="2788" spans="1:7" x14ac:dyDescent="0.25">
      <c r="A2788" s="4" t="s">
        <v>515</v>
      </c>
      <c r="B2788" s="5" t="s">
        <v>584</v>
      </c>
      <c r="C2788" s="5">
        <v>116</v>
      </c>
      <c r="D2788">
        <f t="shared" si="43"/>
        <v>124</v>
      </c>
      <c r="G2788" s="1"/>
    </row>
    <row r="2789" spans="1:7" x14ac:dyDescent="0.25">
      <c r="A2789" s="3" t="s">
        <v>515</v>
      </c>
      <c r="B2789" s="6" t="s">
        <v>585</v>
      </c>
      <c r="C2789" s="6">
        <v>19</v>
      </c>
      <c r="D2789">
        <f t="shared" si="43"/>
        <v>124</v>
      </c>
      <c r="G2789" s="1"/>
    </row>
    <row r="2790" spans="1:7" x14ac:dyDescent="0.25">
      <c r="A2790" s="4" t="s">
        <v>515</v>
      </c>
      <c r="B2790" s="5" t="s">
        <v>586</v>
      </c>
      <c r="C2790" s="5">
        <v>1</v>
      </c>
      <c r="D2790">
        <f t="shared" si="43"/>
        <v>124</v>
      </c>
      <c r="G2790" s="1"/>
    </row>
    <row r="2791" spans="1:7" x14ac:dyDescent="0.25">
      <c r="A2791" s="3" t="s">
        <v>515</v>
      </c>
      <c r="B2791" s="6" t="s">
        <v>587</v>
      </c>
      <c r="C2791" s="6">
        <v>1</v>
      </c>
      <c r="D2791">
        <f t="shared" si="43"/>
        <v>124</v>
      </c>
      <c r="G2791" s="1"/>
    </row>
    <row r="2792" spans="1:7" x14ac:dyDescent="0.25">
      <c r="A2792" s="4" t="s">
        <v>515</v>
      </c>
      <c r="B2792" s="5" t="s">
        <v>588</v>
      </c>
      <c r="C2792" s="5">
        <v>57.502200000000002</v>
      </c>
      <c r="D2792">
        <f t="shared" si="43"/>
        <v>124</v>
      </c>
      <c r="G2792" s="1"/>
    </row>
    <row r="2793" spans="1:7" x14ac:dyDescent="0.25">
      <c r="A2793" s="3" t="s">
        <v>515</v>
      </c>
      <c r="B2793" s="6" t="s">
        <v>589</v>
      </c>
      <c r="C2793" s="6">
        <v>0</v>
      </c>
      <c r="D2793">
        <f t="shared" si="43"/>
        <v>124</v>
      </c>
      <c r="G2793" s="1"/>
    </row>
    <row r="2794" spans="1:7" x14ac:dyDescent="0.25">
      <c r="A2794" s="4" t="s">
        <v>515</v>
      </c>
      <c r="B2794" s="5" t="s">
        <v>590</v>
      </c>
      <c r="C2794" s="5">
        <v>3</v>
      </c>
      <c r="D2794">
        <f t="shared" si="43"/>
        <v>124</v>
      </c>
      <c r="G2794" s="1"/>
    </row>
    <row r="2795" spans="1:7" x14ac:dyDescent="0.25">
      <c r="A2795" s="3" t="s">
        <v>515</v>
      </c>
      <c r="B2795" s="6" t="s">
        <v>591</v>
      </c>
      <c r="C2795" s="6">
        <v>2</v>
      </c>
      <c r="D2795">
        <f t="shared" si="43"/>
        <v>124</v>
      </c>
      <c r="G2795" s="1"/>
    </row>
    <row r="2796" spans="1:7" x14ac:dyDescent="0.25">
      <c r="A2796" s="4" t="s">
        <v>515</v>
      </c>
      <c r="B2796" s="5" t="s">
        <v>592</v>
      </c>
      <c r="C2796" s="5">
        <v>1</v>
      </c>
      <c r="D2796">
        <f t="shared" si="43"/>
        <v>124</v>
      </c>
      <c r="G2796" s="1"/>
    </row>
    <row r="2797" spans="1:7" x14ac:dyDescent="0.25">
      <c r="A2797" s="3" t="s">
        <v>516</v>
      </c>
      <c r="B2797" s="6" t="s">
        <v>579</v>
      </c>
      <c r="C2797" s="6">
        <v>1</v>
      </c>
      <c r="D2797">
        <f t="shared" si="43"/>
        <v>124</v>
      </c>
      <c r="G2797" s="1"/>
    </row>
    <row r="2798" spans="1:7" x14ac:dyDescent="0.25">
      <c r="A2798" s="4" t="s">
        <v>516</v>
      </c>
      <c r="B2798" s="5" t="s">
        <v>580</v>
      </c>
      <c r="C2798" s="5">
        <v>4.7549000000000001</v>
      </c>
      <c r="D2798">
        <f t="shared" si="43"/>
        <v>124</v>
      </c>
      <c r="G2798" s="1"/>
    </row>
    <row r="2799" spans="1:7" x14ac:dyDescent="0.25">
      <c r="A2799" s="3" t="s">
        <v>516</v>
      </c>
      <c r="B2799" s="6" t="s">
        <v>581</v>
      </c>
      <c r="C2799" s="6">
        <v>8.9999999999999998E-4</v>
      </c>
      <c r="D2799">
        <f t="shared" si="43"/>
        <v>124</v>
      </c>
      <c r="G2799" s="1"/>
    </row>
    <row r="2800" spans="1:7" x14ac:dyDescent="0.25">
      <c r="A2800" s="4" t="s">
        <v>516</v>
      </c>
      <c r="B2800" s="5" t="s">
        <v>582</v>
      </c>
      <c r="C2800" s="5">
        <v>3</v>
      </c>
      <c r="D2800">
        <f t="shared" si="43"/>
        <v>124</v>
      </c>
      <c r="G2800" s="1"/>
    </row>
    <row r="2801" spans="1:7" x14ac:dyDescent="0.25">
      <c r="A2801" s="3" t="s">
        <v>516</v>
      </c>
      <c r="B2801" s="6" t="s">
        <v>583</v>
      </c>
      <c r="C2801" s="6">
        <v>3</v>
      </c>
      <c r="D2801">
        <f t="shared" si="43"/>
        <v>124</v>
      </c>
      <c r="G2801" s="1"/>
    </row>
    <row r="2802" spans="1:7" x14ac:dyDescent="0.25">
      <c r="A2802" s="4" t="s">
        <v>516</v>
      </c>
      <c r="B2802" s="5" t="s">
        <v>584</v>
      </c>
      <c r="C2802" s="5">
        <v>4.7549000000000001</v>
      </c>
      <c r="D2802">
        <f t="shared" si="43"/>
        <v>124</v>
      </c>
      <c r="G2802" s="1"/>
    </row>
    <row r="2803" spans="1:7" x14ac:dyDescent="0.25">
      <c r="A2803" s="3" t="s">
        <v>516</v>
      </c>
      <c r="B2803" s="6" t="s">
        <v>585</v>
      </c>
      <c r="C2803" s="6">
        <v>9</v>
      </c>
      <c r="D2803">
        <f t="shared" si="43"/>
        <v>124</v>
      </c>
      <c r="G2803" s="1"/>
    </row>
    <row r="2804" spans="1:7" x14ac:dyDescent="0.25">
      <c r="A2804" s="4" t="s">
        <v>516</v>
      </c>
      <c r="B2804" s="5" t="s">
        <v>586</v>
      </c>
      <c r="C2804" s="5">
        <v>1</v>
      </c>
      <c r="D2804">
        <f t="shared" si="43"/>
        <v>124</v>
      </c>
      <c r="G2804" s="1"/>
    </row>
    <row r="2805" spans="1:7" x14ac:dyDescent="0.25">
      <c r="A2805" s="3" t="s">
        <v>516</v>
      </c>
      <c r="B2805" s="6" t="s">
        <v>588</v>
      </c>
      <c r="C2805" s="6">
        <v>74.968599999999995</v>
      </c>
      <c r="D2805">
        <f t="shared" si="43"/>
        <v>124</v>
      </c>
      <c r="G2805" s="1"/>
    </row>
    <row r="2806" spans="1:7" x14ac:dyDescent="0.25">
      <c r="A2806" s="4" t="s">
        <v>516</v>
      </c>
      <c r="B2806" s="5" t="s">
        <v>589</v>
      </c>
      <c r="C2806" s="5">
        <v>0</v>
      </c>
      <c r="D2806">
        <f t="shared" si="43"/>
        <v>124</v>
      </c>
      <c r="G2806" s="1"/>
    </row>
    <row r="2807" spans="1:7" x14ac:dyDescent="0.25">
      <c r="A2807" s="3" t="s">
        <v>516</v>
      </c>
      <c r="B2807" s="6" t="s">
        <v>591</v>
      </c>
      <c r="C2807" s="6">
        <v>1</v>
      </c>
      <c r="D2807">
        <f t="shared" si="43"/>
        <v>124</v>
      </c>
      <c r="G2807" s="1"/>
    </row>
    <row r="2808" spans="1:7" x14ac:dyDescent="0.25">
      <c r="A2808" s="4" t="s">
        <v>517</v>
      </c>
      <c r="B2808" s="5" t="s">
        <v>574</v>
      </c>
      <c r="C2808" s="5">
        <v>2</v>
      </c>
      <c r="D2808">
        <f t="shared" si="43"/>
        <v>125</v>
      </c>
      <c r="G2808" s="1"/>
    </row>
    <row r="2809" spans="1:7" x14ac:dyDescent="0.25">
      <c r="A2809" s="3" t="s">
        <v>517</v>
      </c>
      <c r="B2809" s="6" t="s">
        <v>575</v>
      </c>
      <c r="C2809" s="6">
        <v>1</v>
      </c>
      <c r="D2809">
        <f t="shared" si="43"/>
        <v>125</v>
      </c>
      <c r="G2809" s="1"/>
    </row>
    <row r="2810" spans="1:7" x14ac:dyDescent="0.25">
      <c r="A2810" s="4" t="s">
        <v>517</v>
      </c>
      <c r="B2810" s="5" t="s">
        <v>576</v>
      </c>
      <c r="C2810" s="5">
        <v>0.5</v>
      </c>
      <c r="D2810">
        <f t="shared" si="43"/>
        <v>125</v>
      </c>
      <c r="G2810" s="1"/>
    </row>
    <row r="2811" spans="1:7" x14ac:dyDescent="0.25">
      <c r="A2811" s="3" t="s">
        <v>517</v>
      </c>
      <c r="B2811" s="6" t="s">
        <v>577</v>
      </c>
      <c r="C2811" s="6">
        <v>2</v>
      </c>
      <c r="D2811">
        <f t="shared" si="43"/>
        <v>125</v>
      </c>
      <c r="G2811" s="1"/>
    </row>
    <row r="2812" spans="1:7" x14ac:dyDescent="0.25">
      <c r="A2812" s="4" t="s">
        <v>517</v>
      </c>
      <c r="B2812" s="5" t="s">
        <v>579</v>
      </c>
      <c r="C2812" s="5">
        <v>12.375</v>
      </c>
      <c r="D2812">
        <f t="shared" si="43"/>
        <v>125</v>
      </c>
      <c r="G2812" s="1"/>
    </row>
    <row r="2813" spans="1:7" x14ac:dyDescent="0.25">
      <c r="A2813" s="3" t="s">
        <v>517</v>
      </c>
      <c r="B2813" s="6" t="s">
        <v>580</v>
      </c>
      <c r="C2813" s="6">
        <v>1402.0853999999999</v>
      </c>
      <c r="D2813">
        <f t="shared" si="43"/>
        <v>125</v>
      </c>
      <c r="G2813" s="1"/>
    </row>
    <row r="2814" spans="1:7" x14ac:dyDescent="0.25">
      <c r="A2814" s="4" t="s">
        <v>517</v>
      </c>
      <c r="B2814" s="5" t="s">
        <v>581</v>
      </c>
      <c r="C2814" s="5">
        <v>4.1799999999999997E-2</v>
      </c>
      <c r="D2814">
        <f t="shared" si="43"/>
        <v>125</v>
      </c>
      <c r="G2814" s="1"/>
    </row>
    <row r="2815" spans="1:7" x14ac:dyDescent="0.25">
      <c r="A2815" s="3" t="s">
        <v>517</v>
      </c>
      <c r="B2815" s="6" t="s">
        <v>582</v>
      </c>
      <c r="C2815" s="6">
        <v>29</v>
      </c>
      <c r="D2815">
        <f t="shared" si="43"/>
        <v>125</v>
      </c>
      <c r="G2815" s="1"/>
    </row>
    <row r="2816" spans="1:7" x14ac:dyDescent="0.25">
      <c r="A2816" s="4" t="s">
        <v>517</v>
      </c>
      <c r="B2816" s="5" t="s">
        <v>583</v>
      </c>
      <c r="C2816" s="5">
        <v>15</v>
      </c>
      <c r="D2816">
        <f t="shared" si="43"/>
        <v>125</v>
      </c>
      <c r="G2816" s="1"/>
    </row>
    <row r="2817" spans="1:7" x14ac:dyDescent="0.25">
      <c r="A2817" s="3" t="s">
        <v>517</v>
      </c>
      <c r="B2817" s="6" t="s">
        <v>584</v>
      </c>
      <c r="C2817" s="6">
        <v>113.2998</v>
      </c>
      <c r="D2817">
        <f t="shared" si="43"/>
        <v>125</v>
      </c>
      <c r="G2817" s="1"/>
    </row>
    <row r="2818" spans="1:7" x14ac:dyDescent="0.25">
      <c r="A2818" s="4" t="s">
        <v>517</v>
      </c>
      <c r="B2818" s="5" t="s">
        <v>585</v>
      </c>
      <c r="C2818" s="5">
        <v>19</v>
      </c>
      <c r="D2818">
        <f t="shared" si="43"/>
        <v>125</v>
      </c>
      <c r="G2818" s="1"/>
    </row>
    <row r="2819" spans="1:7" x14ac:dyDescent="0.25">
      <c r="A2819" s="3" t="s">
        <v>517</v>
      </c>
      <c r="B2819" s="6" t="s">
        <v>586</v>
      </c>
      <c r="C2819" s="6">
        <v>1</v>
      </c>
      <c r="D2819">
        <f t="shared" si="43"/>
        <v>125</v>
      </c>
      <c r="G2819" s="1"/>
    </row>
    <row r="2820" spans="1:7" x14ac:dyDescent="0.25">
      <c r="A2820" s="4" t="s">
        <v>517</v>
      </c>
      <c r="B2820" s="5" t="s">
        <v>587</v>
      </c>
      <c r="C2820" s="5">
        <v>1</v>
      </c>
      <c r="D2820">
        <f t="shared" ref="D2820:D2883" si="44">IF(B2820="CCM", D2819+1, D2819)</f>
        <v>125</v>
      </c>
      <c r="G2820" s="1"/>
    </row>
    <row r="2821" spans="1:7" x14ac:dyDescent="0.25">
      <c r="A2821" s="3" t="s">
        <v>517</v>
      </c>
      <c r="B2821" s="6" t="s">
        <v>588</v>
      </c>
      <c r="C2821" s="6">
        <v>57.581899999999997</v>
      </c>
      <c r="D2821">
        <f t="shared" si="44"/>
        <v>125</v>
      </c>
      <c r="G2821" s="1"/>
    </row>
    <row r="2822" spans="1:7" x14ac:dyDescent="0.25">
      <c r="A2822" s="4" t="s">
        <v>517</v>
      </c>
      <c r="B2822" s="5" t="s">
        <v>589</v>
      </c>
      <c r="C2822" s="5">
        <v>0</v>
      </c>
      <c r="D2822">
        <f t="shared" si="44"/>
        <v>125</v>
      </c>
      <c r="G2822" s="1"/>
    </row>
    <row r="2823" spans="1:7" x14ac:dyDescent="0.25">
      <c r="A2823" s="3" t="s">
        <v>517</v>
      </c>
      <c r="B2823" s="6" t="s">
        <v>590</v>
      </c>
      <c r="C2823" s="6">
        <v>3</v>
      </c>
      <c r="D2823">
        <f t="shared" si="44"/>
        <v>125</v>
      </c>
      <c r="G2823" s="1"/>
    </row>
    <row r="2824" spans="1:7" x14ac:dyDescent="0.25">
      <c r="A2824" s="4" t="s">
        <v>517</v>
      </c>
      <c r="B2824" s="5" t="s">
        <v>591</v>
      </c>
      <c r="C2824" s="5">
        <v>2</v>
      </c>
      <c r="D2824">
        <f t="shared" si="44"/>
        <v>125</v>
      </c>
      <c r="G2824" s="1"/>
    </row>
    <row r="2825" spans="1:7" x14ac:dyDescent="0.25">
      <c r="A2825" s="3" t="s">
        <v>517</v>
      </c>
      <c r="B2825" s="6" t="s">
        <v>592</v>
      </c>
      <c r="C2825" s="6">
        <v>1</v>
      </c>
      <c r="D2825">
        <f t="shared" si="44"/>
        <v>125</v>
      </c>
      <c r="G2825" s="1"/>
    </row>
    <row r="2826" spans="1:7" x14ac:dyDescent="0.25">
      <c r="A2826" s="4" t="s">
        <v>518</v>
      </c>
      <c r="B2826" s="5" t="s">
        <v>578</v>
      </c>
      <c r="C2826" s="5">
        <v>1</v>
      </c>
      <c r="D2826">
        <f t="shared" si="44"/>
        <v>125</v>
      </c>
      <c r="G2826" s="1"/>
    </row>
    <row r="2827" spans="1:7" x14ac:dyDescent="0.25">
      <c r="A2827" s="3" t="s">
        <v>518</v>
      </c>
      <c r="B2827" s="6" t="s">
        <v>579</v>
      </c>
      <c r="C2827" s="6">
        <v>11.375</v>
      </c>
      <c r="D2827">
        <f t="shared" si="44"/>
        <v>125</v>
      </c>
      <c r="G2827" s="1"/>
    </row>
    <row r="2828" spans="1:7" x14ac:dyDescent="0.25">
      <c r="A2828" s="4" t="s">
        <v>518</v>
      </c>
      <c r="B2828" s="5" t="s">
        <v>580</v>
      </c>
      <c r="C2828" s="5">
        <v>1069.3824999999999</v>
      </c>
      <c r="D2828">
        <f t="shared" si="44"/>
        <v>125</v>
      </c>
      <c r="G2828" s="1"/>
    </row>
    <row r="2829" spans="1:7" x14ac:dyDescent="0.25">
      <c r="A2829" s="3" t="s">
        <v>518</v>
      </c>
      <c r="B2829" s="6" t="s">
        <v>581</v>
      </c>
      <c r="C2829" s="6">
        <v>3.49E-2</v>
      </c>
      <c r="D2829">
        <f t="shared" si="44"/>
        <v>125</v>
      </c>
      <c r="G2829" s="1"/>
    </row>
    <row r="2830" spans="1:7" x14ac:dyDescent="0.25">
      <c r="A2830" s="4" t="s">
        <v>518</v>
      </c>
      <c r="B2830" s="5" t="s">
        <v>582</v>
      </c>
      <c r="C2830" s="5">
        <v>23</v>
      </c>
      <c r="D2830">
        <f t="shared" si="44"/>
        <v>125</v>
      </c>
      <c r="G2830" s="1"/>
    </row>
    <row r="2831" spans="1:7" x14ac:dyDescent="0.25">
      <c r="A2831" s="3" t="s">
        <v>518</v>
      </c>
      <c r="B2831" s="6" t="s">
        <v>583</v>
      </c>
      <c r="C2831" s="6">
        <v>17</v>
      </c>
      <c r="D2831">
        <f t="shared" si="44"/>
        <v>125</v>
      </c>
      <c r="G2831" s="1"/>
    </row>
    <row r="2832" spans="1:7" x14ac:dyDescent="0.25">
      <c r="A2832" s="4" t="s">
        <v>518</v>
      </c>
      <c r="B2832" s="5" t="s">
        <v>584</v>
      </c>
      <c r="C2832" s="5">
        <v>94.011600000000001</v>
      </c>
      <c r="D2832">
        <f t="shared" si="44"/>
        <v>125</v>
      </c>
      <c r="G2832" s="1"/>
    </row>
    <row r="2833" spans="1:12" x14ac:dyDescent="0.25">
      <c r="A2833" s="3" t="s">
        <v>518</v>
      </c>
      <c r="B2833" s="6" t="s">
        <v>585</v>
      </c>
      <c r="C2833" s="6">
        <v>6</v>
      </c>
      <c r="D2833">
        <f t="shared" si="44"/>
        <v>125</v>
      </c>
      <c r="G2833" s="1"/>
    </row>
    <row r="2834" spans="1:12" x14ac:dyDescent="0.25">
      <c r="A2834" s="4" t="s">
        <v>518</v>
      </c>
      <c r="B2834" s="5" t="s">
        <v>588</v>
      </c>
      <c r="C2834" s="5">
        <v>69.023099999999999</v>
      </c>
      <c r="D2834">
        <f t="shared" si="44"/>
        <v>125</v>
      </c>
      <c r="F2834" s="1"/>
      <c r="G2834" s="1"/>
      <c r="H2834" s="1"/>
      <c r="I2834" s="1"/>
      <c r="J2834" s="1"/>
      <c r="K2834" s="1"/>
      <c r="L2834" s="1"/>
    </row>
    <row r="2835" spans="1:12" x14ac:dyDescent="0.25">
      <c r="A2835" s="3" t="s">
        <v>518</v>
      </c>
      <c r="B2835" s="6" t="s">
        <v>589</v>
      </c>
      <c r="C2835" s="6">
        <v>0</v>
      </c>
      <c r="D2835">
        <f t="shared" si="44"/>
        <v>125</v>
      </c>
      <c r="F2835" s="1"/>
      <c r="G2835" s="1"/>
      <c r="H2835" s="1"/>
      <c r="I2835" s="1"/>
      <c r="J2835" s="1"/>
      <c r="K2835" s="1"/>
      <c r="L2835" s="1"/>
    </row>
    <row r="2836" spans="1:12" x14ac:dyDescent="0.25">
      <c r="A2836" s="4" t="s">
        <v>518</v>
      </c>
      <c r="B2836" s="5" t="s">
        <v>590</v>
      </c>
      <c r="C2836" s="5">
        <v>4</v>
      </c>
      <c r="D2836">
        <f t="shared" si="44"/>
        <v>125</v>
      </c>
      <c r="F2836" s="1"/>
      <c r="G2836" s="1"/>
      <c r="H2836" s="1"/>
      <c r="I2836" s="1"/>
      <c r="J2836" s="1"/>
      <c r="K2836" s="1"/>
      <c r="L2836" s="1"/>
    </row>
    <row r="2837" spans="1:12" x14ac:dyDescent="0.25">
      <c r="A2837" s="3" t="s">
        <v>518</v>
      </c>
      <c r="B2837" s="6" t="s">
        <v>591</v>
      </c>
      <c r="C2837" s="6">
        <v>1</v>
      </c>
      <c r="D2837">
        <f t="shared" si="44"/>
        <v>125</v>
      </c>
      <c r="F2837" s="1"/>
      <c r="G2837" s="1"/>
      <c r="H2837" s="1"/>
      <c r="I2837" s="1"/>
      <c r="J2837" s="1"/>
      <c r="K2837" s="1"/>
      <c r="L2837" s="1"/>
    </row>
    <row r="2838" spans="1:12" x14ac:dyDescent="0.25">
      <c r="A2838" s="4" t="s">
        <v>518</v>
      </c>
      <c r="B2838" s="5" t="s">
        <v>574</v>
      </c>
      <c r="C2838" s="5">
        <v>0</v>
      </c>
      <c r="D2838">
        <f t="shared" si="44"/>
        <v>126</v>
      </c>
      <c r="F2838" s="1"/>
      <c r="G2838" s="1"/>
      <c r="H2838" s="1"/>
      <c r="I2838" s="1"/>
      <c r="J2838" s="1"/>
      <c r="K2838" s="1"/>
      <c r="L2838" s="1"/>
    </row>
    <row r="2839" spans="1:12" x14ac:dyDescent="0.25">
      <c r="A2839" s="4" t="s">
        <v>519</v>
      </c>
      <c r="B2839" s="5" t="s">
        <v>574</v>
      </c>
      <c r="C2839" s="5">
        <v>2</v>
      </c>
      <c r="D2839">
        <f t="shared" si="44"/>
        <v>127</v>
      </c>
      <c r="F2839" s="1"/>
      <c r="G2839" s="1"/>
      <c r="H2839" s="1"/>
      <c r="I2839" s="1"/>
      <c r="J2839" s="1"/>
      <c r="K2839" s="1"/>
      <c r="L2839" s="1"/>
    </row>
    <row r="2840" spans="1:12" x14ac:dyDescent="0.25">
      <c r="A2840" s="3" t="s">
        <v>519</v>
      </c>
      <c r="B2840" s="6" t="s">
        <v>575</v>
      </c>
      <c r="C2840" s="6">
        <v>1</v>
      </c>
      <c r="D2840">
        <f t="shared" si="44"/>
        <v>127</v>
      </c>
      <c r="F2840" s="1"/>
      <c r="G2840" s="1"/>
      <c r="H2840" s="1"/>
      <c r="I2840" s="1"/>
      <c r="J2840" s="1"/>
      <c r="K2840" s="1"/>
      <c r="L2840" s="1"/>
    </row>
    <row r="2841" spans="1:12" x14ac:dyDescent="0.25">
      <c r="A2841" s="4" t="s">
        <v>519</v>
      </c>
      <c r="B2841" s="5" t="s">
        <v>576</v>
      </c>
      <c r="C2841" s="5">
        <v>0.5</v>
      </c>
      <c r="D2841">
        <f t="shared" si="44"/>
        <v>127</v>
      </c>
      <c r="G2841" s="1"/>
    </row>
    <row r="2842" spans="1:12" x14ac:dyDescent="0.25">
      <c r="A2842" s="3" t="s">
        <v>519</v>
      </c>
      <c r="B2842" s="6" t="s">
        <v>577</v>
      </c>
      <c r="C2842" s="6">
        <v>2</v>
      </c>
      <c r="D2842">
        <f t="shared" si="44"/>
        <v>127</v>
      </c>
      <c r="G2842" s="1"/>
    </row>
    <row r="2843" spans="1:12" x14ac:dyDescent="0.25">
      <c r="A2843" s="4" t="s">
        <v>519</v>
      </c>
      <c r="B2843" s="5" t="s">
        <v>579</v>
      </c>
      <c r="C2843" s="5">
        <v>10.5</v>
      </c>
      <c r="D2843">
        <f t="shared" si="44"/>
        <v>127</v>
      </c>
      <c r="G2843" s="1"/>
    </row>
    <row r="2844" spans="1:12" x14ac:dyDescent="0.25">
      <c r="A2844" s="3" t="s">
        <v>519</v>
      </c>
      <c r="B2844" s="6" t="s">
        <v>580</v>
      </c>
      <c r="C2844" s="6">
        <v>1089.1259</v>
      </c>
      <c r="D2844">
        <f t="shared" si="44"/>
        <v>127</v>
      </c>
      <c r="G2844" s="1"/>
    </row>
    <row r="2845" spans="1:12" x14ac:dyDescent="0.25">
      <c r="A2845" s="4" t="s">
        <v>519</v>
      </c>
      <c r="B2845" s="5" t="s">
        <v>581</v>
      </c>
      <c r="C2845" s="5">
        <v>3.5299999999999998E-2</v>
      </c>
      <c r="D2845">
        <f t="shared" si="44"/>
        <v>127</v>
      </c>
      <c r="G2845" s="1"/>
    </row>
    <row r="2846" spans="1:12" x14ac:dyDescent="0.25">
      <c r="A2846" s="3" t="s">
        <v>519</v>
      </c>
      <c r="B2846" s="6" t="s">
        <v>582</v>
      </c>
      <c r="C2846" s="6">
        <v>24</v>
      </c>
      <c r="D2846">
        <f t="shared" si="44"/>
        <v>127</v>
      </c>
      <c r="G2846" s="1"/>
    </row>
    <row r="2847" spans="1:12" x14ac:dyDescent="0.25">
      <c r="A2847" s="4" t="s">
        <v>519</v>
      </c>
      <c r="B2847" s="5" t="s">
        <v>583</v>
      </c>
      <c r="C2847" s="5">
        <v>20</v>
      </c>
      <c r="D2847">
        <f t="shared" si="44"/>
        <v>127</v>
      </c>
      <c r="G2847" s="1"/>
    </row>
    <row r="2848" spans="1:12" x14ac:dyDescent="0.25">
      <c r="A2848" s="3" t="s">
        <v>519</v>
      </c>
      <c r="B2848" s="6" t="s">
        <v>584</v>
      </c>
      <c r="C2848" s="6">
        <v>103.72629999999999</v>
      </c>
      <c r="D2848">
        <f t="shared" si="44"/>
        <v>127</v>
      </c>
      <c r="G2848" s="1"/>
    </row>
    <row r="2849" spans="1:7" x14ac:dyDescent="0.25">
      <c r="A2849" s="4" t="s">
        <v>519</v>
      </c>
      <c r="B2849" s="5" t="s">
        <v>585</v>
      </c>
      <c r="C2849" s="5">
        <v>20</v>
      </c>
      <c r="D2849">
        <f t="shared" si="44"/>
        <v>127</v>
      </c>
      <c r="G2849" s="1"/>
    </row>
    <row r="2850" spans="1:7" x14ac:dyDescent="0.25">
      <c r="A2850" s="3" t="s">
        <v>519</v>
      </c>
      <c r="B2850" s="6" t="s">
        <v>586</v>
      </c>
      <c r="C2850" s="6">
        <v>1</v>
      </c>
      <c r="D2850">
        <f t="shared" si="44"/>
        <v>127</v>
      </c>
      <c r="G2850" s="1"/>
    </row>
    <row r="2851" spans="1:7" x14ac:dyDescent="0.25">
      <c r="A2851" s="4" t="s">
        <v>519</v>
      </c>
      <c r="B2851" s="5" t="s">
        <v>587</v>
      </c>
      <c r="C2851" s="5">
        <v>1</v>
      </c>
      <c r="D2851">
        <f t="shared" si="44"/>
        <v>127</v>
      </c>
      <c r="G2851" s="1"/>
    </row>
    <row r="2852" spans="1:7" x14ac:dyDescent="0.25">
      <c r="A2852" s="3" t="s">
        <v>519</v>
      </c>
      <c r="B2852" s="6" t="s">
        <v>588</v>
      </c>
      <c r="C2852" s="6">
        <v>57.377699999999997</v>
      </c>
      <c r="D2852">
        <f t="shared" si="44"/>
        <v>127</v>
      </c>
      <c r="G2852" s="1"/>
    </row>
    <row r="2853" spans="1:7" x14ac:dyDescent="0.25">
      <c r="A2853" s="4" t="s">
        <v>519</v>
      </c>
      <c r="B2853" s="5" t="s">
        <v>589</v>
      </c>
      <c r="C2853" s="5">
        <v>0</v>
      </c>
      <c r="D2853">
        <f t="shared" si="44"/>
        <v>127</v>
      </c>
      <c r="G2853" s="1"/>
    </row>
    <row r="2854" spans="1:7" x14ac:dyDescent="0.25">
      <c r="A2854" s="3" t="s">
        <v>519</v>
      </c>
      <c r="B2854" s="6" t="s">
        <v>590</v>
      </c>
      <c r="C2854" s="6">
        <v>3</v>
      </c>
      <c r="D2854">
        <f t="shared" si="44"/>
        <v>127</v>
      </c>
      <c r="G2854" s="1"/>
    </row>
    <row r="2855" spans="1:7" x14ac:dyDescent="0.25">
      <c r="A2855" s="4" t="s">
        <v>519</v>
      </c>
      <c r="B2855" s="5" t="s">
        <v>591</v>
      </c>
      <c r="C2855" s="5">
        <v>2</v>
      </c>
      <c r="D2855">
        <f t="shared" si="44"/>
        <v>127</v>
      </c>
      <c r="G2855" s="1"/>
    </row>
    <row r="2856" spans="1:7" x14ac:dyDescent="0.25">
      <c r="A2856" s="3" t="s">
        <v>519</v>
      </c>
      <c r="B2856" s="6" t="s">
        <v>592</v>
      </c>
      <c r="C2856" s="6">
        <v>1</v>
      </c>
      <c r="D2856">
        <f t="shared" si="44"/>
        <v>127</v>
      </c>
      <c r="G2856" s="1"/>
    </row>
    <row r="2857" spans="1:7" x14ac:dyDescent="0.25">
      <c r="A2857" s="4" t="s">
        <v>520</v>
      </c>
      <c r="B2857" s="5" t="s">
        <v>574</v>
      </c>
      <c r="C2857" s="5">
        <v>2</v>
      </c>
      <c r="D2857">
        <f t="shared" si="44"/>
        <v>128</v>
      </c>
      <c r="G2857" s="1"/>
    </row>
    <row r="2858" spans="1:7" x14ac:dyDescent="0.25">
      <c r="A2858" s="3" t="s">
        <v>520</v>
      </c>
      <c r="B2858" s="6" t="s">
        <v>575</v>
      </c>
      <c r="C2858" s="6">
        <v>1</v>
      </c>
      <c r="D2858">
        <f t="shared" si="44"/>
        <v>128</v>
      </c>
      <c r="G2858" s="1"/>
    </row>
    <row r="2859" spans="1:7" x14ac:dyDescent="0.25">
      <c r="A2859" s="4" t="s">
        <v>520</v>
      </c>
      <c r="B2859" s="5" t="s">
        <v>576</v>
      </c>
      <c r="C2859" s="5">
        <v>0.25</v>
      </c>
      <c r="D2859">
        <f t="shared" si="44"/>
        <v>128</v>
      </c>
      <c r="G2859" s="1"/>
    </row>
    <row r="2860" spans="1:7" x14ac:dyDescent="0.25">
      <c r="A2860" s="3" t="s">
        <v>520</v>
      </c>
      <c r="B2860" s="6" t="s">
        <v>577</v>
      </c>
      <c r="C2860" s="6">
        <v>3</v>
      </c>
      <c r="D2860">
        <f t="shared" si="44"/>
        <v>128</v>
      </c>
      <c r="G2860" s="1"/>
    </row>
    <row r="2861" spans="1:7" x14ac:dyDescent="0.25">
      <c r="A2861" s="4" t="s">
        <v>520</v>
      </c>
      <c r="B2861" s="5" t="s">
        <v>579</v>
      </c>
      <c r="C2861" s="5">
        <v>10</v>
      </c>
      <c r="D2861">
        <f t="shared" si="44"/>
        <v>128</v>
      </c>
      <c r="G2861" s="1"/>
    </row>
    <row r="2862" spans="1:7" x14ac:dyDescent="0.25">
      <c r="A2862" s="3" t="s">
        <v>520</v>
      </c>
      <c r="B2862" s="6" t="s">
        <v>580</v>
      </c>
      <c r="C2862" s="6">
        <v>629.07479999999998</v>
      </c>
      <c r="D2862">
        <f t="shared" si="44"/>
        <v>128</v>
      </c>
      <c r="G2862" s="1"/>
    </row>
    <row r="2863" spans="1:7" x14ac:dyDescent="0.25">
      <c r="A2863" s="4" t="s">
        <v>520</v>
      </c>
      <c r="B2863" s="5" t="s">
        <v>581</v>
      </c>
      <c r="C2863" s="5">
        <v>2.4500000000000001E-2</v>
      </c>
      <c r="D2863">
        <f t="shared" si="44"/>
        <v>128</v>
      </c>
      <c r="G2863" s="1"/>
    </row>
    <row r="2864" spans="1:7" x14ac:dyDescent="0.25">
      <c r="A2864" s="3" t="s">
        <v>520</v>
      </c>
      <c r="B2864" s="6" t="s">
        <v>582</v>
      </c>
      <c r="C2864" s="6">
        <v>17</v>
      </c>
      <c r="D2864">
        <f t="shared" si="44"/>
        <v>128</v>
      </c>
      <c r="G2864" s="1"/>
    </row>
    <row r="2865" spans="1:7" x14ac:dyDescent="0.25">
      <c r="A2865" s="4" t="s">
        <v>520</v>
      </c>
      <c r="B2865" s="5" t="s">
        <v>583</v>
      </c>
      <c r="C2865" s="5">
        <v>13</v>
      </c>
      <c r="D2865">
        <f t="shared" si="44"/>
        <v>128</v>
      </c>
      <c r="G2865" s="1"/>
    </row>
    <row r="2866" spans="1:7" x14ac:dyDescent="0.25">
      <c r="A2866" s="3" t="s">
        <v>520</v>
      </c>
      <c r="B2866" s="6" t="s">
        <v>584</v>
      </c>
      <c r="C2866" s="6">
        <v>62.907499999999999</v>
      </c>
      <c r="D2866">
        <f t="shared" si="44"/>
        <v>128</v>
      </c>
      <c r="G2866" s="1"/>
    </row>
    <row r="2867" spans="1:7" x14ac:dyDescent="0.25">
      <c r="A2867" s="4" t="s">
        <v>520</v>
      </c>
      <c r="B2867" s="5" t="s">
        <v>585</v>
      </c>
      <c r="C2867" s="5">
        <v>21</v>
      </c>
      <c r="D2867">
        <f t="shared" si="44"/>
        <v>128</v>
      </c>
      <c r="G2867" s="1"/>
    </row>
    <row r="2868" spans="1:7" x14ac:dyDescent="0.25">
      <c r="A2868" s="3" t="s">
        <v>520</v>
      </c>
      <c r="B2868" s="6" t="s">
        <v>586</v>
      </c>
      <c r="C2868" s="6">
        <v>1</v>
      </c>
      <c r="D2868">
        <f t="shared" si="44"/>
        <v>128</v>
      </c>
      <c r="G2868" s="1"/>
    </row>
    <row r="2869" spans="1:7" x14ac:dyDescent="0.25">
      <c r="A2869" s="4" t="s">
        <v>520</v>
      </c>
      <c r="B2869" s="5" t="s">
        <v>587</v>
      </c>
      <c r="C2869" s="5">
        <v>1</v>
      </c>
      <c r="D2869">
        <f t="shared" si="44"/>
        <v>128</v>
      </c>
      <c r="G2869" s="1"/>
    </row>
    <row r="2870" spans="1:7" x14ac:dyDescent="0.25">
      <c r="A2870" s="3" t="s">
        <v>520</v>
      </c>
      <c r="B2870" s="6" t="s">
        <v>588</v>
      </c>
      <c r="C2870" s="6">
        <v>58.459000000000003</v>
      </c>
      <c r="D2870">
        <f t="shared" si="44"/>
        <v>128</v>
      </c>
      <c r="G2870" s="1"/>
    </row>
    <row r="2871" spans="1:7" x14ac:dyDescent="0.25">
      <c r="A2871" s="4" t="s">
        <v>520</v>
      </c>
      <c r="B2871" s="5" t="s">
        <v>589</v>
      </c>
      <c r="C2871" s="5">
        <v>1</v>
      </c>
      <c r="D2871">
        <f t="shared" si="44"/>
        <v>128</v>
      </c>
      <c r="G2871" s="1"/>
    </row>
    <row r="2872" spans="1:7" x14ac:dyDescent="0.25">
      <c r="A2872" s="3" t="s">
        <v>520</v>
      </c>
      <c r="B2872" s="6" t="s">
        <v>590</v>
      </c>
      <c r="C2872" s="6">
        <v>3</v>
      </c>
      <c r="D2872">
        <f t="shared" si="44"/>
        <v>128</v>
      </c>
      <c r="G2872" s="1"/>
    </row>
    <row r="2873" spans="1:7" x14ac:dyDescent="0.25">
      <c r="A2873" s="4" t="s">
        <v>520</v>
      </c>
      <c r="B2873" s="5" t="s">
        <v>591</v>
      </c>
      <c r="C2873" s="5">
        <v>2</v>
      </c>
      <c r="D2873">
        <f t="shared" si="44"/>
        <v>128</v>
      </c>
      <c r="G2873" s="1"/>
    </row>
    <row r="2874" spans="1:7" x14ac:dyDescent="0.25">
      <c r="A2874" s="3" t="s">
        <v>520</v>
      </c>
      <c r="B2874" s="6" t="s">
        <v>592</v>
      </c>
      <c r="C2874" s="6">
        <v>1</v>
      </c>
      <c r="D2874">
        <f t="shared" si="44"/>
        <v>128</v>
      </c>
      <c r="G2874" s="1"/>
    </row>
    <row r="2875" spans="1:7" x14ac:dyDescent="0.25">
      <c r="A2875" s="4" t="s">
        <v>521</v>
      </c>
      <c r="B2875" s="5" t="s">
        <v>574</v>
      </c>
      <c r="C2875" s="5">
        <v>1</v>
      </c>
      <c r="D2875">
        <f t="shared" si="44"/>
        <v>129</v>
      </c>
      <c r="G2875" s="1"/>
    </row>
    <row r="2876" spans="1:7" x14ac:dyDescent="0.25">
      <c r="A2876" s="3" t="s">
        <v>521</v>
      </c>
      <c r="B2876" s="6" t="s">
        <v>576</v>
      </c>
      <c r="C2876" s="6">
        <v>0.5</v>
      </c>
      <c r="D2876">
        <f t="shared" si="44"/>
        <v>129</v>
      </c>
      <c r="G2876" s="1"/>
    </row>
    <row r="2877" spans="1:7" x14ac:dyDescent="0.25">
      <c r="A2877" s="4" t="s">
        <v>521</v>
      </c>
      <c r="B2877" s="5" t="s">
        <v>577</v>
      </c>
      <c r="C2877" s="5">
        <v>1</v>
      </c>
      <c r="D2877">
        <f t="shared" si="44"/>
        <v>129</v>
      </c>
      <c r="G2877" s="1"/>
    </row>
    <row r="2878" spans="1:7" x14ac:dyDescent="0.25">
      <c r="A2878" s="3" t="s">
        <v>521</v>
      </c>
      <c r="B2878" s="6" t="s">
        <v>579</v>
      </c>
      <c r="C2878" s="6">
        <v>2.5</v>
      </c>
      <c r="D2878">
        <f t="shared" si="44"/>
        <v>129</v>
      </c>
      <c r="G2878" s="1"/>
    </row>
    <row r="2879" spans="1:7" x14ac:dyDescent="0.25">
      <c r="A2879" s="4" t="s">
        <v>521</v>
      </c>
      <c r="B2879" s="5" t="s">
        <v>580</v>
      </c>
      <c r="C2879" s="5">
        <v>38.7744</v>
      </c>
      <c r="D2879">
        <f t="shared" si="44"/>
        <v>129</v>
      </c>
      <c r="G2879" s="1"/>
    </row>
    <row r="2880" spans="1:7" x14ac:dyDescent="0.25">
      <c r="A2880" s="3" t="s">
        <v>521</v>
      </c>
      <c r="B2880" s="6" t="s">
        <v>581</v>
      </c>
      <c r="C2880" s="6">
        <v>3.8E-3</v>
      </c>
      <c r="D2880">
        <f t="shared" si="44"/>
        <v>129</v>
      </c>
      <c r="G2880" s="1"/>
    </row>
    <row r="2881" spans="1:7" x14ac:dyDescent="0.25">
      <c r="A2881" s="4" t="s">
        <v>521</v>
      </c>
      <c r="B2881" s="5" t="s">
        <v>582</v>
      </c>
      <c r="C2881" s="5">
        <v>6</v>
      </c>
      <c r="D2881">
        <f t="shared" si="44"/>
        <v>129</v>
      </c>
      <c r="G2881" s="1"/>
    </row>
    <row r="2882" spans="1:7" x14ac:dyDescent="0.25">
      <c r="A2882" s="3" t="s">
        <v>521</v>
      </c>
      <c r="B2882" s="6" t="s">
        <v>583</v>
      </c>
      <c r="C2882" s="6">
        <v>6</v>
      </c>
      <c r="D2882">
        <f t="shared" si="44"/>
        <v>129</v>
      </c>
      <c r="G2882" s="1"/>
    </row>
    <row r="2883" spans="1:7" x14ac:dyDescent="0.25">
      <c r="A2883" s="4" t="s">
        <v>521</v>
      </c>
      <c r="B2883" s="5" t="s">
        <v>584</v>
      </c>
      <c r="C2883" s="5">
        <v>15.5098</v>
      </c>
      <c r="D2883">
        <f t="shared" si="44"/>
        <v>129</v>
      </c>
      <c r="G2883" s="1"/>
    </row>
    <row r="2884" spans="1:7" x14ac:dyDescent="0.25">
      <c r="A2884" s="3" t="s">
        <v>521</v>
      </c>
      <c r="B2884" s="6" t="s">
        <v>585</v>
      </c>
      <c r="C2884" s="6">
        <v>13</v>
      </c>
      <c r="D2884">
        <f t="shared" ref="D2884:D2947" si="45">IF(B2884="CCM", D2883+1, D2883)</f>
        <v>129</v>
      </c>
      <c r="G2884" s="1"/>
    </row>
    <row r="2885" spans="1:7" x14ac:dyDescent="0.25">
      <c r="A2885" s="4" t="s">
        <v>521</v>
      </c>
      <c r="B2885" s="5" t="s">
        <v>586</v>
      </c>
      <c r="C2885" s="5">
        <v>1</v>
      </c>
      <c r="D2885">
        <f t="shared" si="45"/>
        <v>129</v>
      </c>
      <c r="G2885" s="1"/>
    </row>
    <row r="2886" spans="1:7" x14ac:dyDescent="0.25">
      <c r="A2886" s="3" t="s">
        <v>521</v>
      </c>
      <c r="B2886" s="6" t="s">
        <v>587</v>
      </c>
      <c r="C2886" s="6">
        <v>1</v>
      </c>
      <c r="D2886">
        <f t="shared" si="45"/>
        <v>129</v>
      </c>
      <c r="G2886" s="1"/>
    </row>
    <row r="2887" spans="1:7" x14ac:dyDescent="0.25">
      <c r="A2887" s="4" t="s">
        <v>521</v>
      </c>
      <c r="B2887" s="5" t="s">
        <v>588</v>
      </c>
      <c r="C2887" s="5">
        <v>67.372200000000007</v>
      </c>
      <c r="D2887">
        <f t="shared" si="45"/>
        <v>129</v>
      </c>
      <c r="G2887" s="1"/>
    </row>
    <row r="2888" spans="1:7" x14ac:dyDescent="0.25">
      <c r="A2888" s="3" t="s">
        <v>521</v>
      </c>
      <c r="B2888" s="6" t="s">
        <v>589</v>
      </c>
      <c r="C2888" s="6">
        <v>0</v>
      </c>
      <c r="D2888">
        <f t="shared" si="45"/>
        <v>129</v>
      </c>
      <c r="G2888" s="1"/>
    </row>
    <row r="2889" spans="1:7" x14ac:dyDescent="0.25">
      <c r="A2889" s="4" t="s">
        <v>521</v>
      </c>
      <c r="B2889" s="5" t="s">
        <v>590</v>
      </c>
      <c r="C2889" s="5">
        <v>2</v>
      </c>
      <c r="D2889">
        <f t="shared" si="45"/>
        <v>129</v>
      </c>
      <c r="G2889" s="1"/>
    </row>
    <row r="2890" spans="1:7" x14ac:dyDescent="0.25">
      <c r="A2890" s="3" t="s">
        <v>521</v>
      </c>
      <c r="B2890" s="6" t="s">
        <v>591</v>
      </c>
      <c r="C2890" s="6">
        <v>1</v>
      </c>
      <c r="D2890">
        <f t="shared" si="45"/>
        <v>129</v>
      </c>
      <c r="G2890" s="1"/>
    </row>
    <row r="2891" spans="1:7" x14ac:dyDescent="0.25">
      <c r="A2891" s="4" t="s">
        <v>521</v>
      </c>
      <c r="B2891" s="5" t="s">
        <v>592</v>
      </c>
      <c r="C2891" s="5">
        <v>1</v>
      </c>
      <c r="D2891">
        <f t="shared" si="45"/>
        <v>129</v>
      </c>
      <c r="G2891" s="1"/>
    </row>
    <row r="2892" spans="1:7" x14ac:dyDescent="0.25">
      <c r="A2892" s="3" t="s">
        <v>522</v>
      </c>
      <c r="B2892" s="6" t="s">
        <v>574</v>
      </c>
      <c r="C2892" s="6">
        <v>2</v>
      </c>
      <c r="D2892">
        <f t="shared" si="45"/>
        <v>130</v>
      </c>
      <c r="G2892" s="1"/>
    </row>
    <row r="2893" spans="1:7" x14ac:dyDescent="0.25">
      <c r="A2893" s="4" t="s">
        <v>522</v>
      </c>
      <c r="B2893" s="5" t="s">
        <v>575</v>
      </c>
      <c r="C2893" s="5">
        <v>1</v>
      </c>
      <c r="D2893">
        <f t="shared" si="45"/>
        <v>130</v>
      </c>
      <c r="G2893" s="1"/>
    </row>
    <row r="2894" spans="1:7" x14ac:dyDescent="0.25">
      <c r="A2894" s="3" t="s">
        <v>522</v>
      </c>
      <c r="B2894" s="6" t="s">
        <v>576</v>
      </c>
      <c r="C2894" s="6">
        <v>0.5</v>
      </c>
      <c r="D2894">
        <f t="shared" si="45"/>
        <v>130</v>
      </c>
      <c r="G2894" s="1"/>
    </row>
    <row r="2895" spans="1:7" x14ac:dyDescent="0.25">
      <c r="A2895" s="4" t="s">
        <v>522</v>
      </c>
      <c r="B2895" s="5" t="s">
        <v>577</v>
      </c>
      <c r="C2895" s="5">
        <v>2</v>
      </c>
      <c r="D2895">
        <f t="shared" si="45"/>
        <v>130</v>
      </c>
      <c r="G2895" s="1"/>
    </row>
    <row r="2896" spans="1:7" x14ac:dyDescent="0.25">
      <c r="A2896" s="3" t="s">
        <v>522</v>
      </c>
      <c r="B2896" s="6" t="s">
        <v>579</v>
      </c>
      <c r="C2896" s="6">
        <v>9.75</v>
      </c>
      <c r="D2896">
        <f t="shared" si="45"/>
        <v>130</v>
      </c>
      <c r="G2896" s="1"/>
    </row>
    <row r="2897" spans="1:7" x14ac:dyDescent="0.25">
      <c r="A2897" s="4" t="s">
        <v>522</v>
      </c>
      <c r="B2897" s="5" t="s">
        <v>580</v>
      </c>
      <c r="C2897" s="5">
        <v>797.05529999999999</v>
      </c>
      <c r="D2897">
        <f t="shared" si="45"/>
        <v>130</v>
      </c>
      <c r="G2897" s="1"/>
    </row>
    <row r="2898" spans="1:7" x14ac:dyDescent="0.25">
      <c r="A2898" s="3" t="s">
        <v>522</v>
      </c>
      <c r="B2898" s="6" t="s">
        <v>581</v>
      </c>
      <c r="C2898" s="6">
        <v>2.87E-2</v>
      </c>
      <c r="D2898">
        <f t="shared" si="45"/>
        <v>130</v>
      </c>
      <c r="G2898" s="1"/>
    </row>
    <row r="2899" spans="1:7" x14ac:dyDescent="0.25">
      <c r="A2899" s="4" t="s">
        <v>522</v>
      </c>
      <c r="B2899" s="5" t="s">
        <v>582</v>
      </c>
      <c r="C2899" s="5">
        <v>20</v>
      </c>
      <c r="D2899">
        <f t="shared" si="45"/>
        <v>130</v>
      </c>
      <c r="G2899" s="1"/>
    </row>
    <row r="2900" spans="1:7" x14ac:dyDescent="0.25">
      <c r="A2900" s="3" t="s">
        <v>522</v>
      </c>
      <c r="B2900" s="6" t="s">
        <v>583</v>
      </c>
      <c r="C2900" s="6">
        <v>17</v>
      </c>
      <c r="D2900">
        <f t="shared" si="45"/>
        <v>130</v>
      </c>
      <c r="G2900" s="1"/>
    </row>
    <row r="2901" spans="1:7" x14ac:dyDescent="0.25">
      <c r="A2901" s="4" t="s">
        <v>522</v>
      </c>
      <c r="B2901" s="5" t="s">
        <v>584</v>
      </c>
      <c r="C2901" s="5">
        <v>81.749300000000005</v>
      </c>
      <c r="D2901">
        <f t="shared" si="45"/>
        <v>130</v>
      </c>
      <c r="G2901" s="1"/>
    </row>
    <row r="2902" spans="1:7" x14ac:dyDescent="0.25">
      <c r="A2902" s="3" t="s">
        <v>522</v>
      </c>
      <c r="B2902" s="6" t="s">
        <v>585</v>
      </c>
      <c r="C2902" s="6">
        <v>18</v>
      </c>
      <c r="D2902">
        <f t="shared" si="45"/>
        <v>130</v>
      </c>
      <c r="G2902" s="1"/>
    </row>
    <row r="2903" spans="1:7" x14ac:dyDescent="0.25">
      <c r="A2903" s="4" t="s">
        <v>522</v>
      </c>
      <c r="B2903" s="5" t="s">
        <v>586</v>
      </c>
      <c r="C2903" s="5">
        <v>1</v>
      </c>
      <c r="D2903">
        <f t="shared" si="45"/>
        <v>130</v>
      </c>
      <c r="G2903" s="1"/>
    </row>
    <row r="2904" spans="1:7" x14ac:dyDescent="0.25">
      <c r="A2904" s="3" t="s">
        <v>522</v>
      </c>
      <c r="B2904" s="6" t="s">
        <v>587</v>
      </c>
      <c r="C2904" s="6">
        <v>1</v>
      </c>
      <c r="D2904">
        <f t="shared" si="45"/>
        <v>130</v>
      </c>
      <c r="G2904" s="1"/>
    </row>
    <row r="2905" spans="1:7" x14ac:dyDescent="0.25">
      <c r="A2905" s="4" t="s">
        <v>522</v>
      </c>
      <c r="B2905" s="5" t="s">
        <v>588</v>
      </c>
      <c r="C2905" s="5">
        <v>59.106499999999997</v>
      </c>
      <c r="D2905">
        <f t="shared" si="45"/>
        <v>130</v>
      </c>
      <c r="G2905" s="1"/>
    </row>
    <row r="2906" spans="1:7" x14ac:dyDescent="0.25">
      <c r="A2906" s="3" t="s">
        <v>522</v>
      </c>
      <c r="B2906" s="6" t="s">
        <v>589</v>
      </c>
      <c r="C2906" s="6">
        <v>0</v>
      </c>
      <c r="D2906">
        <f t="shared" si="45"/>
        <v>130</v>
      </c>
      <c r="G2906" s="1"/>
    </row>
    <row r="2907" spans="1:7" x14ac:dyDescent="0.25">
      <c r="A2907" s="4" t="s">
        <v>522</v>
      </c>
      <c r="B2907" s="5" t="s">
        <v>590</v>
      </c>
      <c r="C2907" s="5">
        <v>3</v>
      </c>
      <c r="D2907">
        <f t="shared" si="45"/>
        <v>130</v>
      </c>
      <c r="G2907" s="1"/>
    </row>
    <row r="2908" spans="1:7" x14ac:dyDescent="0.25">
      <c r="A2908" s="3" t="s">
        <v>522</v>
      </c>
      <c r="B2908" s="6" t="s">
        <v>591</v>
      </c>
      <c r="C2908" s="6">
        <v>1</v>
      </c>
      <c r="D2908">
        <f t="shared" si="45"/>
        <v>130</v>
      </c>
      <c r="G2908" s="1"/>
    </row>
    <row r="2909" spans="1:7" x14ac:dyDescent="0.25">
      <c r="A2909" s="4" t="s">
        <v>522</v>
      </c>
      <c r="B2909" s="5" t="s">
        <v>592</v>
      </c>
      <c r="C2909" s="5">
        <v>1</v>
      </c>
      <c r="D2909">
        <f t="shared" si="45"/>
        <v>130</v>
      </c>
      <c r="G2909" s="1"/>
    </row>
    <row r="2910" spans="1:7" x14ac:dyDescent="0.25">
      <c r="A2910" s="3" t="s">
        <v>435</v>
      </c>
      <c r="B2910" s="6" t="s">
        <v>579</v>
      </c>
      <c r="C2910" s="6">
        <v>1.1667000000000001</v>
      </c>
      <c r="D2910">
        <f t="shared" si="45"/>
        <v>130</v>
      </c>
      <c r="G2910" s="1"/>
    </row>
    <row r="2911" spans="1:7" x14ac:dyDescent="0.25">
      <c r="A2911" s="4" t="s">
        <v>435</v>
      </c>
      <c r="B2911" s="5" t="s">
        <v>580</v>
      </c>
      <c r="C2911" s="5">
        <v>31.5</v>
      </c>
      <c r="D2911">
        <f t="shared" si="45"/>
        <v>130</v>
      </c>
      <c r="G2911" s="1"/>
    </row>
    <row r="2912" spans="1:7" x14ac:dyDescent="0.25">
      <c r="A2912" s="3" t="s">
        <v>435</v>
      </c>
      <c r="B2912" s="6" t="s">
        <v>581</v>
      </c>
      <c r="C2912" s="6">
        <v>3.3E-3</v>
      </c>
      <c r="D2912">
        <f t="shared" si="45"/>
        <v>130</v>
      </c>
      <c r="G2912" s="1"/>
    </row>
    <row r="2913" spans="1:7" x14ac:dyDescent="0.25">
      <c r="A2913" s="4" t="s">
        <v>435</v>
      </c>
      <c r="B2913" s="5" t="s">
        <v>582</v>
      </c>
      <c r="C2913" s="5">
        <v>9</v>
      </c>
      <c r="D2913">
        <f t="shared" si="45"/>
        <v>130</v>
      </c>
      <c r="G2913" s="1"/>
    </row>
    <row r="2914" spans="1:7" x14ac:dyDescent="0.25">
      <c r="A2914" s="3" t="s">
        <v>435</v>
      </c>
      <c r="B2914" s="6" t="s">
        <v>583</v>
      </c>
      <c r="C2914" s="6">
        <v>8</v>
      </c>
      <c r="D2914">
        <f t="shared" si="45"/>
        <v>130</v>
      </c>
      <c r="G2914" s="1"/>
    </row>
    <row r="2915" spans="1:7" x14ac:dyDescent="0.25">
      <c r="A2915" s="4" t="s">
        <v>435</v>
      </c>
      <c r="B2915" s="5" t="s">
        <v>584</v>
      </c>
      <c r="C2915" s="5">
        <v>27</v>
      </c>
      <c r="D2915">
        <f t="shared" si="45"/>
        <v>130</v>
      </c>
      <c r="G2915" s="1"/>
    </row>
    <row r="2916" spans="1:7" x14ac:dyDescent="0.25">
      <c r="A2916" s="3" t="s">
        <v>435</v>
      </c>
      <c r="B2916" s="6" t="s">
        <v>588</v>
      </c>
      <c r="C2916" s="6">
        <v>68.278400000000005</v>
      </c>
      <c r="D2916">
        <f t="shared" si="45"/>
        <v>130</v>
      </c>
      <c r="G2916" s="1"/>
    </row>
    <row r="2917" spans="1:7" x14ac:dyDescent="0.25">
      <c r="A2917" s="4" t="s">
        <v>523</v>
      </c>
      <c r="B2917" s="5" t="s">
        <v>574</v>
      </c>
      <c r="C2917" s="5">
        <v>2</v>
      </c>
      <c r="D2917">
        <f t="shared" si="45"/>
        <v>131</v>
      </c>
      <c r="G2917" s="1"/>
    </row>
    <row r="2918" spans="1:7" x14ac:dyDescent="0.25">
      <c r="A2918" s="3" t="s">
        <v>523</v>
      </c>
      <c r="B2918" s="6" t="s">
        <v>575</v>
      </c>
      <c r="C2918" s="6">
        <v>1</v>
      </c>
      <c r="D2918">
        <f t="shared" si="45"/>
        <v>131</v>
      </c>
      <c r="G2918" s="1"/>
    </row>
    <row r="2919" spans="1:7" x14ac:dyDescent="0.25">
      <c r="A2919" s="4" t="s">
        <v>523</v>
      </c>
      <c r="B2919" s="5" t="s">
        <v>576</v>
      </c>
      <c r="C2919" s="5">
        <v>0.5</v>
      </c>
      <c r="D2919">
        <f t="shared" si="45"/>
        <v>131</v>
      </c>
      <c r="G2919" s="1"/>
    </row>
    <row r="2920" spans="1:7" x14ac:dyDescent="0.25">
      <c r="A2920" s="3" t="s">
        <v>523</v>
      </c>
      <c r="B2920" s="6" t="s">
        <v>577</v>
      </c>
      <c r="C2920" s="6">
        <v>2</v>
      </c>
      <c r="D2920">
        <f t="shared" si="45"/>
        <v>131</v>
      </c>
      <c r="G2920" s="1"/>
    </row>
    <row r="2921" spans="1:7" x14ac:dyDescent="0.25">
      <c r="A2921" s="4" t="s">
        <v>523</v>
      </c>
      <c r="B2921" s="5" t="s">
        <v>579</v>
      </c>
      <c r="C2921" s="5">
        <v>11.25</v>
      </c>
      <c r="D2921">
        <f t="shared" si="45"/>
        <v>131</v>
      </c>
      <c r="G2921" s="1"/>
    </row>
    <row r="2922" spans="1:7" x14ac:dyDescent="0.25">
      <c r="A2922" s="3" t="s">
        <v>523</v>
      </c>
      <c r="B2922" s="6" t="s">
        <v>580</v>
      </c>
      <c r="C2922" s="6">
        <v>1235.3393000000001</v>
      </c>
      <c r="D2922">
        <f t="shared" si="45"/>
        <v>131</v>
      </c>
      <c r="G2922" s="1"/>
    </row>
    <row r="2923" spans="1:7" x14ac:dyDescent="0.25">
      <c r="A2923" s="4" t="s">
        <v>523</v>
      </c>
      <c r="B2923" s="5" t="s">
        <v>581</v>
      </c>
      <c r="C2923" s="5">
        <v>3.8399999999999997E-2</v>
      </c>
      <c r="D2923">
        <f t="shared" si="45"/>
        <v>131</v>
      </c>
      <c r="G2923" s="1"/>
    </row>
    <row r="2924" spans="1:7" x14ac:dyDescent="0.25">
      <c r="A2924" s="3" t="s">
        <v>523</v>
      </c>
      <c r="B2924" s="6" t="s">
        <v>582</v>
      </c>
      <c r="C2924" s="6">
        <v>25</v>
      </c>
      <c r="D2924">
        <f t="shared" si="45"/>
        <v>131</v>
      </c>
      <c r="G2924" s="1"/>
    </row>
    <row r="2925" spans="1:7" x14ac:dyDescent="0.25">
      <c r="A2925" s="4" t="s">
        <v>523</v>
      </c>
      <c r="B2925" s="5" t="s">
        <v>583</v>
      </c>
      <c r="C2925" s="5">
        <v>21</v>
      </c>
      <c r="D2925">
        <f t="shared" si="45"/>
        <v>131</v>
      </c>
      <c r="G2925" s="1"/>
    </row>
    <row r="2926" spans="1:7" x14ac:dyDescent="0.25">
      <c r="A2926" s="3" t="s">
        <v>523</v>
      </c>
      <c r="B2926" s="6" t="s">
        <v>584</v>
      </c>
      <c r="C2926" s="6">
        <v>109.8079</v>
      </c>
      <c r="D2926">
        <f t="shared" si="45"/>
        <v>131</v>
      </c>
      <c r="G2926" s="1"/>
    </row>
    <row r="2927" spans="1:7" x14ac:dyDescent="0.25">
      <c r="A2927" s="4" t="s">
        <v>523</v>
      </c>
      <c r="B2927" s="5" t="s">
        <v>585</v>
      </c>
      <c r="C2927" s="5">
        <v>20</v>
      </c>
      <c r="D2927">
        <f t="shared" si="45"/>
        <v>131</v>
      </c>
      <c r="G2927" s="1"/>
    </row>
    <row r="2928" spans="1:7" x14ac:dyDescent="0.25">
      <c r="A2928" s="3" t="s">
        <v>523</v>
      </c>
      <c r="B2928" s="6" t="s">
        <v>586</v>
      </c>
      <c r="C2928" s="6">
        <v>1</v>
      </c>
      <c r="D2928">
        <f t="shared" si="45"/>
        <v>131</v>
      </c>
      <c r="G2928" s="1"/>
    </row>
    <row r="2929" spans="1:7" x14ac:dyDescent="0.25">
      <c r="A2929" s="4" t="s">
        <v>523</v>
      </c>
      <c r="B2929" s="5" t="s">
        <v>587</v>
      </c>
      <c r="C2929" s="5">
        <v>1</v>
      </c>
      <c r="D2929">
        <f t="shared" si="45"/>
        <v>131</v>
      </c>
      <c r="G2929" s="1"/>
    </row>
    <row r="2930" spans="1:7" x14ac:dyDescent="0.25">
      <c r="A2930" s="3" t="s">
        <v>523</v>
      </c>
      <c r="B2930" s="6" t="s">
        <v>588</v>
      </c>
      <c r="C2930" s="6">
        <v>57.205500000000001</v>
      </c>
      <c r="D2930">
        <f t="shared" si="45"/>
        <v>131</v>
      </c>
      <c r="G2930" s="1"/>
    </row>
    <row r="2931" spans="1:7" x14ac:dyDescent="0.25">
      <c r="A2931" s="4" t="s">
        <v>523</v>
      </c>
      <c r="B2931" s="5" t="s">
        <v>589</v>
      </c>
      <c r="C2931" s="5">
        <v>0</v>
      </c>
      <c r="D2931">
        <f t="shared" si="45"/>
        <v>131</v>
      </c>
      <c r="G2931" s="1"/>
    </row>
    <row r="2932" spans="1:7" x14ac:dyDescent="0.25">
      <c r="A2932" s="3" t="s">
        <v>523</v>
      </c>
      <c r="B2932" s="6" t="s">
        <v>590</v>
      </c>
      <c r="C2932" s="6">
        <v>3</v>
      </c>
      <c r="D2932">
        <f t="shared" si="45"/>
        <v>131</v>
      </c>
      <c r="G2932" s="1"/>
    </row>
    <row r="2933" spans="1:7" x14ac:dyDescent="0.25">
      <c r="A2933" s="4" t="s">
        <v>523</v>
      </c>
      <c r="B2933" s="5" t="s">
        <v>591</v>
      </c>
      <c r="C2933" s="5">
        <v>2</v>
      </c>
      <c r="D2933">
        <f t="shared" si="45"/>
        <v>131</v>
      </c>
      <c r="G2933" s="1"/>
    </row>
    <row r="2934" spans="1:7" x14ac:dyDescent="0.25">
      <c r="A2934" s="3" t="s">
        <v>523</v>
      </c>
      <c r="B2934" s="6" t="s">
        <v>592</v>
      </c>
      <c r="C2934" s="6">
        <v>1</v>
      </c>
      <c r="D2934">
        <f t="shared" si="45"/>
        <v>131</v>
      </c>
      <c r="G2934" s="1"/>
    </row>
    <row r="2935" spans="1:7" x14ac:dyDescent="0.25">
      <c r="A2935" s="4" t="s">
        <v>524</v>
      </c>
      <c r="B2935" s="5" t="s">
        <v>574</v>
      </c>
      <c r="C2935" s="5">
        <v>3</v>
      </c>
      <c r="D2935">
        <f t="shared" si="45"/>
        <v>132</v>
      </c>
      <c r="G2935" s="1"/>
    </row>
    <row r="2936" spans="1:7" x14ac:dyDescent="0.25">
      <c r="A2936" s="3" t="s">
        <v>524</v>
      </c>
      <c r="B2936" s="6" t="s">
        <v>575</v>
      </c>
      <c r="C2936" s="6">
        <v>1</v>
      </c>
      <c r="D2936">
        <f t="shared" si="45"/>
        <v>132</v>
      </c>
      <c r="G2936" s="1"/>
    </row>
    <row r="2937" spans="1:7" x14ac:dyDescent="0.25">
      <c r="A2937" s="4" t="s">
        <v>524</v>
      </c>
      <c r="B2937" s="5" t="s">
        <v>576</v>
      </c>
      <c r="C2937" s="5">
        <v>0.6</v>
      </c>
      <c r="D2937">
        <f t="shared" si="45"/>
        <v>132</v>
      </c>
      <c r="G2937" s="1"/>
    </row>
    <row r="2938" spans="1:7" x14ac:dyDescent="0.25">
      <c r="A2938" s="3" t="s">
        <v>524</v>
      </c>
      <c r="B2938" s="6" t="s">
        <v>577</v>
      </c>
      <c r="C2938" s="6">
        <v>4</v>
      </c>
      <c r="D2938">
        <f t="shared" si="45"/>
        <v>132</v>
      </c>
      <c r="G2938" s="1"/>
    </row>
    <row r="2939" spans="1:7" x14ac:dyDescent="0.25">
      <c r="A2939" s="4" t="s">
        <v>524</v>
      </c>
      <c r="B2939" s="5" t="s">
        <v>579</v>
      </c>
      <c r="C2939" s="5">
        <v>8.4</v>
      </c>
      <c r="D2939">
        <f t="shared" si="45"/>
        <v>132</v>
      </c>
      <c r="G2939" s="1"/>
    </row>
    <row r="2940" spans="1:7" x14ac:dyDescent="0.25">
      <c r="A2940" s="3" t="s">
        <v>524</v>
      </c>
      <c r="B2940" s="6" t="s">
        <v>580</v>
      </c>
      <c r="C2940" s="6">
        <v>686.69380000000001</v>
      </c>
      <c r="D2940">
        <f t="shared" si="45"/>
        <v>132</v>
      </c>
      <c r="G2940" s="1"/>
    </row>
    <row r="2941" spans="1:7" x14ac:dyDescent="0.25">
      <c r="A2941" s="4" t="s">
        <v>524</v>
      </c>
      <c r="B2941" s="5" t="s">
        <v>581</v>
      </c>
      <c r="C2941" s="5">
        <v>2.5899999999999999E-2</v>
      </c>
      <c r="D2941">
        <f t="shared" si="45"/>
        <v>132</v>
      </c>
      <c r="G2941" s="1"/>
    </row>
    <row r="2942" spans="1:7" x14ac:dyDescent="0.25">
      <c r="A2942" s="3" t="s">
        <v>524</v>
      </c>
      <c r="B2942" s="6" t="s">
        <v>582</v>
      </c>
      <c r="C2942" s="6">
        <v>20</v>
      </c>
      <c r="D2942">
        <f t="shared" si="45"/>
        <v>132</v>
      </c>
      <c r="G2942" s="1"/>
    </row>
    <row r="2943" spans="1:7" x14ac:dyDescent="0.25">
      <c r="A2943" s="4" t="s">
        <v>524</v>
      </c>
      <c r="B2943" s="5" t="s">
        <v>583</v>
      </c>
      <c r="C2943" s="5">
        <v>17</v>
      </c>
      <c r="D2943">
        <f t="shared" si="45"/>
        <v>132</v>
      </c>
      <c r="G2943" s="1"/>
    </row>
    <row r="2944" spans="1:7" x14ac:dyDescent="0.25">
      <c r="A2944" s="3" t="s">
        <v>524</v>
      </c>
      <c r="B2944" s="6" t="s">
        <v>584</v>
      </c>
      <c r="C2944" s="6">
        <v>81.749300000000005</v>
      </c>
      <c r="D2944">
        <f t="shared" si="45"/>
        <v>132</v>
      </c>
      <c r="G2944" s="1"/>
    </row>
    <row r="2945" spans="1:7" x14ac:dyDescent="0.25">
      <c r="A2945" s="4" t="s">
        <v>524</v>
      </c>
      <c r="B2945" s="5" t="s">
        <v>585</v>
      </c>
      <c r="C2945" s="5">
        <v>21</v>
      </c>
      <c r="D2945">
        <f t="shared" si="45"/>
        <v>132</v>
      </c>
      <c r="G2945" s="1"/>
    </row>
    <row r="2946" spans="1:7" x14ac:dyDescent="0.25">
      <c r="A2946" s="3" t="s">
        <v>524</v>
      </c>
      <c r="B2946" s="6" t="s">
        <v>587</v>
      </c>
      <c r="C2946" s="6">
        <v>1</v>
      </c>
      <c r="D2946">
        <f t="shared" si="45"/>
        <v>132</v>
      </c>
      <c r="G2946" s="1"/>
    </row>
    <row r="2947" spans="1:7" x14ac:dyDescent="0.25">
      <c r="A2947" s="4" t="s">
        <v>524</v>
      </c>
      <c r="B2947" s="5" t="s">
        <v>588</v>
      </c>
      <c r="C2947" s="5">
        <v>57.6462</v>
      </c>
      <c r="D2947">
        <f t="shared" si="45"/>
        <v>132</v>
      </c>
      <c r="G2947" s="1"/>
    </row>
    <row r="2948" spans="1:7" x14ac:dyDescent="0.25">
      <c r="A2948" s="3" t="s">
        <v>524</v>
      </c>
      <c r="B2948" s="6" t="s">
        <v>589</v>
      </c>
      <c r="C2948" s="6">
        <v>0</v>
      </c>
      <c r="D2948">
        <f t="shared" ref="D2948:D3011" si="46">IF(B2948="CCM", D2947+1, D2947)</f>
        <v>132</v>
      </c>
      <c r="G2948" s="1"/>
    </row>
    <row r="2949" spans="1:7" x14ac:dyDescent="0.25">
      <c r="A2949" s="4" t="s">
        <v>524</v>
      </c>
      <c r="B2949" s="5" t="s">
        <v>590</v>
      </c>
      <c r="C2949" s="5">
        <v>3</v>
      </c>
      <c r="D2949">
        <f t="shared" si="46"/>
        <v>132</v>
      </c>
      <c r="G2949" s="1"/>
    </row>
    <row r="2950" spans="1:7" x14ac:dyDescent="0.25">
      <c r="A2950" s="3" t="s">
        <v>524</v>
      </c>
      <c r="B2950" s="6" t="s">
        <v>591</v>
      </c>
      <c r="C2950" s="6">
        <v>2</v>
      </c>
      <c r="D2950">
        <f t="shared" si="46"/>
        <v>132</v>
      </c>
      <c r="G2950" s="1"/>
    </row>
    <row r="2951" spans="1:7" x14ac:dyDescent="0.25">
      <c r="A2951" s="4" t="s">
        <v>524</v>
      </c>
      <c r="B2951" s="5" t="s">
        <v>592</v>
      </c>
      <c r="C2951" s="5">
        <v>1</v>
      </c>
      <c r="D2951">
        <f t="shared" si="46"/>
        <v>132</v>
      </c>
      <c r="G2951" s="1"/>
    </row>
    <row r="2952" spans="1:7" x14ac:dyDescent="0.25">
      <c r="A2952" s="3" t="s">
        <v>533</v>
      </c>
      <c r="B2952" s="6" t="s">
        <v>574</v>
      </c>
      <c r="C2952" s="6">
        <v>5</v>
      </c>
      <c r="D2952">
        <f t="shared" si="46"/>
        <v>133</v>
      </c>
      <c r="G2952" s="1"/>
    </row>
    <row r="2953" spans="1:7" x14ac:dyDescent="0.25">
      <c r="A2953" s="4" t="s">
        <v>533</v>
      </c>
      <c r="B2953" s="5" t="s">
        <v>575</v>
      </c>
      <c r="C2953" s="5">
        <v>2</v>
      </c>
      <c r="D2953">
        <f t="shared" si="46"/>
        <v>133</v>
      </c>
      <c r="G2953" s="1"/>
    </row>
    <row r="2954" spans="1:7" x14ac:dyDescent="0.25">
      <c r="A2954" s="3" t="s">
        <v>533</v>
      </c>
      <c r="B2954" s="6" t="s">
        <v>576</v>
      </c>
      <c r="C2954" s="6">
        <v>0.375</v>
      </c>
      <c r="D2954">
        <f t="shared" si="46"/>
        <v>133</v>
      </c>
      <c r="G2954" s="1"/>
    </row>
    <row r="2955" spans="1:7" x14ac:dyDescent="0.25">
      <c r="A2955" s="4" t="s">
        <v>533</v>
      </c>
      <c r="B2955" s="5" t="s">
        <v>577</v>
      </c>
      <c r="C2955" s="5">
        <v>7</v>
      </c>
      <c r="D2955">
        <f t="shared" si="46"/>
        <v>133</v>
      </c>
      <c r="G2955" s="1"/>
    </row>
    <row r="2956" spans="1:7" x14ac:dyDescent="0.25">
      <c r="A2956" s="3" t="s">
        <v>533</v>
      </c>
      <c r="B2956" s="6" t="s">
        <v>578</v>
      </c>
      <c r="C2956" s="6">
        <v>1</v>
      </c>
      <c r="D2956">
        <f t="shared" si="46"/>
        <v>133</v>
      </c>
      <c r="G2956" s="1"/>
    </row>
    <row r="2957" spans="1:7" x14ac:dyDescent="0.25">
      <c r="A2957" s="4" t="s">
        <v>533</v>
      </c>
      <c r="B2957" s="5" t="s">
        <v>579</v>
      </c>
      <c r="C2957" s="5">
        <v>20.125</v>
      </c>
      <c r="D2957">
        <f t="shared" si="46"/>
        <v>133</v>
      </c>
      <c r="G2957" s="1"/>
    </row>
    <row r="2958" spans="1:7" x14ac:dyDescent="0.25">
      <c r="A2958" s="3" t="s">
        <v>533</v>
      </c>
      <c r="B2958" s="6" t="s">
        <v>580</v>
      </c>
      <c r="C2958" s="6">
        <v>4771.3662999999997</v>
      </c>
      <c r="D2958">
        <f t="shared" si="46"/>
        <v>133</v>
      </c>
      <c r="G2958" s="1"/>
    </row>
    <row r="2959" spans="1:7" x14ac:dyDescent="0.25">
      <c r="A2959" s="4" t="s">
        <v>533</v>
      </c>
      <c r="B2959" s="5" t="s">
        <v>581</v>
      </c>
      <c r="C2959" s="5">
        <v>9.4500000000000001E-2</v>
      </c>
      <c r="D2959">
        <f t="shared" si="46"/>
        <v>133</v>
      </c>
      <c r="G2959" s="1"/>
    </row>
    <row r="2960" spans="1:7" x14ac:dyDescent="0.25">
      <c r="A2960" s="3" t="s">
        <v>533</v>
      </c>
      <c r="B2960" s="6" t="s">
        <v>582</v>
      </c>
      <c r="C2960" s="6">
        <v>47</v>
      </c>
      <c r="D2960">
        <f t="shared" si="46"/>
        <v>133</v>
      </c>
      <c r="G2960" s="1"/>
    </row>
    <row r="2961" spans="1:7" x14ac:dyDescent="0.25">
      <c r="A2961" s="4" t="s">
        <v>533</v>
      </c>
      <c r="B2961" s="5" t="s">
        <v>583</v>
      </c>
      <c r="C2961" s="5">
        <v>33</v>
      </c>
      <c r="D2961">
        <f t="shared" si="46"/>
        <v>133</v>
      </c>
      <c r="G2961" s="1"/>
    </row>
    <row r="2962" spans="1:7" x14ac:dyDescent="0.25">
      <c r="A2962" s="3" t="s">
        <v>533</v>
      </c>
      <c r="B2962" s="6" t="s">
        <v>584</v>
      </c>
      <c r="C2962" s="6">
        <v>237.0865</v>
      </c>
      <c r="D2962">
        <f t="shared" si="46"/>
        <v>133</v>
      </c>
      <c r="G2962" s="1"/>
    </row>
    <row r="2963" spans="1:7" x14ac:dyDescent="0.25">
      <c r="A2963" s="4" t="s">
        <v>533</v>
      </c>
      <c r="B2963" s="5" t="s">
        <v>585</v>
      </c>
      <c r="C2963" s="5">
        <v>25</v>
      </c>
      <c r="D2963">
        <f t="shared" si="46"/>
        <v>133</v>
      </c>
      <c r="G2963" s="1"/>
    </row>
    <row r="2964" spans="1:7" x14ac:dyDescent="0.25">
      <c r="A2964" s="3" t="s">
        <v>533</v>
      </c>
      <c r="B2964" s="6" t="s">
        <v>586</v>
      </c>
      <c r="C2964" s="6">
        <v>0.5</v>
      </c>
      <c r="D2964">
        <f t="shared" si="46"/>
        <v>133</v>
      </c>
      <c r="G2964" s="1"/>
    </row>
    <row r="2965" spans="1:7" x14ac:dyDescent="0.25">
      <c r="A2965" s="4" t="s">
        <v>533</v>
      </c>
      <c r="B2965" s="5" t="s">
        <v>587</v>
      </c>
      <c r="C2965" s="5">
        <v>1</v>
      </c>
      <c r="D2965">
        <f t="shared" si="46"/>
        <v>133</v>
      </c>
      <c r="G2965" s="1"/>
    </row>
    <row r="2966" spans="1:7" x14ac:dyDescent="0.25">
      <c r="A2966" s="3" t="s">
        <v>533</v>
      </c>
      <c r="B2966" s="6" t="s">
        <v>588</v>
      </c>
      <c r="C2966" s="6">
        <v>52.690899999999999</v>
      </c>
      <c r="D2966">
        <f t="shared" si="46"/>
        <v>133</v>
      </c>
      <c r="G2966" s="1"/>
    </row>
    <row r="2967" spans="1:7" x14ac:dyDescent="0.25">
      <c r="A2967" s="4" t="s">
        <v>533</v>
      </c>
      <c r="B2967" s="5" t="s">
        <v>589</v>
      </c>
      <c r="C2967" s="5">
        <v>2</v>
      </c>
      <c r="D2967">
        <f t="shared" si="46"/>
        <v>133</v>
      </c>
      <c r="G2967" s="1"/>
    </row>
    <row r="2968" spans="1:7" x14ac:dyDescent="0.25">
      <c r="A2968" s="3" t="s">
        <v>533</v>
      </c>
      <c r="B2968" s="6" t="s">
        <v>590</v>
      </c>
      <c r="C2968" s="6">
        <v>4</v>
      </c>
      <c r="D2968">
        <f t="shared" si="46"/>
        <v>133</v>
      </c>
      <c r="G2968" s="1"/>
    </row>
    <row r="2969" spans="1:7" x14ac:dyDescent="0.25">
      <c r="A2969" s="4" t="s">
        <v>533</v>
      </c>
      <c r="B2969" s="5" t="s">
        <v>591</v>
      </c>
      <c r="C2969" s="5">
        <v>7</v>
      </c>
      <c r="D2969">
        <f t="shared" si="46"/>
        <v>133</v>
      </c>
      <c r="G2969" s="1"/>
    </row>
    <row r="2970" spans="1:7" x14ac:dyDescent="0.25">
      <c r="A2970" s="3" t="s">
        <v>533</v>
      </c>
      <c r="B2970" s="6" t="s">
        <v>592</v>
      </c>
      <c r="C2970" s="6">
        <v>1</v>
      </c>
      <c r="D2970">
        <f t="shared" si="46"/>
        <v>133</v>
      </c>
      <c r="G2970" s="1"/>
    </row>
    <row r="2971" spans="1:7" x14ac:dyDescent="0.25">
      <c r="A2971" s="4" t="s">
        <v>533</v>
      </c>
      <c r="B2971" s="5" t="s">
        <v>593</v>
      </c>
      <c r="C2971" s="5">
        <v>1</v>
      </c>
      <c r="D2971">
        <f t="shared" si="46"/>
        <v>133</v>
      </c>
      <c r="G2971" s="1"/>
    </row>
    <row r="2972" spans="1:7" x14ac:dyDescent="0.25">
      <c r="A2972" s="3" t="s">
        <v>534</v>
      </c>
      <c r="B2972" s="6" t="s">
        <v>574</v>
      </c>
      <c r="C2972" s="6">
        <v>11</v>
      </c>
      <c r="D2972">
        <f t="shared" si="46"/>
        <v>134</v>
      </c>
      <c r="G2972" s="1"/>
    </row>
    <row r="2973" spans="1:7" x14ac:dyDescent="0.25">
      <c r="A2973" s="4" t="s">
        <v>534</v>
      </c>
      <c r="B2973" s="5" t="s">
        <v>575</v>
      </c>
      <c r="C2973" s="5">
        <v>2</v>
      </c>
      <c r="D2973">
        <f t="shared" si="46"/>
        <v>134</v>
      </c>
      <c r="G2973" s="1"/>
    </row>
    <row r="2974" spans="1:7" x14ac:dyDescent="0.25">
      <c r="A2974" s="3" t="s">
        <v>534</v>
      </c>
      <c r="B2974" s="6" t="s">
        <v>576</v>
      </c>
      <c r="C2974" s="6">
        <v>0.47060000000000002</v>
      </c>
      <c r="D2974">
        <f t="shared" si="46"/>
        <v>134</v>
      </c>
      <c r="G2974" s="1"/>
    </row>
    <row r="2975" spans="1:7" x14ac:dyDescent="0.25">
      <c r="A2975" s="4" t="s">
        <v>534</v>
      </c>
      <c r="B2975" s="5" t="s">
        <v>577</v>
      </c>
      <c r="C2975" s="5">
        <v>15</v>
      </c>
      <c r="D2975">
        <f t="shared" si="46"/>
        <v>134</v>
      </c>
      <c r="G2975" s="1"/>
    </row>
    <row r="2976" spans="1:7" x14ac:dyDescent="0.25">
      <c r="A2976" s="3" t="s">
        <v>534</v>
      </c>
      <c r="B2976" s="6" t="s">
        <v>578</v>
      </c>
      <c r="C2976" s="6">
        <v>1</v>
      </c>
      <c r="D2976">
        <f t="shared" si="46"/>
        <v>134</v>
      </c>
      <c r="G2976" s="1"/>
    </row>
    <row r="2977" spans="1:7" x14ac:dyDescent="0.25">
      <c r="A2977" s="4" t="s">
        <v>534</v>
      </c>
      <c r="B2977" s="5" t="s">
        <v>579</v>
      </c>
      <c r="C2977" s="5">
        <v>55.239100000000001</v>
      </c>
      <c r="D2977">
        <f t="shared" si="46"/>
        <v>134</v>
      </c>
      <c r="G2977" s="1"/>
    </row>
    <row r="2978" spans="1:7" x14ac:dyDescent="0.25">
      <c r="A2978" s="3" t="s">
        <v>534</v>
      </c>
      <c r="B2978" s="6" t="s">
        <v>580</v>
      </c>
      <c r="C2978" s="6">
        <v>49081.365100000003</v>
      </c>
      <c r="D2978">
        <f t="shared" si="46"/>
        <v>134</v>
      </c>
      <c r="G2978" s="1"/>
    </row>
    <row r="2979" spans="1:7" x14ac:dyDescent="0.25">
      <c r="A2979" s="4" t="s">
        <v>534</v>
      </c>
      <c r="B2979" s="5" t="s">
        <v>581</v>
      </c>
      <c r="C2979" s="5">
        <v>0.44679999999999997</v>
      </c>
      <c r="D2979">
        <f t="shared" si="46"/>
        <v>134</v>
      </c>
      <c r="G2979" s="1"/>
    </row>
    <row r="2980" spans="1:7" x14ac:dyDescent="0.25">
      <c r="A2980" s="3" t="s">
        <v>534</v>
      </c>
      <c r="B2980" s="6" t="s">
        <v>582</v>
      </c>
      <c r="C2980" s="6">
        <v>153</v>
      </c>
      <c r="D2980">
        <f t="shared" si="46"/>
        <v>134</v>
      </c>
      <c r="G2980" s="1"/>
    </row>
    <row r="2981" spans="1:7" x14ac:dyDescent="0.25">
      <c r="A2981" s="4" t="s">
        <v>534</v>
      </c>
      <c r="B2981" s="5" t="s">
        <v>583</v>
      </c>
      <c r="C2981" s="5">
        <v>56</v>
      </c>
      <c r="D2981">
        <f t="shared" si="46"/>
        <v>134</v>
      </c>
      <c r="G2981" s="1"/>
    </row>
    <row r="2982" spans="1:7" x14ac:dyDescent="0.25">
      <c r="A2982" s="3" t="s">
        <v>534</v>
      </c>
      <c r="B2982" s="6" t="s">
        <v>584</v>
      </c>
      <c r="C2982" s="6">
        <v>888.52530000000002</v>
      </c>
      <c r="D2982">
        <f t="shared" si="46"/>
        <v>134</v>
      </c>
      <c r="G2982" s="1"/>
    </row>
    <row r="2983" spans="1:7" x14ac:dyDescent="0.25">
      <c r="A2983" s="4" t="s">
        <v>534</v>
      </c>
      <c r="B2983" s="5" t="s">
        <v>585</v>
      </c>
      <c r="C2983" s="5">
        <v>74</v>
      </c>
      <c r="D2983">
        <f t="shared" si="46"/>
        <v>134</v>
      </c>
      <c r="G2983" s="1"/>
    </row>
    <row r="2984" spans="1:7" x14ac:dyDescent="0.25">
      <c r="A2984" s="3" t="s">
        <v>534</v>
      </c>
      <c r="B2984" s="6" t="s">
        <v>586</v>
      </c>
      <c r="C2984" s="6">
        <v>0.83330000000000004</v>
      </c>
      <c r="D2984">
        <f t="shared" si="46"/>
        <v>134</v>
      </c>
      <c r="G2984" s="1"/>
    </row>
    <row r="2985" spans="1:7" x14ac:dyDescent="0.25">
      <c r="A2985" s="4" t="s">
        <v>534</v>
      </c>
      <c r="B2985" s="5" t="s">
        <v>587</v>
      </c>
      <c r="C2985" s="5">
        <v>2</v>
      </c>
      <c r="D2985">
        <f t="shared" si="46"/>
        <v>134</v>
      </c>
      <c r="G2985" s="1"/>
    </row>
    <row r="2986" spans="1:7" x14ac:dyDescent="0.25">
      <c r="A2986" s="3" t="s">
        <v>534</v>
      </c>
      <c r="B2986" s="6" t="s">
        <v>588</v>
      </c>
      <c r="C2986" s="6">
        <v>38.176900000000003</v>
      </c>
      <c r="D2986">
        <f t="shared" si="46"/>
        <v>134</v>
      </c>
      <c r="G2986" s="1"/>
    </row>
    <row r="2987" spans="1:7" x14ac:dyDescent="0.25">
      <c r="A2987" s="4" t="s">
        <v>534</v>
      </c>
      <c r="B2987" s="5" t="s">
        <v>589</v>
      </c>
      <c r="C2987" s="5">
        <v>5</v>
      </c>
      <c r="D2987">
        <f t="shared" si="46"/>
        <v>134</v>
      </c>
      <c r="G2987" s="1"/>
    </row>
    <row r="2988" spans="1:7" x14ac:dyDescent="0.25">
      <c r="A2988" s="3" t="s">
        <v>534</v>
      </c>
      <c r="B2988" s="6" t="s">
        <v>590</v>
      </c>
      <c r="C2988" s="6">
        <v>20</v>
      </c>
      <c r="D2988">
        <f t="shared" si="46"/>
        <v>134</v>
      </c>
      <c r="G2988" s="1"/>
    </row>
    <row r="2989" spans="1:7" x14ac:dyDescent="0.25">
      <c r="A2989" s="4" t="s">
        <v>534</v>
      </c>
      <c r="B2989" s="5" t="s">
        <v>591</v>
      </c>
      <c r="C2989" s="5">
        <v>16</v>
      </c>
      <c r="D2989">
        <f t="shared" si="46"/>
        <v>134</v>
      </c>
      <c r="G2989" s="1"/>
    </row>
    <row r="2990" spans="1:7" x14ac:dyDescent="0.25">
      <c r="A2990" s="3" t="s">
        <v>534</v>
      </c>
      <c r="B2990" s="6" t="s">
        <v>592</v>
      </c>
      <c r="C2990" s="6">
        <v>2</v>
      </c>
      <c r="D2990">
        <f t="shared" si="46"/>
        <v>134</v>
      </c>
      <c r="G2990" s="1"/>
    </row>
    <row r="2991" spans="1:7" x14ac:dyDescent="0.25">
      <c r="A2991" s="4" t="s">
        <v>534</v>
      </c>
      <c r="B2991" s="5" t="s">
        <v>593</v>
      </c>
      <c r="C2991" s="5">
        <v>0</v>
      </c>
      <c r="D2991">
        <f t="shared" si="46"/>
        <v>134</v>
      </c>
      <c r="G2991" s="1"/>
    </row>
    <row r="2992" spans="1:7" x14ac:dyDescent="0.25">
      <c r="A2992" s="3" t="s">
        <v>535</v>
      </c>
      <c r="B2992" s="6" t="s">
        <v>574</v>
      </c>
      <c r="C2992" s="6">
        <v>0</v>
      </c>
      <c r="D2992">
        <f t="shared" si="46"/>
        <v>135</v>
      </c>
      <c r="G2992" s="1"/>
    </row>
    <row r="2993" spans="1:7" x14ac:dyDescent="0.25">
      <c r="A2993" s="4" t="s">
        <v>535</v>
      </c>
      <c r="B2993" s="5" t="s">
        <v>575</v>
      </c>
      <c r="C2993" s="5">
        <v>0</v>
      </c>
      <c r="D2993">
        <f t="shared" si="46"/>
        <v>135</v>
      </c>
      <c r="G2993" s="1"/>
    </row>
    <row r="2994" spans="1:7" x14ac:dyDescent="0.25">
      <c r="A2994" s="3" t="s">
        <v>535</v>
      </c>
      <c r="B2994" s="6" t="s">
        <v>576</v>
      </c>
      <c r="C2994" s="6">
        <v>1</v>
      </c>
      <c r="D2994">
        <f t="shared" si="46"/>
        <v>135</v>
      </c>
      <c r="G2994" s="1"/>
    </row>
    <row r="2995" spans="1:7" x14ac:dyDescent="0.25">
      <c r="A2995" s="4" t="s">
        <v>535</v>
      </c>
      <c r="B2995" s="5" t="s">
        <v>577</v>
      </c>
      <c r="C2995" s="5">
        <v>1</v>
      </c>
      <c r="D2995">
        <f t="shared" si="46"/>
        <v>135</v>
      </c>
      <c r="G2995" s="1"/>
    </row>
    <row r="2996" spans="1:7" x14ac:dyDescent="0.25">
      <c r="A2996" s="3" t="s">
        <v>535</v>
      </c>
      <c r="B2996" s="6" t="s">
        <v>578</v>
      </c>
      <c r="C2996" s="6">
        <v>1</v>
      </c>
      <c r="D2996">
        <f t="shared" si="46"/>
        <v>135</v>
      </c>
      <c r="G2996" s="1"/>
    </row>
    <row r="2997" spans="1:7" x14ac:dyDescent="0.25">
      <c r="A2997" s="4" t="s">
        <v>535</v>
      </c>
      <c r="B2997" s="5" t="s">
        <v>579</v>
      </c>
      <c r="C2997" s="5">
        <v>3.6190000000000002</v>
      </c>
      <c r="D2997">
        <f t="shared" si="46"/>
        <v>135</v>
      </c>
      <c r="G2997" s="1"/>
    </row>
    <row r="2998" spans="1:7" x14ac:dyDescent="0.25">
      <c r="A2998" s="3" t="s">
        <v>535</v>
      </c>
      <c r="B2998" s="6" t="s">
        <v>580</v>
      </c>
      <c r="C2998" s="6">
        <v>873.92949999999996</v>
      </c>
      <c r="D2998">
        <f t="shared" si="46"/>
        <v>135</v>
      </c>
      <c r="G2998" s="1"/>
    </row>
    <row r="2999" spans="1:7" x14ac:dyDescent="0.25">
      <c r="A2999" s="4" t="s">
        <v>535</v>
      </c>
      <c r="B2999" s="5" t="s">
        <v>581</v>
      </c>
      <c r="C2999" s="5">
        <v>3.0499999999999999E-2</v>
      </c>
      <c r="D2999">
        <f t="shared" si="46"/>
        <v>135</v>
      </c>
      <c r="G2999" s="1"/>
    </row>
    <row r="3000" spans="1:7" x14ac:dyDescent="0.25">
      <c r="A3000" s="3" t="s">
        <v>535</v>
      </c>
      <c r="B3000" s="6" t="s">
        <v>582</v>
      </c>
      <c r="C3000" s="6">
        <v>52</v>
      </c>
      <c r="D3000">
        <f t="shared" si="46"/>
        <v>135</v>
      </c>
      <c r="G3000" s="1"/>
    </row>
    <row r="3001" spans="1:7" x14ac:dyDescent="0.25">
      <c r="A3001" s="4" t="s">
        <v>535</v>
      </c>
      <c r="B3001" s="5" t="s">
        <v>583</v>
      </c>
      <c r="C3001" s="5">
        <v>25</v>
      </c>
      <c r="D3001">
        <f t="shared" si="46"/>
        <v>135</v>
      </c>
      <c r="G3001" s="1"/>
    </row>
    <row r="3002" spans="1:7" x14ac:dyDescent="0.25">
      <c r="A3002" s="3" t="s">
        <v>535</v>
      </c>
      <c r="B3002" s="6" t="s">
        <v>584</v>
      </c>
      <c r="C3002" s="6">
        <v>241.48050000000001</v>
      </c>
      <c r="D3002">
        <f t="shared" si="46"/>
        <v>135</v>
      </c>
      <c r="G3002" s="1"/>
    </row>
    <row r="3003" spans="1:7" x14ac:dyDescent="0.25">
      <c r="A3003" s="4" t="s">
        <v>535</v>
      </c>
      <c r="B3003" s="5" t="s">
        <v>585</v>
      </c>
      <c r="C3003" s="5">
        <v>16</v>
      </c>
      <c r="D3003">
        <f t="shared" si="46"/>
        <v>135</v>
      </c>
      <c r="G3003" s="1"/>
    </row>
    <row r="3004" spans="1:7" x14ac:dyDescent="0.25">
      <c r="A3004" s="3" t="s">
        <v>535</v>
      </c>
      <c r="B3004" s="6" t="s">
        <v>586</v>
      </c>
      <c r="C3004" s="6">
        <v>0.88890000000000002</v>
      </c>
      <c r="D3004">
        <f t="shared" si="46"/>
        <v>135</v>
      </c>
      <c r="G3004" s="1"/>
    </row>
    <row r="3005" spans="1:7" x14ac:dyDescent="0.25">
      <c r="A3005" s="4" t="s">
        <v>535</v>
      </c>
      <c r="B3005" s="5" t="s">
        <v>587</v>
      </c>
      <c r="C3005" s="5">
        <v>0</v>
      </c>
      <c r="D3005">
        <f t="shared" si="46"/>
        <v>135</v>
      </c>
      <c r="G3005" s="1"/>
    </row>
    <row r="3006" spans="1:7" x14ac:dyDescent="0.25">
      <c r="A3006" s="3" t="s">
        <v>535</v>
      </c>
      <c r="B3006" s="6" t="s">
        <v>588</v>
      </c>
      <c r="C3006" s="6">
        <v>57.054499999999997</v>
      </c>
      <c r="D3006">
        <f t="shared" si="46"/>
        <v>135</v>
      </c>
      <c r="G3006" s="1"/>
    </row>
    <row r="3007" spans="1:7" x14ac:dyDescent="0.25">
      <c r="A3007" s="4" t="s">
        <v>535</v>
      </c>
      <c r="B3007" s="5" t="s">
        <v>589</v>
      </c>
      <c r="C3007" s="5">
        <v>0</v>
      </c>
      <c r="D3007">
        <f t="shared" si="46"/>
        <v>135</v>
      </c>
      <c r="G3007" s="1"/>
    </row>
    <row r="3008" spans="1:7" x14ac:dyDescent="0.25">
      <c r="A3008" s="3" t="s">
        <v>535</v>
      </c>
      <c r="B3008" s="6" t="s">
        <v>590</v>
      </c>
      <c r="C3008" s="6">
        <v>1</v>
      </c>
      <c r="D3008">
        <f t="shared" si="46"/>
        <v>135</v>
      </c>
      <c r="G3008" s="1"/>
    </row>
    <row r="3009" spans="1:7" x14ac:dyDescent="0.25">
      <c r="A3009" s="4" t="s">
        <v>535</v>
      </c>
      <c r="B3009" s="5" t="s">
        <v>591</v>
      </c>
      <c r="C3009" s="5">
        <v>9</v>
      </c>
      <c r="D3009">
        <f t="shared" si="46"/>
        <v>135</v>
      </c>
      <c r="G3009" s="1"/>
    </row>
    <row r="3010" spans="1:7" x14ac:dyDescent="0.25">
      <c r="A3010" s="3" t="s">
        <v>535</v>
      </c>
      <c r="B3010" s="6" t="s">
        <v>592</v>
      </c>
      <c r="C3010" s="6">
        <v>0</v>
      </c>
      <c r="D3010">
        <f t="shared" si="46"/>
        <v>135</v>
      </c>
      <c r="G3010" s="1"/>
    </row>
    <row r="3011" spans="1:7" x14ac:dyDescent="0.25">
      <c r="A3011" s="4" t="s">
        <v>535</v>
      </c>
      <c r="B3011" s="5" t="s">
        <v>593</v>
      </c>
      <c r="C3011" s="5">
        <v>0</v>
      </c>
      <c r="D3011">
        <f t="shared" si="46"/>
        <v>135</v>
      </c>
      <c r="G3011" s="1"/>
    </row>
    <row r="3012" spans="1:7" x14ac:dyDescent="0.25">
      <c r="A3012" s="3" t="s">
        <v>536</v>
      </c>
      <c r="B3012" s="6" t="s">
        <v>574</v>
      </c>
      <c r="C3012" s="6">
        <v>7</v>
      </c>
      <c r="D3012">
        <f t="shared" ref="D3012:D3075" si="47">IF(B3012="CCM", D3011+1, D3011)</f>
        <v>136</v>
      </c>
      <c r="G3012" s="1"/>
    </row>
    <row r="3013" spans="1:7" x14ac:dyDescent="0.25">
      <c r="A3013" s="4" t="s">
        <v>536</v>
      </c>
      <c r="B3013" s="5" t="s">
        <v>575</v>
      </c>
      <c r="C3013" s="5">
        <v>1</v>
      </c>
      <c r="D3013">
        <f t="shared" si="47"/>
        <v>136</v>
      </c>
      <c r="G3013" s="1"/>
    </row>
    <row r="3014" spans="1:7" x14ac:dyDescent="0.25">
      <c r="A3014" s="3" t="s">
        <v>536</v>
      </c>
      <c r="B3014" s="6" t="s">
        <v>576</v>
      </c>
      <c r="C3014" s="6">
        <v>0.375</v>
      </c>
      <c r="D3014">
        <f t="shared" si="47"/>
        <v>136</v>
      </c>
      <c r="G3014" s="1"/>
    </row>
    <row r="3015" spans="1:7" x14ac:dyDescent="0.25">
      <c r="A3015" s="4" t="s">
        <v>536</v>
      </c>
      <c r="B3015" s="5" t="s">
        <v>577</v>
      </c>
      <c r="C3015" s="5">
        <v>8</v>
      </c>
      <c r="D3015">
        <f t="shared" si="47"/>
        <v>136</v>
      </c>
      <c r="G3015" s="1"/>
    </row>
    <row r="3016" spans="1:7" x14ac:dyDescent="0.25">
      <c r="A3016" s="3" t="s">
        <v>536</v>
      </c>
      <c r="B3016" s="6" t="s">
        <v>578</v>
      </c>
      <c r="C3016" s="6">
        <v>0</v>
      </c>
      <c r="D3016">
        <f t="shared" si="47"/>
        <v>136</v>
      </c>
      <c r="G3016" s="1"/>
    </row>
    <row r="3017" spans="1:7" x14ac:dyDescent="0.25">
      <c r="A3017" s="4" t="s">
        <v>536</v>
      </c>
      <c r="B3017" s="5" t="s">
        <v>579</v>
      </c>
      <c r="C3017" s="5">
        <v>24.285699999999999</v>
      </c>
      <c r="D3017">
        <f t="shared" si="47"/>
        <v>136</v>
      </c>
      <c r="G3017" s="1"/>
    </row>
    <row r="3018" spans="1:7" x14ac:dyDescent="0.25">
      <c r="A3018" s="3" t="s">
        <v>536</v>
      </c>
      <c r="B3018" s="6" t="s">
        <v>580</v>
      </c>
      <c r="C3018" s="6">
        <v>8772.2394999999997</v>
      </c>
      <c r="D3018">
        <f t="shared" si="47"/>
        <v>136</v>
      </c>
      <c r="G3018" s="1"/>
    </row>
    <row r="3019" spans="1:7" x14ac:dyDescent="0.25">
      <c r="A3019" s="4" t="s">
        <v>536</v>
      </c>
      <c r="B3019" s="5" t="s">
        <v>581</v>
      </c>
      <c r="C3019" s="5">
        <v>0.14180000000000001</v>
      </c>
      <c r="D3019">
        <f t="shared" si="47"/>
        <v>136</v>
      </c>
      <c r="G3019" s="1"/>
    </row>
    <row r="3020" spans="1:7" x14ac:dyDescent="0.25">
      <c r="A3020" s="3" t="s">
        <v>536</v>
      </c>
      <c r="B3020" s="6" t="s">
        <v>582</v>
      </c>
      <c r="C3020" s="6">
        <v>71</v>
      </c>
      <c r="D3020">
        <f t="shared" si="47"/>
        <v>136</v>
      </c>
      <c r="G3020" s="1"/>
    </row>
    <row r="3021" spans="1:7" x14ac:dyDescent="0.25">
      <c r="A3021" s="4" t="s">
        <v>536</v>
      </c>
      <c r="B3021" s="5" t="s">
        <v>583</v>
      </c>
      <c r="C3021" s="5">
        <v>34</v>
      </c>
      <c r="D3021">
        <f t="shared" si="47"/>
        <v>136</v>
      </c>
      <c r="G3021" s="1"/>
    </row>
    <row r="3022" spans="1:7" x14ac:dyDescent="0.25">
      <c r="A3022" s="3" t="s">
        <v>536</v>
      </c>
      <c r="B3022" s="6" t="s">
        <v>584</v>
      </c>
      <c r="C3022" s="6">
        <v>361.2099</v>
      </c>
      <c r="D3022">
        <f t="shared" si="47"/>
        <v>136</v>
      </c>
      <c r="G3022" s="1"/>
    </row>
    <row r="3023" spans="1:7" x14ac:dyDescent="0.25">
      <c r="A3023" s="4" t="s">
        <v>536</v>
      </c>
      <c r="B3023" s="5" t="s">
        <v>585</v>
      </c>
      <c r="C3023" s="5">
        <v>32</v>
      </c>
      <c r="D3023">
        <f t="shared" si="47"/>
        <v>136</v>
      </c>
      <c r="G3023" s="1"/>
    </row>
    <row r="3024" spans="1:7" x14ac:dyDescent="0.25">
      <c r="A3024" s="3" t="s">
        <v>536</v>
      </c>
      <c r="B3024" s="6" t="s">
        <v>586</v>
      </c>
      <c r="C3024" s="6">
        <v>0</v>
      </c>
      <c r="D3024">
        <f t="shared" si="47"/>
        <v>136</v>
      </c>
      <c r="G3024" s="1"/>
    </row>
    <row r="3025" spans="1:7" x14ac:dyDescent="0.25">
      <c r="A3025" s="4" t="s">
        <v>536</v>
      </c>
      <c r="B3025" s="5" t="s">
        <v>587</v>
      </c>
      <c r="C3025" s="5">
        <v>0</v>
      </c>
      <c r="D3025">
        <f t="shared" si="47"/>
        <v>136</v>
      </c>
      <c r="G3025" s="1"/>
    </row>
    <row r="3026" spans="1:7" x14ac:dyDescent="0.25">
      <c r="A3026" s="3" t="s">
        <v>536</v>
      </c>
      <c r="B3026" s="6" t="s">
        <v>588</v>
      </c>
      <c r="C3026" s="6">
        <v>48.979300000000002</v>
      </c>
      <c r="D3026">
        <f t="shared" si="47"/>
        <v>136</v>
      </c>
      <c r="G3026" s="1"/>
    </row>
    <row r="3027" spans="1:7" x14ac:dyDescent="0.25">
      <c r="A3027" s="4" t="s">
        <v>536</v>
      </c>
      <c r="B3027" s="5" t="s">
        <v>589</v>
      </c>
      <c r="C3027" s="5">
        <v>1</v>
      </c>
      <c r="D3027">
        <f t="shared" si="47"/>
        <v>136</v>
      </c>
      <c r="G3027" s="1"/>
    </row>
    <row r="3028" spans="1:7" x14ac:dyDescent="0.25">
      <c r="A3028" s="3" t="s">
        <v>536</v>
      </c>
      <c r="B3028" s="6" t="s">
        <v>590</v>
      </c>
      <c r="C3028" s="6">
        <v>8</v>
      </c>
      <c r="D3028">
        <f t="shared" si="47"/>
        <v>136</v>
      </c>
      <c r="G3028" s="1"/>
    </row>
    <row r="3029" spans="1:7" x14ac:dyDescent="0.25">
      <c r="A3029" s="4" t="s">
        <v>536</v>
      </c>
      <c r="B3029" s="5" t="s">
        <v>591</v>
      </c>
      <c r="C3029" s="5">
        <v>8</v>
      </c>
      <c r="D3029">
        <f t="shared" si="47"/>
        <v>136</v>
      </c>
      <c r="G3029" s="1"/>
    </row>
    <row r="3030" spans="1:7" x14ac:dyDescent="0.25">
      <c r="A3030" s="3" t="s">
        <v>536</v>
      </c>
      <c r="B3030" s="6" t="s">
        <v>592</v>
      </c>
      <c r="C3030" s="6">
        <v>0</v>
      </c>
      <c r="D3030">
        <f t="shared" si="47"/>
        <v>136</v>
      </c>
      <c r="G3030" s="1"/>
    </row>
    <row r="3031" spans="1:7" x14ac:dyDescent="0.25">
      <c r="A3031" s="4" t="s">
        <v>536</v>
      </c>
      <c r="B3031" s="5" t="s">
        <v>593</v>
      </c>
      <c r="C3031" s="5">
        <v>1</v>
      </c>
      <c r="D3031">
        <f t="shared" si="47"/>
        <v>136</v>
      </c>
      <c r="G3031" s="1"/>
    </row>
    <row r="3032" spans="1:7" x14ac:dyDescent="0.25">
      <c r="A3032" s="3" t="s">
        <v>537</v>
      </c>
      <c r="B3032" s="6" t="s">
        <v>574</v>
      </c>
      <c r="C3032" s="6">
        <v>0</v>
      </c>
      <c r="D3032">
        <f t="shared" si="47"/>
        <v>137</v>
      </c>
      <c r="G3032" s="1"/>
    </row>
    <row r="3033" spans="1:7" x14ac:dyDescent="0.25">
      <c r="A3033" s="4" t="s">
        <v>537</v>
      </c>
      <c r="B3033" s="5" t="s">
        <v>575</v>
      </c>
      <c r="C3033" s="5">
        <v>0</v>
      </c>
      <c r="D3033">
        <f t="shared" si="47"/>
        <v>137</v>
      </c>
      <c r="G3033" s="1"/>
    </row>
    <row r="3034" spans="1:7" x14ac:dyDescent="0.25">
      <c r="A3034" s="3" t="s">
        <v>537</v>
      </c>
      <c r="B3034" s="6" t="s">
        <v>576</v>
      </c>
      <c r="C3034" s="6">
        <v>1</v>
      </c>
      <c r="D3034">
        <f t="shared" si="47"/>
        <v>137</v>
      </c>
      <c r="G3034" s="1"/>
    </row>
    <row r="3035" spans="1:7" x14ac:dyDescent="0.25">
      <c r="A3035" s="4" t="s">
        <v>537</v>
      </c>
      <c r="B3035" s="5" t="s">
        <v>577</v>
      </c>
      <c r="C3035" s="5">
        <v>1</v>
      </c>
      <c r="D3035">
        <f t="shared" si="47"/>
        <v>137</v>
      </c>
      <c r="G3035" s="1"/>
    </row>
    <row r="3036" spans="1:7" x14ac:dyDescent="0.25">
      <c r="A3036" s="3" t="s">
        <v>537</v>
      </c>
      <c r="B3036" s="6" t="s">
        <v>578</v>
      </c>
      <c r="C3036" s="6">
        <v>0</v>
      </c>
      <c r="D3036">
        <f t="shared" si="47"/>
        <v>137</v>
      </c>
      <c r="G3036" s="1"/>
    </row>
    <row r="3037" spans="1:7" x14ac:dyDescent="0.25">
      <c r="A3037" s="4" t="s">
        <v>537</v>
      </c>
      <c r="B3037" s="5" t="s">
        <v>579</v>
      </c>
      <c r="C3037" s="5">
        <v>6</v>
      </c>
      <c r="D3037">
        <f t="shared" si="47"/>
        <v>137</v>
      </c>
      <c r="G3037" s="1"/>
    </row>
    <row r="3038" spans="1:7" x14ac:dyDescent="0.25">
      <c r="A3038" s="3" t="s">
        <v>537</v>
      </c>
      <c r="B3038" s="6" t="s">
        <v>580</v>
      </c>
      <c r="C3038" s="6">
        <v>344.15640000000002</v>
      </c>
      <c r="D3038">
        <f t="shared" si="47"/>
        <v>137</v>
      </c>
      <c r="G3038" s="1"/>
    </row>
    <row r="3039" spans="1:7" x14ac:dyDescent="0.25">
      <c r="A3039" s="4" t="s">
        <v>537</v>
      </c>
      <c r="B3039" s="5" t="s">
        <v>581</v>
      </c>
      <c r="C3039" s="5">
        <v>1.6400000000000001E-2</v>
      </c>
      <c r="D3039">
        <f t="shared" si="47"/>
        <v>137</v>
      </c>
      <c r="G3039" s="1"/>
    </row>
    <row r="3040" spans="1:7" x14ac:dyDescent="0.25">
      <c r="A3040" s="3" t="s">
        <v>537</v>
      </c>
      <c r="B3040" s="6" t="s">
        <v>582</v>
      </c>
      <c r="C3040" s="6">
        <v>16</v>
      </c>
      <c r="D3040">
        <f t="shared" si="47"/>
        <v>137</v>
      </c>
      <c r="G3040" s="1"/>
    </row>
    <row r="3041" spans="1:7" x14ac:dyDescent="0.25">
      <c r="A3041" s="4" t="s">
        <v>537</v>
      </c>
      <c r="B3041" s="5" t="s">
        <v>583</v>
      </c>
      <c r="C3041" s="5">
        <v>12</v>
      </c>
      <c r="D3041">
        <f t="shared" si="47"/>
        <v>137</v>
      </c>
      <c r="G3041" s="1"/>
    </row>
    <row r="3042" spans="1:7" x14ac:dyDescent="0.25">
      <c r="A3042" s="3" t="s">
        <v>537</v>
      </c>
      <c r="B3042" s="6" t="s">
        <v>584</v>
      </c>
      <c r="C3042" s="6">
        <v>57.359400000000001</v>
      </c>
      <c r="D3042">
        <f t="shared" si="47"/>
        <v>137</v>
      </c>
      <c r="G3042" s="1"/>
    </row>
    <row r="3043" spans="1:7" x14ac:dyDescent="0.25">
      <c r="A3043" s="4" t="s">
        <v>537</v>
      </c>
      <c r="B3043" s="5" t="s">
        <v>585</v>
      </c>
      <c r="C3043" s="5">
        <v>12</v>
      </c>
      <c r="D3043">
        <f t="shared" si="47"/>
        <v>137</v>
      </c>
      <c r="G3043" s="1"/>
    </row>
    <row r="3044" spans="1:7" x14ac:dyDescent="0.25">
      <c r="A3044" s="3" t="s">
        <v>537</v>
      </c>
      <c r="B3044" s="6" t="s">
        <v>586</v>
      </c>
      <c r="C3044" s="6">
        <v>0</v>
      </c>
      <c r="D3044">
        <f t="shared" si="47"/>
        <v>137</v>
      </c>
      <c r="G3044" s="1"/>
    </row>
    <row r="3045" spans="1:7" x14ac:dyDescent="0.25">
      <c r="A3045" s="4" t="s">
        <v>537</v>
      </c>
      <c r="B3045" s="5" t="s">
        <v>587</v>
      </c>
      <c r="C3045" s="5">
        <v>0</v>
      </c>
      <c r="D3045">
        <f t="shared" si="47"/>
        <v>137</v>
      </c>
      <c r="G3045" s="1"/>
    </row>
    <row r="3046" spans="1:7" x14ac:dyDescent="0.25">
      <c r="A3046" s="3" t="s">
        <v>537</v>
      </c>
      <c r="B3046" s="6" t="s">
        <v>588</v>
      </c>
      <c r="C3046" s="6">
        <v>64.164100000000005</v>
      </c>
      <c r="D3046">
        <f t="shared" si="47"/>
        <v>137</v>
      </c>
      <c r="G3046" s="1"/>
    </row>
    <row r="3047" spans="1:7" x14ac:dyDescent="0.25">
      <c r="A3047" s="4" t="s">
        <v>537</v>
      </c>
      <c r="B3047" s="5" t="s">
        <v>589</v>
      </c>
      <c r="C3047" s="5">
        <v>0</v>
      </c>
      <c r="D3047">
        <f t="shared" si="47"/>
        <v>137</v>
      </c>
      <c r="G3047" s="1"/>
    </row>
    <row r="3048" spans="1:7" x14ac:dyDescent="0.25">
      <c r="A3048" s="3" t="s">
        <v>537</v>
      </c>
      <c r="B3048" s="6" t="s">
        <v>590</v>
      </c>
      <c r="C3048" s="6">
        <v>1</v>
      </c>
      <c r="D3048">
        <f t="shared" si="47"/>
        <v>137</v>
      </c>
      <c r="G3048" s="1"/>
    </row>
    <row r="3049" spans="1:7" x14ac:dyDescent="0.25">
      <c r="A3049" s="4" t="s">
        <v>537</v>
      </c>
      <c r="B3049" s="5" t="s">
        <v>591</v>
      </c>
      <c r="C3049" s="5">
        <v>3</v>
      </c>
      <c r="D3049">
        <f t="shared" si="47"/>
        <v>137</v>
      </c>
      <c r="G3049" s="1"/>
    </row>
    <row r="3050" spans="1:7" x14ac:dyDescent="0.25">
      <c r="A3050" s="3" t="s">
        <v>537</v>
      </c>
      <c r="B3050" s="6" t="s">
        <v>592</v>
      </c>
      <c r="C3050" s="6">
        <v>0</v>
      </c>
      <c r="D3050">
        <f t="shared" si="47"/>
        <v>137</v>
      </c>
      <c r="G3050" s="1"/>
    </row>
    <row r="3051" spans="1:7" x14ac:dyDescent="0.25">
      <c r="A3051" s="4" t="s">
        <v>537</v>
      </c>
      <c r="B3051" s="5" t="s">
        <v>593</v>
      </c>
      <c r="C3051" s="5">
        <v>1</v>
      </c>
      <c r="D3051">
        <f t="shared" si="47"/>
        <v>137</v>
      </c>
      <c r="G3051" s="1"/>
    </row>
    <row r="3052" spans="1:7" x14ac:dyDescent="0.25">
      <c r="A3052" s="3" t="s">
        <v>538</v>
      </c>
      <c r="B3052" s="6" t="s">
        <v>574</v>
      </c>
      <c r="C3052" s="6">
        <v>0</v>
      </c>
      <c r="D3052">
        <f t="shared" si="47"/>
        <v>138</v>
      </c>
      <c r="G3052" s="1"/>
    </row>
    <row r="3053" spans="1:7" x14ac:dyDescent="0.25">
      <c r="A3053" s="4" t="s">
        <v>538</v>
      </c>
      <c r="B3053" s="5" t="s">
        <v>575</v>
      </c>
      <c r="C3053" s="5">
        <v>0</v>
      </c>
      <c r="D3053">
        <f t="shared" si="47"/>
        <v>138</v>
      </c>
      <c r="G3053" s="1"/>
    </row>
    <row r="3054" spans="1:7" x14ac:dyDescent="0.25">
      <c r="A3054" s="3" t="s">
        <v>538</v>
      </c>
      <c r="B3054" s="6" t="s">
        <v>576</v>
      </c>
      <c r="C3054" s="6">
        <v>0.8</v>
      </c>
      <c r="D3054">
        <f t="shared" si="47"/>
        <v>138</v>
      </c>
      <c r="G3054" s="1"/>
    </row>
    <row r="3055" spans="1:7" x14ac:dyDescent="0.25">
      <c r="A3055" s="4" t="s">
        <v>538</v>
      </c>
      <c r="B3055" s="5" t="s">
        <v>577</v>
      </c>
      <c r="C3055" s="5">
        <v>4</v>
      </c>
      <c r="D3055">
        <f t="shared" si="47"/>
        <v>138</v>
      </c>
      <c r="G3055" s="1"/>
    </row>
    <row r="3056" spans="1:7" x14ac:dyDescent="0.25">
      <c r="A3056" s="3" t="s">
        <v>538</v>
      </c>
      <c r="B3056" s="6" t="s">
        <v>578</v>
      </c>
      <c r="C3056" s="6">
        <v>0</v>
      </c>
      <c r="D3056">
        <f t="shared" si="47"/>
        <v>138</v>
      </c>
      <c r="G3056" s="1"/>
    </row>
    <row r="3057" spans="1:7" x14ac:dyDescent="0.25">
      <c r="A3057" s="4" t="s">
        <v>538</v>
      </c>
      <c r="B3057" s="5" t="s">
        <v>579</v>
      </c>
      <c r="C3057" s="5">
        <v>7.8571</v>
      </c>
      <c r="D3057">
        <f t="shared" si="47"/>
        <v>138</v>
      </c>
      <c r="G3057" s="1"/>
    </row>
    <row r="3058" spans="1:7" x14ac:dyDescent="0.25">
      <c r="A3058" s="3" t="s">
        <v>538</v>
      </c>
      <c r="B3058" s="6" t="s">
        <v>580</v>
      </c>
      <c r="C3058" s="6">
        <v>720.80129999999997</v>
      </c>
      <c r="D3058">
        <f t="shared" si="47"/>
        <v>138</v>
      </c>
      <c r="G3058" s="1"/>
    </row>
    <row r="3059" spans="1:7" x14ac:dyDescent="0.25">
      <c r="A3059" s="4" t="s">
        <v>538</v>
      </c>
      <c r="B3059" s="5" t="s">
        <v>581</v>
      </c>
      <c r="C3059" s="5">
        <v>2.6800000000000001E-2</v>
      </c>
      <c r="D3059">
        <f t="shared" si="47"/>
        <v>138</v>
      </c>
      <c r="G3059" s="1"/>
    </row>
    <row r="3060" spans="1:7" x14ac:dyDescent="0.25">
      <c r="A3060" s="3" t="s">
        <v>538</v>
      </c>
      <c r="B3060" s="6" t="s">
        <v>582</v>
      </c>
      <c r="C3060" s="6">
        <v>22</v>
      </c>
      <c r="D3060">
        <f t="shared" si="47"/>
        <v>138</v>
      </c>
      <c r="G3060" s="1"/>
    </row>
    <row r="3061" spans="1:7" x14ac:dyDescent="0.25">
      <c r="A3061" s="4" t="s">
        <v>538</v>
      </c>
      <c r="B3061" s="5" t="s">
        <v>583</v>
      </c>
      <c r="C3061" s="5">
        <v>18</v>
      </c>
      <c r="D3061">
        <f t="shared" si="47"/>
        <v>138</v>
      </c>
      <c r="G3061" s="1"/>
    </row>
    <row r="3062" spans="1:7" x14ac:dyDescent="0.25">
      <c r="A3062" s="3" t="s">
        <v>538</v>
      </c>
      <c r="B3062" s="6" t="s">
        <v>584</v>
      </c>
      <c r="C3062" s="6">
        <v>91.738399999999999</v>
      </c>
      <c r="D3062">
        <f t="shared" si="47"/>
        <v>138</v>
      </c>
      <c r="G3062" s="1"/>
    </row>
    <row r="3063" spans="1:7" x14ac:dyDescent="0.25">
      <c r="A3063" s="4" t="s">
        <v>538</v>
      </c>
      <c r="B3063" s="5" t="s">
        <v>585</v>
      </c>
      <c r="C3063" s="5">
        <v>14</v>
      </c>
      <c r="D3063">
        <f t="shared" si="47"/>
        <v>138</v>
      </c>
      <c r="G3063" s="1"/>
    </row>
    <row r="3064" spans="1:7" x14ac:dyDescent="0.25">
      <c r="A3064" s="3" t="s">
        <v>538</v>
      </c>
      <c r="B3064" s="6" t="s">
        <v>586</v>
      </c>
      <c r="C3064" s="6">
        <v>0</v>
      </c>
      <c r="D3064">
        <f t="shared" si="47"/>
        <v>138</v>
      </c>
      <c r="G3064" s="1"/>
    </row>
    <row r="3065" spans="1:7" x14ac:dyDescent="0.25">
      <c r="A3065" s="4" t="s">
        <v>538</v>
      </c>
      <c r="B3065" s="5" t="s">
        <v>587</v>
      </c>
      <c r="C3065" s="5">
        <v>0</v>
      </c>
      <c r="D3065">
        <f t="shared" si="47"/>
        <v>138</v>
      </c>
      <c r="G3065" s="1"/>
    </row>
    <row r="3066" spans="1:7" x14ac:dyDescent="0.25">
      <c r="A3066" s="3" t="s">
        <v>538</v>
      </c>
      <c r="B3066" s="6" t="s">
        <v>588</v>
      </c>
      <c r="C3066" s="6">
        <v>61.281199999999998</v>
      </c>
      <c r="D3066">
        <f t="shared" si="47"/>
        <v>138</v>
      </c>
      <c r="G3066" s="1"/>
    </row>
    <row r="3067" spans="1:7" x14ac:dyDescent="0.25">
      <c r="A3067" s="4" t="s">
        <v>538</v>
      </c>
      <c r="B3067" s="5" t="s">
        <v>589</v>
      </c>
      <c r="C3067" s="5">
        <v>0</v>
      </c>
      <c r="D3067">
        <f t="shared" si="47"/>
        <v>138</v>
      </c>
      <c r="G3067" s="1"/>
    </row>
    <row r="3068" spans="1:7" x14ac:dyDescent="0.25">
      <c r="A3068" s="3" t="s">
        <v>538</v>
      </c>
      <c r="B3068" s="6" t="s">
        <v>590</v>
      </c>
      <c r="C3068" s="6">
        <v>1</v>
      </c>
      <c r="D3068">
        <f t="shared" si="47"/>
        <v>138</v>
      </c>
      <c r="G3068" s="1"/>
    </row>
    <row r="3069" spans="1:7" x14ac:dyDescent="0.25">
      <c r="A3069" s="4" t="s">
        <v>538</v>
      </c>
      <c r="B3069" s="5" t="s">
        <v>591</v>
      </c>
      <c r="C3069" s="5">
        <v>5</v>
      </c>
      <c r="D3069">
        <f t="shared" si="47"/>
        <v>138</v>
      </c>
      <c r="G3069" s="1"/>
    </row>
    <row r="3070" spans="1:7" x14ac:dyDescent="0.25">
      <c r="A3070" s="3" t="s">
        <v>538</v>
      </c>
      <c r="B3070" s="6" t="s">
        <v>592</v>
      </c>
      <c r="C3070" s="6">
        <v>0</v>
      </c>
      <c r="D3070">
        <f t="shared" si="47"/>
        <v>138</v>
      </c>
      <c r="G3070" s="1"/>
    </row>
    <row r="3071" spans="1:7" x14ac:dyDescent="0.25">
      <c r="A3071" s="4" t="s">
        <v>538</v>
      </c>
      <c r="B3071" s="5" t="s">
        <v>593</v>
      </c>
      <c r="C3071" s="5">
        <v>1</v>
      </c>
      <c r="D3071">
        <f t="shared" si="47"/>
        <v>138</v>
      </c>
      <c r="G3071" s="1"/>
    </row>
    <row r="3072" spans="1:7" x14ac:dyDescent="0.25">
      <c r="A3072" s="3" t="s">
        <v>539</v>
      </c>
      <c r="B3072" s="6" t="s">
        <v>574</v>
      </c>
      <c r="C3072" s="6">
        <v>5</v>
      </c>
      <c r="D3072">
        <f t="shared" si="47"/>
        <v>139</v>
      </c>
      <c r="G3072" s="1"/>
    </row>
    <row r="3073" spans="1:7" x14ac:dyDescent="0.25">
      <c r="A3073" s="4" t="s">
        <v>539</v>
      </c>
      <c r="B3073" s="5" t="s">
        <v>575</v>
      </c>
      <c r="C3073" s="5">
        <v>2</v>
      </c>
      <c r="D3073">
        <f t="shared" si="47"/>
        <v>139</v>
      </c>
      <c r="G3073" s="1"/>
    </row>
    <row r="3074" spans="1:7" x14ac:dyDescent="0.25">
      <c r="A3074" s="3" t="s">
        <v>539</v>
      </c>
      <c r="B3074" s="6" t="s">
        <v>576</v>
      </c>
      <c r="C3074" s="6">
        <v>0.66669999999999996</v>
      </c>
      <c r="D3074">
        <f t="shared" si="47"/>
        <v>139</v>
      </c>
      <c r="G3074" s="1"/>
    </row>
    <row r="3075" spans="1:7" x14ac:dyDescent="0.25">
      <c r="A3075" s="4" t="s">
        <v>539</v>
      </c>
      <c r="B3075" s="5" t="s">
        <v>577</v>
      </c>
      <c r="C3075" s="5">
        <v>3</v>
      </c>
      <c r="D3075">
        <f t="shared" si="47"/>
        <v>139</v>
      </c>
      <c r="G3075" s="1"/>
    </row>
    <row r="3076" spans="1:7" x14ac:dyDescent="0.25">
      <c r="A3076" s="3" t="s">
        <v>539</v>
      </c>
      <c r="B3076" s="6" t="s">
        <v>578</v>
      </c>
      <c r="C3076" s="6">
        <v>1</v>
      </c>
      <c r="D3076">
        <f t="shared" ref="D3076:D3139" si="48">IF(B3076="CCM", D3075+1, D3075)</f>
        <v>139</v>
      </c>
      <c r="G3076" s="1"/>
    </row>
    <row r="3077" spans="1:7" x14ac:dyDescent="0.25">
      <c r="A3077" s="4" t="s">
        <v>539</v>
      </c>
      <c r="B3077" s="5" t="s">
        <v>579</v>
      </c>
      <c r="C3077" s="5">
        <v>18.666699999999999</v>
      </c>
      <c r="D3077">
        <f t="shared" si="48"/>
        <v>139</v>
      </c>
      <c r="G3077" s="1"/>
    </row>
    <row r="3078" spans="1:7" x14ac:dyDescent="0.25">
      <c r="A3078" s="3" t="s">
        <v>539</v>
      </c>
      <c r="B3078" s="6" t="s">
        <v>580</v>
      </c>
      <c r="C3078" s="6">
        <v>3814.1538999999998</v>
      </c>
      <c r="D3078">
        <f t="shared" si="48"/>
        <v>139</v>
      </c>
      <c r="G3078" s="1"/>
    </row>
    <row r="3079" spans="1:7" x14ac:dyDescent="0.25">
      <c r="A3079" s="4" t="s">
        <v>539</v>
      </c>
      <c r="B3079" s="5" t="s">
        <v>581</v>
      </c>
      <c r="C3079" s="5">
        <v>8.14E-2</v>
      </c>
      <c r="D3079">
        <f t="shared" si="48"/>
        <v>139</v>
      </c>
      <c r="G3079" s="1"/>
    </row>
    <row r="3080" spans="1:7" x14ac:dyDescent="0.25">
      <c r="A3080" s="3" t="s">
        <v>539</v>
      </c>
      <c r="B3080" s="6" t="s">
        <v>582</v>
      </c>
      <c r="C3080" s="6">
        <v>44</v>
      </c>
      <c r="D3080">
        <f t="shared" si="48"/>
        <v>139</v>
      </c>
      <c r="G3080" s="1"/>
    </row>
    <row r="3081" spans="1:7" x14ac:dyDescent="0.25">
      <c r="A3081" s="4" t="s">
        <v>539</v>
      </c>
      <c r="B3081" s="5" t="s">
        <v>583</v>
      </c>
      <c r="C3081" s="5">
        <v>25</v>
      </c>
      <c r="D3081">
        <f t="shared" si="48"/>
        <v>139</v>
      </c>
      <c r="G3081" s="1"/>
    </row>
    <row r="3082" spans="1:7" x14ac:dyDescent="0.25">
      <c r="A3082" s="3" t="s">
        <v>539</v>
      </c>
      <c r="B3082" s="6" t="s">
        <v>584</v>
      </c>
      <c r="C3082" s="6">
        <v>204.3297</v>
      </c>
      <c r="D3082">
        <f t="shared" si="48"/>
        <v>139</v>
      </c>
      <c r="G3082" s="1"/>
    </row>
    <row r="3083" spans="1:7" x14ac:dyDescent="0.25">
      <c r="A3083" s="4" t="s">
        <v>539</v>
      </c>
      <c r="B3083" s="5" t="s">
        <v>585</v>
      </c>
      <c r="C3083" s="5">
        <v>19</v>
      </c>
      <c r="D3083">
        <f t="shared" si="48"/>
        <v>139</v>
      </c>
      <c r="G3083" s="1"/>
    </row>
    <row r="3084" spans="1:7" x14ac:dyDescent="0.25">
      <c r="A3084" s="3" t="s">
        <v>539</v>
      </c>
      <c r="B3084" s="6" t="s">
        <v>586</v>
      </c>
      <c r="C3084" s="6">
        <v>0</v>
      </c>
      <c r="D3084">
        <f t="shared" si="48"/>
        <v>139</v>
      </c>
      <c r="G3084" s="1"/>
    </row>
    <row r="3085" spans="1:7" x14ac:dyDescent="0.25">
      <c r="A3085" s="4" t="s">
        <v>539</v>
      </c>
      <c r="B3085" s="5" t="s">
        <v>587</v>
      </c>
      <c r="C3085" s="5">
        <v>2</v>
      </c>
      <c r="D3085">
        <f t="shared" si="48"/>
        <v>139</v>
      </c>
      <c r="G3085" s="1"/>
    </row>
    <row r="3086" spans="1:7" x14ac:dyDescent="0.25">
      <c r="A3086" s="3" t="s">
        <v>539</v>
      </c>
      <c r="B3086" s="6" t="s">
        <v>588</v>
      </c>
      <c r="C3086" s="6">
        <v>55.692300000000003</v>
      </c>
      <c r="D3086">
        <f t="shared" si="48"/>
        <v>139</v>
      </c>
      <c r="G3086" s="1"/>
    </row>
    <row r="3087" spans="1:7" x14ac:dyDescent="0.25">
      <c r="A3087" s="4" t="s">
        <v>539</v>
      </c>
      <c r="B3087" s="5" t="s">
        <v>589</v>
      </c>
      <c r="C3087" s="5">
        <v>4</v>
      </c>
      <c r="D3087">
        <f t="shared" si="48"/>
        <v>139</v>
      </c>
      <c r="G3087" s="1"/>
    </row>
    <row r="3088" spans="1:7" x14ac:dyDescent="0.25">
      <c r="A3088" s="3" t="s">
        <v>539</v>
      </c>
      <c r="B3088" s="6" t="s">
        <v>590</v>
      </c>
      <c r="C3088" s="6">
        <v>6</v>
      </c>
      <c r="D3088">
        <f t="shared" si="48"/>
        <v>139</v>
      </c>
      <c r="G3088" s="1"/>
    </row>
    <row r="3089" spans="1:7" x14ac:dyDescent="0.25">
      <c r="A3089" s="4" t="s">
        <v>539</v>
      </c>
      <c r="B3089" s="5" t="s">
        <v>591</v>
      </c>
      <c r="C3089" s="5">
        <v>7</v>
      </c>
      <c r="D3089">
        <f t="shared" si="48"/>
        <v>139</v>
      </c>
      <c r="G3089" s="1"/>
    </row>
    <row r="3090" spans="1:7" x14ac:dyDescent="0.25">
      <c r="A3090" s="3" t="s">
        <v>539</v>
      </c>
      <c r="B3090" s="6" t="s">
        <v>592</v>
      </c>
      <c r="C3090" s="6">
        <v>2</v>
      </c>
      <c r="D3090">
        <f t="shared" si="48"/>
        <v>139</v>
      </c>
      <c r="G3090" s="1"/>
    </row>
    <row r="3091" spans="1:7" x14ac:dyDescent="0.25">
      <c r="A3091" s="4" t="s">
        <v>539</v>
      </c>
      <c r="B3091" s="5" t="s">
        <v>593</v>
      </c>
      <c r="C3091" s="5">
        <v>2</v>
      </c>
      <c r="D3091">
        <f t="shared" si="48"/>
        <v>139</v>
      </c>
      <c r="G3091" s="1"/>
    </row>
    <row r="3092" spans="1:7" x14ac:dyDescent="0.25">
      <c r="A3092" s="3" t="s">
        <v>540</v>
      </c>
      <c r="B3092" s="6" t="s">
        <v>574</v>
      </c>
      <c r="C3092" s="6">
        <v>18</v>
      </c>
      <c r="D3092">
        <f t="shared" si="48"/>
        <v>140</v>
      </c>
      <c r="G3092" s="1"/>
    </row>
    <row r="3093" spans="1:7" x14ac:dyDescent="0.25">
      <c r="A3093" s="4" t="s">
        <v>540</v>
      </c>
      <c r="B3093" s="5" t="s">
        <v>575</v>
      </c>
      <c r="C3093" s="5">
        <v>2</v>
      </c>
      <c r="D3093">
        <f t="shared" si="48"/>
        <v>140</v>
      </c>
      <c r="G3093" s="1"/>
    </row>
    <row r="3094" spans="1:7" x14ac:dyDescent="0.25">
      <c r="A3094" s="3" t="s">
        <v>540</v>
      </c>
      <c r="B3094" s="6" t="s">
        <v>576</v>
      </c>
      <c r="C3094" s="6">
        <v>0.5625</v>
      </c>
      <c r="D3094">
        <f t="shared" si="48"/>
        <v>140</v>
      </c>
      <c r="G3094" s="1"/>
    </row>
    <row r="3095" spans="1:7" x14ac:dyDescent="0.25">
      <c r="A3095" s="4" t="s">
        <v>540</v>
      </c>
      <c r="B3095" s="5" t="s">
        <v>577</v>
      </c>
      <c r="C3095" s="5">
        <v>14</v>
      </c>
      <c r="D3095">
        <f t="shared" si="48"/>
        <v>140</v>
      </c>
      <c r="G3095" s="1"/>
    </row>
    <row r="3096" spans="1:7" x14ac:dyDescent="0.25">
      <c r="A3096" s="3" t="s">
        <v>540</v>
      </c>
      <c r="B3096" s="6" t="s">
        <v>578</v>
      </c>
      <c r="C3096" s="6">
        <v>2</v>
      </c>
      <c r="D3096">
        <f t="shared" si="48"/>
        <v>140</v>
      </c>
      <c r="G3096" s="1"/>
    </row>
    <row r="3097" spans="1:7" x14ac:dyDescent="0.25">
      <c r="A3097" s="4" t="s">
        <v>540</v>
      </c>
      <c r="B3097" s="5" t="s">
        <v>579</v>
      </c>
      <c r="C3097" s="5">
        <v>49.470599999999997</v>
      </c>
      <c r="D3097">
        <f t="shared" si="48"/>
        <v>140</v>
      </c>
      <c r="G3097" s="1"/>
    </row>
    <row r="3098" spans="1:7" x14ac:dyDescent="0.25">
      <c r="A3098" s="3" t="s">
        <v>540</v>
      </c>
      <c r="B3098" s="6" t="s">
        <v>580</v>
      </c>
      <c r="C3098" s="6">
        <v>35796.255499999999</v>
      </c>
      <c r="D3098">
        <f t="shared" si="48"/>
        <v>140</v>
      </c>
      <c r="G3098" s="1"/>
    </row>
    <row r="3099" spans="1:7" x14ac:dyDescent="0.25">
      <c r="A3099" s="4" t="s">
        <v>540</v>
      </c>
      <c r="B3099" s="5" t="s">
        <v>581</v>
      </c>
      <c r="C3099" s="5">
        <v>0.36209999999999998</v>
      </c>
      <c r="D3099">
        <f t="shared" si="48"/>
        <v>140</v>
      </c>
      <c r="G3099" s="1"/>
    </row>
    <row r="3100" spans="1:7" x14ac:dyDescent="0.25">
      <c r="A3100" s="3" t="s">
        <v>540</v>
      </c>
      <c r="B3100" s="6" t="s">
        <v>582</v>
      </c>
      <c r="C3100" s="6">
        <v>131</v>
      </c>
      <c r="D3100">
        <f t="shared" si="48"/>
        <v>140</v>
      </c>
      <c r="G3100" s="1"/>
    </row>
    <row r="3101" spans="1:7" x14ac:dyDescent="0.25">
      <c r="A3101" s="4" t="s">
        <v>540</v>
      </c>
      <c r="B3101" s="5" t="s">
        <v>583</v>
      </c>
      <c r="C3101" s="5">
        <v>46</v>
      </c>
      <c r="D3101">
        <f t="shared" si="48"/>
        <v>140</v>
      </c>
      <c r="G3101" s="1"/>
    </row>
    <row r="3102" spans="1:7" x14ac:dyDescent="0.25">
      <c r="A3102" s="3" t="s">
        <v>540</v>
      </c>
      <c r="B3102" s="6" t="s">
        <v>584</v>
      </c>
      <c r="C3102" s="6">
        <v>723.58659999999998</v>
      </c>
      <c r="D3102">
        <f t="shared" si="48"/>
        <v>140</v>
      </c>
      <c r="G3102" s="1"/>
    </row>
    <row r="3103" spans="1:7" x14ac:dyDescent="0.25">
      <c r="A3103" s="4" t="s">
        <v>540</v>
      </c>
      <c r="B3103" s="5" t="s">
        <v>585</v>
      </c>
      <c r="C3103" s="5">
        <v>55</v>
      </c>
      <c r="D3103">
        <f t="shared" si="48"/>
        <v>140</v>
      </c>
      <c r="G3103" s="1"/>
    </row>
    <row r="3104" spans="1:7" x14ac:dyDescent="0.25">
      <c r="A3104" s="3" t="s">
        <v>540</v>
      </c>
      <c r="B3104" s="6" t="s">
        <v>586</v>
      </c>
      <c r="C3104" s="6">
        <v>0</v>
      </c>
      <c r="D3104">
        <f t="shared" si="48"/>
        <v>140</v>
      </c>
      <c r="G3104" s="1"/>
    </row>
    <row r="3105" spans="1:7" x14ac:dyDescent="0.25">
      <c r="A3105" s="4" t="s">
        <v>540</v>
      </c>
      <c r="B3105" s="5" t="s">
        <v>587</v>
      </c>
      <c r="C3105" s="5">
        <v>2</v>
      </c>
      <c r="D3105">
        <f t="shared" si="48"/>
        <v>140</v>
      </c>
      <c r="G3105" s="1"/>
    </row>
    <row r="3106" spans="1:7" x14ac:dyDescent="0.25">
      <c r="A3106" s="3" t="s">
        <v>540</v>
      </c>
      <c r="B3106" s="6" t="s">
        <v>588</v>
      </c>
      <c r="C3106" s="6">
        <v>41.62</v>
      </c>
      <c r="D3106">
        <f t="shared" si="48"/>
        <v>140</v>
      </c>
      <c r="G3106" s="1"/>
    </row>
    <row r="3107" spans="1:7" x14ac:dyDescent="0.25">
      <c r="A3107" s="4" t="s">
        <v>540</v>
      </c>
      <c r="B3107" s="5" t="s">
        <v>589</v>
      </c>
      <c r="C3107" s="5">
        <v>4</v>
      </c>
      <c r="D3107">
        <f t="shared" si="48"/>
        <v>140</v>
      </c>
      <c r="G3107" s="1"/>
    </row>
    <row r="3108" spans="1:7" x14ac:dyDescent="0.25">
      <c r="A3108" s="3" t="s">
        <v>540</v>
      </c>
      <c r="B3108" s="6" t="s">
        <v>590</v>
      </c>
      <c r="C3108" s="6">
        <v>19</v>
      </c>
      <c r="D3108">
        <f t="shared" si="48"/>
        <v>140</v>
      </c>
      <c r="G3108" s="1"/>
    </row>
    <row r="3109" spans="1:7" x14ac:dyDescent="0.25">
      <c r="A3109" s="4" t="s">
        <v>540</v>
      </c>
      <c r="B3109" s="5" t="s">
        <v>591</v>
      </c>
      <c r="C3109" s="5">
        <v>16</v>
      </c>
      <c r="D3109">
        <f t="shared" si="48"/>
        <v>140</v>
      </c>
      <c r="G3109" s="1"/>
    </row>
    <row r="3110" spans="1:7" x14ac:dyDescent="0.25">
      <c r="A3110" s="3" t="s">
        <v>540</v>
      </c>
      <c r="B3110" s="6" t="s">
        <v>592</v>
      </c>
      <c r="C3110" s="6">
        <v>6</v>
      </c>
      <c r="D3110">
        <f t="shared" si="48"/>
        <v>140</v>
      </c>
      <c r="G3110" s="1"/>
    </row>
    <row r="3111" spans="1:7" x14ac:dyDescent="0.25">
      <c r="A3111" s="4" t="s">
        <v>540</v>
      </c>
      <c r="B3111" s="5" t="s">
        <v>593</v>
      </c>
      <c r="C3111" s="5">
        <v>1</v>
      </c>
      <c r="D3111">
        <f t="shared" si="48"/>
        <v>140</v>
      </c>
      <c r="G3111" s="1"/>
    </row>
    <row r="3112" spans="1:7" x14ac:dyDescent="0.25">
      <c r="A3112" s="3" t="s">
        <v>541</v>
      </c>
      <c r="B3112" s="6" t="s">
        <v>574</v>
      </c>
      <c r="C3112" s="6">
        <v>7</v>
      </c>
      <c r="D3112">
        <f t="shared" si="48"/>
        <v>141</v>
      </c>
      <c r="G3112" s="1"/>
    </row>
    <row r="3113" spans="1:7" x14ac:dyDescent="0.25">
      <c r="A3113" s="4" t="s">
        <v>541</v>
      </c>
      <c r="B3113" s="5" t="s">
        <v>575</v>
      </c>
      <c r="C3113" s="5">
        <v>1</v>
      </c>
      <c r="D3113">
        <f t="shared" si="48"/>
        <v>141</v>
      </c>
      <c r="G3113" s="1"/>
    </row>
    <row r="3114" spans="1:7" x14ac:dyDescent="0.25">
      <c r="A3114" s="3" t="s">
        <v>541</v>
      </c>
      <c r="B3114" s="6" t="s">
        <v>576</v>
      </c>
      <c r="C3114" s="6">
        <v>0.36359999999999998</v>
      </c>
      <c r="D3114">
        <f t="shared" si="48"/>
        <v>141</v>
      </c>
      <c r="G3114" s="1"/>
    </row>
    <row r="3115" spans="1:7" x14ac:dyDescent="0.25">
      <c r="A3115" s="4" t="s">
        <v>541</v>
      </c>
      <c r="B3115" s="5" t="s">
        <v>577</v>
      </c>
      <c r="C3115" s="5">
        <v>11</v>
      </c>
      <c r="D3115">
        <f t="shared" si="48"/>
        <v>141</v>
      </c>
      <c r="G3115" s="1"/>
    </row>
    <row r="3116" spans="1:7" x14ac:dyDescent="0.25">
      <c r="A3116" s="3" t="s">
        <v>541</v>
      </c>
      <c r="B3116" s="6" t="s">
        <v>578</v>
      </c>
      <c r="C3116" s="6">
        <v>1</v>
      </c>
      <c r="D3116">
        <f t="shared" si="48"/>
        <v>141</v>
      </c>
      <c r="G3116" s="1"/>
    </row>
    <row r="3117" spans="1:7" x14ac:dyDescent="0.25">
      <c r="A3117" s="4" t="s">
        <v>541</v>
      </c>
      <c r="B3117" s="5" t="s">
        <v>579</v>
      </c>
      <c r="C3117" s="5">
        <v>34.5</v>
      </c>
      <c r="D3117">
        <f t="shared" si="48"/>
        <v>141</v>
      </c>
      <c r="G3117" s="1"/>
    </row>
    <row r="3118" spans="1:7" x14ac:dyDescent="0.25">
      <c r="A3118" s="3" t="s">
        <v>541</v>
      </c>
      <c r="B3118" s="6" t="s">
        <v>580</v>
      </c>
      <c r="C3118" s="6">
        <v>8790.2484999999997</v>
      </c>
      <c r="D3118">
        <f t="shared" si="48"/>
        <v>141</v>
      </c>
      <c r="G3118" s="1"/>
    </row>
    <row r="3119" spans="1:7" x14ac:dyDescent="0.25">
      <c r="A3119" s="4" t="s">
        <v>541</v>
      </c>
      <c r="B3119" s="5" t="s">
        <v>581</v>
      </c>
      <c r="C3119" s="5">
        <v>0.14199999999999999</v>
      </c>
      <c r="D3119">
        <f t="shared" si="48"/>
        <v>141</v>
      </c>
      <c r="G3119" s="1"/>
    </row>
    <row r="3120" spans="1:7" x14ac:dyDescent="0.25">
      <c r="A3120" s="3" t="s">
        <v>541</v>
      </c>
      <c r="B3120" s="6" t="s">
        <v>582</v>
      </c>
      <c r="C3120" s="6">
        <v>53</v>
      </c>
      <c r="D3120">
        <f t="shared" si="48"/>
        <v>141</v>
      </c>
      <c r="G3120" s="1"/>
    </row>
    <row r="3121" spans="1:7" x14ac:dyDescent="0.25">
      <c r="A3121" s="4" t="s">
        <v>541</v>
      </c>
      <c r="B3121" s="5" t="s">
        <v>583</v>
      </c>
      <c r="C3121" s="5">
        <v>28</v>
      </c>
      <c r="D3121">
        <f t="shared" si="48"/>
        <v>141</v>
      </c>
      <c r="G3121" s="1"/>
    </row>
    <row r="3122" spans="1:7" x14ac:dyDescent="0.25">
      <c r="A3122" s="3" t="s">
        <v>541</v>
      </c>
      <c r="B3122" s="6" t="s">
        <v>584</v>
      </c>
      <c r="C3122" s="6">
        <v>254.78980000000001</v>
      </c>
      <c r="D3122">
        <f t="shared" si="48"/>
        <v>141</v>
      </c>
      <c r="G3122" s="1"/>
    </row>
    <row r="3123" spans="1:7" x14ac:dyDescent="0.25">
      <c r="A3123" s="4" t="s">
        <v>541</v>
      </c>
      <c r="B3123" s="5" t="s">
        <v>585</v>
      </c>
      <c r="C3123" s="5">
        <v>24</v>
      </c>
      <c r="D3123">
        <f t="shared" si="48"/>
        <v>141</v>
      </c>
      <c r="G3123" s="1"/>
    </row>
    <row r="3124" spans="1:7" x14ac:dyDescent="0.25">
      <c r="A3124" s="3" t="s">
        <v>541</v>
      </c>
      <c r="B3124" s="6" t="s">
        <v>586</v>
      </c>
      <c r="C3124" s="6">
        <v>0</v>
      </c>
      <c r="D3124">
        <f t="shared" si="48"/>
        <v>141</v>
      </c>
      <c r="G3124" s="1"/>
    </row>
    <row r="3125" spans="1:7" x14ac:dyDescent="0.25">
      <c r="A3125" s="4" t="s">
        <v>541</v>
      </c>
      <c r="B3125" s="5" t="s">
        <v>587</v>
      </c>
      <c r="C3125" s="5">
        <v>2</v>
      </c>
      <c r="D3125">
        <f t="shared" si="48"/>
        <v>141</v>
      </c>
      <c r="G3125" s="1"/>
    </row>
    <row r="3126" spans="1:7" x14ac:dyDescent="0.25">
      <c r="A3126" s="3" t="s">
        <v>541</v>
      </c>
      <c r="B3126" s="6" t="s">
        <v>588</v>
      </c>
      <c r="C3126" s="6">
        <v>52.743699999999997</v>
      </c>
      <c r="D3126">
        <f t="shared" si="48"/>
        <v>141</v>
      </c>
      <c r="G3126" s="1"/>
    </row>
    <row r="3127" spans="1:7" x14ac:dyDescent="0.25">
      <c r="A3127" s="4" t="s">
        <v>541</v>
      </c>
      <c r="B3127" s="5" t="s">
        <v>589</v>
      </c>
      <c r="C3127" s="5">
        <v>3</v>
      </c>
      <c r="D3127">
        <f t="shared" si="48"/>
        <v>141</v>
      </c>
      <c r="G3127" s="1"/>
    </row>
    <row r="3128" spans="1:7" x14ac:dyDescent="0.25">
      <c r="A3128" s="3" t="s">
        <v>541</v>
      </c>
      <c r="B3128" s="6" t="s">
        <v>590</v>
      </c>
      <c r="C3128" s="6">
        <v>10</v>
      </c>
      <c r="D3128">
        <f t="shared" si="48"/>
        <v>141</v>
      </c>
      <c r="G3128" s="1"/>
    </row>
    <row r="3129" spans="1:7" x14ac:dyDescent="0.25">
      <c r="A3129" s="4" t="s">
        <v>541</v>
      </c>
      <c r="B3129" s="5" t="s">
        <v>591</v>
      </c>
      <c r="C3129" s="5">
        <v>5</v>
      </c>
      <c r="D3129">
        <f t="shared" si="48"/>
        <v>141</v>
      </c>
      <c r="G3129" s="1"/>
    </row>
    <row r="3130" spans="1:7" x14ac:dyDescent="0.25">
      <c r="A3130" s="3" t="s">
        <v>541</v>
      </c>
      <c r="B3130" s="6" t="s">
        <v>592</v>
      </c>
      <c r="C3130" s="6">
        <v>2</v>
      </c>
      <c r="D3130">
        <f t="shared" si="48"/>
        <v>141</v>
      </c>
      <c r="G3130" s="1"/>
    </row>
    <row r="3131" spans="1:7" x14ac:dyDescent="0.25">
      <c r="A3131" s="4" t="s">
        <v>541</v>
      </c>
      <c r="B3131" s="5" t="s">
        <v>593</v>
      </c>
      <c r="C3131" s="5">
        <v>2</v>
      </c>
      <c r="D3131">
        <f t="shared" si="48"/>
        <v>141</v>
      </c>
      <c r="G3131" s="1"/>
    </row>
    <row r="3132" spans="1:7" x14ac:dyDescent="0.25">
      <c r="A3132" s="3" t="s">
        <v>487</v>
      </c>
      <c r="B3132" s="6" t="s">
        <v>576</v>
      </c>
      <c r="C3132" s="6">
        <v>1</v>
      </c>
      <c r="D3132">
        <f t="shared" si="48"/>
        <v>141</v>
      </c>
      <c r="G3132" s="1"/>
    </row>
    <row r="3133" spans="1:7" x14ac:dyDescent="0.25">
      <c r="A3133" s="4" t="s">
        <v>487</v>
      </c>
      <c r="B3133" s="5" t="s">
        <v>577</v>
      </c>
      <c r="C3133" s="5">
        <v>1</v>
      </c>
      <c r="D3133">
        <f t="shared" si="48"/>
        <v>141</v>
      </c>
      <c r="G3133" s="1"/>
    </row>
    <row r="3134" spans="1:7" x14ac:dyDescent="0.25">
      <c r="A3134" s="3" t="s">
        <v>487</v>
      </c>
      <c r="B3134" s="6" t="s">
        <v>585</v>
      </c>
      <c r="C3134" s="6">
        <v>3</v>
      </c>
      <c r="D3134">
        <f t="shared" si="48"/>
        <v>141</v>
      </c>
      <c r="G3134" s="1"/>
    </row>
    <row r="3135" spans="1:7" x14ac:dyDescent="0.25">
      <c r="A3135" s="4" t="s">
        <v>487</v>
      </c>
      <c r="B3135" s="5" t="s">
        <v>588</v>
      </c>
      <c r="C3135" s="5">
        <v>81.357100000000003</v>
      </c>
      <c r="D3135">
        <f t="shared" si="48"/>
        <v>141</v>
      </c>
      <c r="G3135" s="1"/>
    </row>
    <row r="3136" spans="1:7" x14ac:dyDescent="0.25">
      <c r="A3136" s="3" t="s">
        <v>542</v>
      </c>
      <c r="B3136" s="6" t="s">
        <v>574</v>
      </c>
      <c r="C3136" s="6">
        <v>0</v>
      </c>
      <c r="D3136">
        <f t="shared" si="48"/>
        <v>142</v>
      </c>
      <c r="G3136" s="1"/>
    </row>
    <row r="3137" spans="1:7" x14ac:dyDescent="0.25">
      <c r="A3137" s="4" t="s">
        <v>542</v>
      </c>
      <c r="B3137" s="5" t="s">
        <v>575</v>
      </c>
      <c r="C3137" s="5">
        <v>0</v>
      </c>
      <c r="D3137">
        <f t="shared" si="48"/>
        <v>142</v>
      </c>
      <c r="G3137" s="1"/>
    </row>
    <row r="3138" spans="1:7" x14ac:dyDescent="0.25">
      <c r="A3138" s="3" t="s">
        <v>542</v>
      </c>
      <c r="B3138" s="6" t="s">
        <v>576</v>
      </c>
      <c r="C3138" s="6">
        <v>0.75</v>
      </c>
      <c r="D3138">
        <f t="shared" si="48"/>
        <v>142</v>
      </c>
      <c r="G3138" s="1"/>
    </row>
    <row r="3139" spans="1:7" x14ac:dyDescent="0.25">
      <c r="A3139" s="4" t="s">
        <v>542</v>
      </c>
      <c r="B3139" s="5" t="s">
        <v>577</v>
      </c>
      <c r="C3139" s="5">
        <v>4</v>
      </c>
      <c r="D3139">
        <f t="shared" si="48"/>
        <v>142</v>
      </c>
      <c r="G3139" s="1"/>
    </row>
    <row r="3140" spans="1:7" x14ac:dyDescent="0.25">
      <c r="A3140" s="3" t="s">
        <v>542</v>
      </c>
      <c r="B3140" s="6" t="s">
        <v>578</v>
      </c>
      <c r="C3140" s="6">
        <v>0</v>
      </c>
      <c r="D3140">
        <f t="shared" ref="D3140:D3203" si="49">IF(B3140="CCM", D3139+1, D3139)</f>
        <v>142</v>
      </c>
      <c r="G3140" s="1"/>
    </row>
    <row r="3141" spans="1:7" x14ac:dyDescent="0.25">
      <c r="A3141" s="4" t="s">
        <v>542</v>
      </c>
      <c r="B3141" s="5" t="s">
        <v>579</v>
      </c>
      <c r="C3141" s="5">
        <v>3.5</v>
      </c>
      <c r="D3141">
        <f t="shared" si="49"/>
        <v>142</v>
      </c>
      <c r="G3141" s="1"/>
    </row>
    <row r="3142" spans="1:7" x14ac:dyDescent="0.25">
      <c r="A3142" s="3" t="s">
        <v>542</v>
      </c>
      <c r="B3142" s="6" t="s">
        <v>580</v>
      </c>
      <c r="C3142" s="6">
        <v>127.8942</v>
      </c>
      <c r="D3142">
        <f t="shared" si="49"/>
        <v>142</v>
      </c>
      <c r="G3142" s="1"/>
    </row>
    <row r="3143" spans="1:7" x14ac:dyDescent="0.25">
      <c r="A3143" s="4" t="s">
        <v>542</v>
      </c>
      <c r="B3143" s="5" t="s">
        <v>581</v>
      </c>
      <c r="C3143" s="5">
        <v>8.5000000000000006E-3</v>
      </c>
      <c r="D3143">
        <f t="shared" si="49"/>
        <v>142</v>
      </c>
      <c r="G3143" s="1"/>
    </row>
    <row r="3144" spans="1:7" x14ac:dyDescent="0.25">
      <c r="A3144" s="3" t="s">
        <v>542</v>
      </c>
      <c r="B3144" s="6" t="s">
        <v>582</v>
      </c>
      <c r="C3144" s="6">
        <v>11</v>
      </c>
      <c r="D3144">
        <f t="shared" si="49"/>
        <v>142</v>
      </c>
      <c r="G3144" s="1"/>
    </row>
    <row r="3145" spans="1:7" x14ac:dyDescent="0.25">
      <c r="A3145" s="4" t="s">
        <v>542</v>
      </c>
      <c r="B3145" s="5" t="s">
        <v>583</v>
      </c>
      <c r="C3145" s="5">
        <v>10</v>
      </c>
      <c r="D3145">
        <f t="shared" si="49"/>
        <v>142</v>
      </c>
      <c r="G3145" s="1"/>
    </row>
    <row r="3146" spans="1:7" x14ac:dyDescent="0.25">
      <c r="A3146" s="3" t="s">
        <v>542</v>
      </c>
      <c r="B3146" s="6" t="s">
        <v>584</v>
      </c>
      <c r="C3146" s="6">
        <v>36.541200000000003</v>
      </c>
      <c r="D3146">
        <f t="shared" si="49"/>
        <v>142</v>
      </c>
      <c r="G3146" s="1"/>
    </row>
    <row r="3147" spans="1:7" x14ac:dyDescent="0.25">
      <c r="A3147" s="4" t="s">
        <v>542</v>
      </c>
      <c r="B3147" s="5" t="s">
        <v>585</v>
      </c>
      <c r="C3147" s="5">
        <v>6</v>
      </c>
      <c r="D3147">
        <f t="shared" si="49"/>
        <v>142</v>
      </c>
      <c r="G3147" s="1"/>
    </row>
    <row r="3148" spans="1:7" x14ac:dyDescent="0.25">
      <c r="A3148" s="3" t="s">
        <v>542</v>
      </c>
      <c r="B3148" s="6" t="s">
        <v>586</v>
      </c>
      <c r="C3148" s="6">
        <v>1</v>
      </c>
      <c r="D3148">
        <f t="shared" si="49"/>
        <v>142</v>
      </c>
      <c r="G3148" s="1"/>
    </row>
    <row r="3149" spans="1:7" x14ac:dyDescent="0.25">
      <c r="A3149" s="4" t="s">
        <v>542</v>
      </c>
      <c r="B3149" s="5" t="s">
        <v>587</v>
      </c>
      <c r="C3149" s="5">
        <v>0</v>
      </c>
      <c r="D3149">
        <f t="shared" si="49"/>
        <v>142</v>
      </c>
      <c r="G3149" s="1"/>
    </row>
    <row r="3150" spans="1:7" x14ac:dyDescent="0.25">
      <c r="A3150" s="3" t="s">
        <v>542</v>
      </c>
      <c r="B3150" s="6" t="s">
        <v>588</v>
      </c>
      <c r="C3150" s="6">
        <v>72.128200000000007</v>
      </c>
      <c r="D3150">
        <f t="shared" si="49"/>
        <v>142</v>
      </c>
      <c r="G3150" s="1"/>
    </row>
    <row r="3151" spans="1:7" x14ac:dyDescent="0.25">
      <c r="A3151" s="4" t="s">
        <v>542</v>
      </c>
      <c r="B3151" s="5" t="s">
        <v>589</v>
      </c>
      <c r="C3151" s="5">
        <v>0</v>
      </c>
      <c r="D3151">
        <f t="shared" si="49"/>
        <v>142</v>
      </c>
      <c r="G3151" s="1"/>
    </row>
    <row r="3152" spans="1:7" x14ac:dyDescent="0.25">
      <c r="A3152" s="3" t="s">
        <v>542</v>
      </c>
      <c r="B3152" s="6" t="s">
        <v>590</v>
      </c>
      <c r="C3152" s="6">
        <v>1</v>
      </c>
      <c r="D3152">
        <f t="shared" si="49"/>
        <v>142</v>
      </c>
      <c r="G3152" s="1"/>
    </row>
    <row r="3153" spans="1:7" x14ac:dyDescent="0.25">
      <c r="A3153" s="4" t="s">
        <v>542</v>
      </c>
      <c r="B3153" s="5" t="s">
        <v>591</v>
      </c>
      <c r="C3153" s="5">
        <v>2</v>
      </c>
      <c r="D3153">
        <f t="shared" si="49"/>
        <v>142</v>
      </c>
      <c r="G3153" s="1"/>
    </row>
    <row r="3154" spans="1:7" x14ac:dyDescent="0.25">
      <c r="A3154" s="3" t="s">
        <v>542</v>
      </c>
      <c r="B3154" s="6" t="s">
        <v>592</v>
      </c>
      <c r="C3154" s="6">
        <v>0</v>
      </c>
      <c r="D3154">
        <f t="shared" si="49"/>
        <v>142</v>
      </c>
      <c r="G3154" s="1"/>
    </row>
    <row r="3155" spans="1:7" x14ac:dyDescent="0.25">
      <c r="A3155" s="4" t="s">
        <v>542</v>
      </c>
      <c r="B3155" s="5" t="s">
        <v>593</v>
      </c>
      <c r="C3155" s="5">
        <v>0</v>
      </c>
      <c r="D3155">
        <f t="shared" si="49"/>
        <v>142</v>
      </c>
      <c r="G3155" s="1"/>
    </row>
    <row r="3156" spans="1:7" x14ac:dyDescent="0.25">
      <c r="A3156" s="3" t="s">
        <v>543</v>
      </c>
      <c r="B3156" s="6" t="s">
        <v>574</v>
      </c>
      <c r="C3156" s="6">
        <v>3</v>
      </c>
      <c r="D3156">
        <f t="shared" si="49"/>
        <v>143</v>
      </c>
      <c r="G3156" s="1"/>
    </row>
    <row r="3157" spans="1:7" x14ac:dyDescent="0.25">
      <c r="A3157" s="4" t="s">
        <v>543</v>
      </c>
      <c r="B3157" s="5" t="s">
        <v>575</v>
      </c>
      <c r="C3157" s="5">
        <v>1</v>
      </c>
      <c r="D3157">
        <f t="shared" si="49"/>
        <v>143</v>
      </c>
      <c r="G3157" s="1"/>
    </row>
    <row r="3158" spans="1:7" x14ac:dyDescent="0.25">
      <c r="A3158" s="3" t="s">
        <v>543</v>
      </c>
      <c r="B3158" s="6" t="s">
        <v>576</v>
      </c>
      <c r="C3158" s="6">
        <v>0.6</v>
      </c>
      <c r="D3158">
        <f t="shared" si="49"/>
        <v>143</v>
      </c>
      <c r="G3158" s="1"/>
    </row>
    <row r="3159" spans="1:7" x14ac:dyDescent="0.25">
      <c r="A3159" s="4" t="s">
        <v>543</v>
      </c>
      <c r="B3159" s="5" t="s">
        <v>577</v>
      </c>
      <c r="C3159" s="5">
        <v>5</v>
      </c>
      <c r="D3159">
        <f t="shared" si="49"/>
        <v>143</v>
      </c>
      <c r="G3159" s="1"/>
    </row>
    <row r="3160" spans="1:7" x14ac:dyDescent="0.25">
      <c r="A3160" s="3" t="s">
        <v>543</v>
      </c>
      <c r="B3160" s="6" t="s">
        <v>578</v>
      </c>
      <c r="C3160" s="6">
        <v>2</v>
      </c>
      <c r="D3160">
        <f t="shared" si="49"/>
        <v>143</v>
      </c>
      <c r="G3160" s="1"/>
    </row>
    <row r="3161" spans="1:7" x14ac:dyDescent="0.25">
      <c r="A3161" s="4" t="s">
        <v>543</v>
      </c>
      <c r="B3161" s="5" t="s">
        <v>579</v>
      </c>
      <c r="C3161" s="5">
        <v>17.416699999999999</v>
      </c>
      <c r="D3161">
        <f t="shared" si="49"/>
        <v>143</v>
      </c>
      <c r="G3161" s="1"/>
    </row>
    <row r="3162" spans="1:7" x14ac:dyDescent="0.25">
      <c r="A3162" s="3" t="s">
        <v>543</v>
      </c>
      <c r="B3162" s="6" t="s">
        <v>580</v>
      </c>
      <c r="C3162" s="6">
        <v>5716.0726999999997</v>
      </c>
      <c r="D3162">
        <f t="shared" si="49"/>
        <v>143</v>
      </c>
      <c r="G3162" s="1"/>
    </row>
    <row r="3163" spans="1:7" x14ac:dyDescent="0.25">
      <c r="A3163" s="4" t="s">
        <v>543</v>
      </c>
      <c r="B3163" s="5" t="s">
        <v>581</v>
      </c>
      <c r="C3163" s="5">
        <v>0.1066</v>
      </c>
      <c r="D3163">
        <f t="shared" si="49"/>
        <v>143</v>
      </c>
      <c r="G3163" s="1"/>
    </row>
    <row r="3164" spans="1:7" x14ac:dyDescent="0.25">
      <c r="A3164" s="3" t="s">
        <v>543</v>
      </c>
      <c r="B3164" s="6" t="s">
        <v>582</v>
      </c>
      <c r="C3164" s="6">
        <v>63</v>
      </c>
      <c r="D3164">
        <f t="shared" si="49"/>
        <v>143</v>
      </c>
      <c r="G3164" s="1"/>
    </row>
    <row r="3165" spans="1:7" x14ac:dyDescent="0.25">
      <c r="A3165" s="4" t="s">
        <v>543</v>
      </c>
      <c r="B3165" s="5" t="s">
        <v>583</v>
      </c>
      <c r="C3165" s="5">
        <v>37</v>
      </c>
      <c r="D3165">
        <f t="shared" si="49"/>
        <v>143</v>
      </c>
      <c r="G3165" s="1"/>
    </row>
    <row r="3166" spans="1:7" x14ac:dyDescent="0.25">
      <c r="A3166" s="3" t="s">
        <v>543</v>
      </c>
      <c r="B3166" s="6" t="s">
        <v>584</v>
      </c>
      <c r="C3166" s="6">
        <v>328.19560000000001</v>
      </c>
      <c r="D3166">
        <f t="shared" si="49"/>
        <v>143</v>
      </c>
      <c r="G3166" s="1"/>
    </row>
    <row r="3167" spans="1:7" x14ac:dyDescent="0.25">
      <c r="A3167" s="4" t="s">
        <v>543</v>
      </c>
      <c r="B3167" s="5" t="s">
        <v>585</v>
      </c>
      <c r="C3167" s="5">
        <v>20</v>
      </c>
      <c r="D3167">
        <f t="shared" si="49"/>
        <v>143</v>
      </c>
      <c r="G3167" s="1"/>
    </row>
    <row r="3168" spans="1:7" x14ac:dyDescent="0.25">
      <c r="A3168" s="3" t="s">
        <v>543</v>
      </c>
      <c r="B3168" s="6" t="s">
        <v>586</v>
      </c>
      <c r="C3168" s="6">
        <v>0</v>
      </c>
      <c r="D3168">
        <f t="shared" si="49"/>
        <v>143</v>
      </c>
      <c r="G3168" s="1"/>
    </row>
    <row r="3169" spans="1:7" x14ac:dyDescent="0.25">
      <c r="A3169" s="4" t="s">
        <v>543</v>
      </c>
      <c r="B3169" s="5" t="s">
        <v>587</v>
      </c>
      <c r="C3169" s="5">
        <v>1</v>
      </c>
      <c r="D3169">
        <f t="shared" si="49"/>
        <v>143</v>
      </c>
      <c r="G3169" s="1"/>
    </row>
    <row r="3170" spans="1:7" x14ac:dyDescent="0.25">
      <c r="A3170" s="3" t="s">
        <v>543</v>
      </c>
      <c r="B3170" s="6" t="s">
        <v>588</v>
      </c>
      <c r="C3170" s="6">
        <v>53.816699999999997</v>
      </c>
      <c r="D3170">
        <f t="shared" si="49"/>
        <v>143</v>
      </c>
      <c r="G3170" s="1"/>
    </row>
    <row r="3171" spans="1:7" x14ac:dyDescent="0.25">
      <c r="A3171" s="4" t="s">
        <v>543</v>
      </c>
      <c r="B3171" s="5" t="s">
        <v>589</v>
      </c>
      <c r="C3171" s="5">
        <v>1</v>
      </c>
      <c r="D3171">
        <f t="shared" si="49"/>
        <v>143</v>
      </c>
      <c r="G3171" s="1"/>
    </row>
    <row r="3172" spans="1:7" x14ac:dyDescent="0.25">
      <c r="A3172" s="3" t="s">
        <v>543</v>
      </c>
      <c r="B3172" s="6" t="s">
        <v>590</v>
      </c>
      <c r="C3172" s="6">
        <v>4</v>
      </c>
      <c r="D3172">
        <f t="shared" si="49"/>
        <v>143</v>
      </c>
      <c r="G3172" s="1"/>
    </row>
    <row r="3173" spans="1:7" x14ac:dyDescent="0.25">
      <c r="A3173" s="4" t="s">
        <v>543</v>
      </c>
      <c r="B3173" s="5" t="s">
        <v>591</v>
      </c>
      <c r="C3173" s="5">
        <v>12</v>
      </c>
      <c r="D3173">
        <f t="shared" si="49"/>
        <v>143</v>
      </c>
      <c r="G3173" s="1"/>
    </row>
    <row r="3174" spans="1:7" x14ac:dyDescent="0.25">
      <c r="A3174" s="3" t="s">
        <v>543</v>
      </c>
      <c r="B3174" s="6" t="s">
        <v>592</v>
      </c>
      <c r="C3174" s="6">
        <v>1</v>
      </c>
      <c r="D3174">
        <f t="shared" si="49"/>
        <v>143</v>
      </c>
      <c r="G3174" s="1"/>
    </row>
    <row r="3175" spans="1:7" x14ac:dyDescent="0.25">
      <c r="A3175" s="4" t="s">
        <v>543</v>
      </c>
      <c r="B3175" s="5" t="s">
        <v>593</v>
      </c>
      <c r="C3175" s="5">
        <v>3</v>
      </c>
      <c r="D3175">
        <f t="shared" si="49"/>
        <v>143</v>
      </c>
      <c r="G3175" s="1"/>
    </row>
    <row r="3176" spans="1:7" x14ac:dyDescent="0.25">
      <c r="A3176" s="3" t="s">
        <v>544</v>
      </c>
      <c r="B3176" s="6" t="s">
        <v>574</v>
      </c>
      <c r="C3176" s="6">
        <v>8</v>
      </c>
      <c r="D3176">
        <f t="shared" si="49"/>
        <v>144</v>
      </c>
      <c r="G3176" s="1"/>
    </row>
    <row r="3177" spans="1:7" x14ac:dyDescent="0.25">
      <c r="A3177" s="4" t="s">
        <v>544</v>
      </c>
      <c r="B3177" s="5" t="s">
        <v>575</v>
      </c>
      <c r="C3177" s="5">
        <v>1</v>
      </c>
      <c r="D3177">
        <f t="shared" si="49"/>
        <v>144</v>
      </c>
      <c r="G3177" s="1"/>
    </row>
    <row r="3178" spans="1:7" x14ac:dyDescent="0.25">
      <c r="A3178" s="3" t="s">
        <v>544</v>
      </c>
      <c r="B3178" s="6" t="s">
        <v>576</v>
      </c>
      <c r="C3178" s="6">
        <v>0.51719999999999999</v>
      </c>
      <c r="D3178">
        <f t="shared" si="49"/>
        <v>144</v>
      </c>
      <c r="G3178" s="1"/>
    </row>
    <row r="3179" spans="1:7" x14ac:dyDescent="0.25">
      <c r="A3179" s="4" t="s">
        <v>544</v>
      </c>
      <c r="B3179" s="5" t="s">
        <v>577</v>
      </c>
      <c r="C3179" s="5">
        <v>28</v>
      </c>
      <c r="D3179">
        <f t="shared" si="49"/>
        <v>144</v>
      </c>
      <c r="G3179" s="1"/>
    </row>
    <row r="3180" spans="1:7" x14ac:dyDescent="0.25">
      <c r="A3180" s="3" t="s">
        <v>544</v>
      </c>
      <c r="B3180" s="6" t="s">
        <v>578</v>
      </c>
      <c r="C3180" s="6">
        <v>6</v>
      </c>
      <c r="D3180">
        <f t="shared" si="49"/>
        <v>144</v>
      </c>
      <c r="G3180" s="1"/>
    </row>
    <row r="3181" spans="1:7" x14ac:dyDescent="0.25">
      <c r="A3181" s="4" t="s">
        <v>544</v>
      </c>
      <c r="B3181" s="5" t="s">
        <v>579</v>
      </c>
      <c r="C3181" s="5">
        <v>39.416699999999999</v>
      </c>
      <c r="D3181">
        <f t="shared" si="49"/>
        <v>144</v>
      </c>
      <c r="G3181" s="1"/>
    </row>
    <row r="3182" spans="1:7" x14ac:dyDescent="0.25">
      <c r="A3182" s="3" t="s">
        <v>544</v>
      </c>
      <c r="B3182" s="6" t="s">
        <v>580</v>
      </c>
      <c r="C3182" s="6">
        <v>32798.571199999998</v>
      </c>
      <c r="D3182">
        <f t="shared" si="49"/>
        <v>144</v>
      </c>
      <c r="G3182" s="1"/>
    </row>
    <row r="3183" spans="1:7" x14ac:dyDescent="0.25">
      <c r="A3183" s="4" t="s">
        <v>544</v>
      </c>
      <c r="B3183" s="5" t="s">
        <v>581</v>
      </c>
      <c r="C3183" s="5">
        <v>0.34150000000000003</v>
      </c>
      <c r="D3183">
        <f t="shared" si="49"/>
        <v>144</v>
      </c>
      <c r="G3183" s="1"/>
    </row>
    <row r="3184" spans="1:7" x14ac:dyDescent="0.25">
      <c r="A3184" s="3" t="s">
        <v>544</v>
      </c>
      <c r="B3184" s="6" t="s">
        <v>582</v>
      </c>
      <c r="C3184" s="6">
        <v>132</v>
      </c>
      <c r="D3184">
        <f t="shared" si="49"/>
        <v>144</v>
      </c>
      <c r="G3184" s="1"/>
    </row>
    <row r="3185" spans="1:7" x14ac:dyDescent="0.25">
      <c r="A3185" s="4" t="s">
        <v>544</v>
      </c>
      <c r="B3185" s="5" t="s">
        <v>583</v>
      </c>
      <c r="C3185" s="5">
        <v>79</v>
      </c>
      <c r="D3185">
        <f t="shared" si="49"/>
        <v>144</v>
      </c>
      <c r="G3185" s="1"/>
    </row>
    <row r="3186" spans="1:7" x14ac:dyDescent="0.25">
      <c r="A3186" s="3" t="s">
        <v>544</v>
      </c>
      <c r="B3186" s="6" t="s">
        <v>584</v>
      </c>
      <c r="C3186" s="6">
        <v>832.09910000000002</v>
      </c>
      <c r="D3186">
        <f t="shared" si="49"/>
        <v>144</v>
      </c>
      <c r="G3186" s="1"/>
    </row>
    <row r="3187" spans="1:7" x14ac:dyDescent="0.25">
      <c r="A3187" s="4" t="s">
        <v>544</v>
      </c>
      <c r="B3187" s="5" t="s">
        <v>585</v>
      </c>
      <c r="C3187" s="5">
        <v>62</v>
      </c>
      <c r="D3187">
        <f t="shared" si="49"/>
        <v>144</v>
      </c>
      <c r="G3187" s="1"/>
    </row>
    <row r="3188" spans="1:7" x14ac:dyDescent="0.25">
      <c r="A3188" s="3" t="s">
        <v>544</v>
      </c>
      <c r="B3188" s="6" t="s">
        <v>586</v>
      </c>
      <c r="C3188" s="6">
        <v>0.1429</v>
      </c>
      <c r="D3188">
        <f t="shared" si="49"/>
        <v>144</v>
      </c>
      <c r="G3188" s="1"/>
    </row>
    <row r="3189" spans="1:7" x14ac:dyDescent="0.25">
      <c r="A3189" s="4" t="s">
        <v>544</v>
      </c>
      <c r="B3189" s="5" t="s">
        <v>587</v>
      </c>
      <c r="C3189" s="5">
        <v>1</v>
      </c>
      <c r="D3189">
        <f t="shared" si="49"/>
        <v>144</v>
      </c>
      <c r="G3189" s="1"/>
    </row>
    <row r="3190" spans="1:7" x14ac:dyDescent="0.25">
      <c r="A3190" s="3" t="s">
        <v>544</v>
      </c>
      <c r="B3190" s="6" t="s">
        <v>588</v>
      </c>
      <c r="C3190" s="6">
        <v>40.1586</v>
      </c>
      <c r="D3190">
        <f t="shared" si="49"/>
        <v>144</v>
      </c>
      <c r="G3190" s="1"/>
    </row>
    <row r="3191" spans="1:7" x14ac:dyDescent="0.25">
      <c r="A3191" s="4" t="s">
        <v>544</v>
      </c>
      <c r="B3191" s="5" t="s">
        <v>589</v>
      </c>
      <c r="C3191" s="5">
        <v>1</v>
      </c>
      <c r="D3191">
        <f t="shared" si="49"/>
        <v>144</v>
      </c>
      <c r="G3191" s="1"/>
    </row>
    <row r="3192" spans="1:7" x14ac:dyDescent="0.25">
      <c r="A3192" s="3" t="s">
        <v>544</v>
      </c>
      <c r="B3192" s="6" t="s">
        <v>590</v>
      </c>
      <c r="C3192" s="6">
        <v>9</v>
      </c>
      <c r="D3192">
        <f t="shared" si="49"/>
        <v>144</v>
      </c>
      <c r="G3192" s="1"/>
    </row>
    <row r="3193" spans="1:7" x14ac:dyDescent="0.25">
      <c r="A3193" s="4" t="s">
        <v>544</v>
      </c>
      <c r="B3193" s="5" t="s">
        <v>591</v>
      </c>
      <c r="C3193" s="5">
        <v>22</v>
      </c>
      <c r="D3193">
        <f t="shared" si="49"/>
        <v>144</v>
      </c>
      <c r="G3193" s="1"/>
    </row>
    <row r="3194" spans="1:7" x14ac:dyDescent="0.25">
      <c r="A3194" s="3" t="s">
        <v>544</v>
      </c>
      <c r="B3194" s="6" t="s">
        <v>592</v>
      </c>
      <c r="C3194" s="6">
        <v>1</v>
      </c>
      <c r="D3194">
        <f t="shared" si="49"/>
        <v>144</v>
      </c>
      <c r="G3194" s="1"/>
    </row>
    <row r="3195" spans="1:7" x14ac:dyDescent="0.25">
      <c r="A3195" s="4" t="s">
        <v>544</v>
      </c>
      <c r="B3195" s="5" t="s">
        <v>593</v>
      </c>
      <c r="C3195" s="5">
        <v>2</v>
      </c>
      <c r="D3195">
        <f t="shared" si="49"/>
        <v>144</v>
      </c>
      <c r="G3195" s="1"/>
    </row>
    <row r="3196" spans="1:7" x14ac:dyDescent="0.25">
      <c r="A3196" s="4" t="s">
        <v>545</v>
      </c>
      <c r="B3196" s="5" t="s">
        <v>574</v>
      </c>
      <c r="C3196" s="5">
        <v>0</v>
      </c>
      <c r="D3196">
        <f t="shared" si="49"/>
        <v>145</v>
      </c>
      <c r="G3196" s="1"/>
    </row>
    <row r="3197" spans="1:7" x14ac:dyDescent="0.25">
      <c r="A3197" s="3" t="s">
        <v>545</v>
      </c>
      <c r="B3197" s="6" t="s">
        <v>575</v>
      </c>
      <c r="C3197" s="6">
        <v>0</v>
      </c>
      <c r="D3197">
        <f t="shared" si="49"/>
        <v>145</v>
      </c>
      <c r="G3197" s="1"/>
    </row>
    <row r="3198" spans="1:7" x14ac:dyDescent="0.25">
      <c r="A3198" s="4" t="s">
        <v>545</v>
      </c>
      <c r="B3198" s="5" t="s">
        <v>576</v>
      </c>
      <c r="C3198" s="5">
        <v>0</v>
      </c>
      <c r="D3198">
        <f t="shared" si="49"/>
        <v>145</v>
      </c>
      <c r="G3198" s="1"/>
    </row>
    <row r="3199" spans="1:7" x14ac:dyDescent="0.25">
      <c r="A3199" s="3" t="s">
        <v>545</v>
      </c>
      <c r="B3199" s="6" t="s">
        <v>577</v>
      </c>
      <c r="C3199" s="6">
        <v>0</v>
      </c>
      <c r="D3199">
        <f t="shared" si="49"/>
        <v>145</v>
      </c>
      <c r="G3199" s="1"/>
    </row>
    <row r="3200" spans="1:7" x14ac:dyDescent="0.25">
      <c r="A3200" s="4" t="s">
        <v>545</v>
      </c>
      <c r="B3200" s="5" t="s">
        <v>578</v>
      </c>
      <c r="C3200" s="5">
        <v>0</v>
      </c>
      <c r="D3200">
        <f t="shared" si="49"/>
        <v>145</v>
      </c>
      <c r="G3200" s="1"/>
    </row>
    <row r="3201" spans="1:7" x14ac:dyDescent="0.25">
      <c r="A3201" s="3" t="s">
        <v>545</v>
      </c>
      <c r="B3201" s="6" t="s">
        <v>579</v>
      </c>
      <c r="C3201" s="6">
        <v>1</v>
      </c>
      <c r="D3201">
        <f t="shared" si="49"/>
        <v>145</v>
      </c>
      <c r="G3201" s="1"/>
    </row>
    <row r="3202" spans="1:7" x14ac:dyDescent="0.25">
      <c r="A3202" s="4" t="s">
        <v>545</v>
      </c>
      <c r="B3202" s="5" t="s">
        <v>580</v>
      </c>
      <c r="C3202" s="5">
        <v>30</v>
      </c>
      <c r="D3202">
        <f t="shared" si="49"/>
        <v>145</v>
      </c>
      <c r="G3202" s="1"/>
    </row>
    <row r="3203" spans="1:7" x14ac:dyDescent="0.25">
      <c r="A3203" s="3" t="s">
        <v>545</v>
      </c>
      <c r="B3203" s="6" t="s">
        <v>581</v>
      </c>
      <c r="C3203" s="6">
        <v>3.2000000000000002E-3</v>
      </c>
      <c r="D3203">
        <f t="shared" si="49"/>
        <v>145</v>
      </c>
      <c r="G3203" s="1"/>
    </row>
    <row r="3204" spans="1:7" x14ac:dyDescent="0.25">
      <c r="A3204" s="4" t="s">
        <v>545</v>
      </c>
      <c r="B3204" s="5" t="s">
        <v>582</v>
      </c>
      <c r="C3204" s="5">
        <v>10</v>
      </c>
      <c r="D3204">
        <f t="shared" ref="D3204:D3267" si="50">IF(B3204="CCM", D3203+1, D3203)</f>
        <v>145</v>
      </c>
      <c r="G3204" s="1"/>
    </row>
    <row r="3205" spans="1:7" x14ac:dyDescent="0.25">
      <c r="A3205" s="3" t="s">
        <v>545</v>
      </c>
      <c r="B3205" s="6" t="s">
        <v>583</v>
      </c>
      <c r="C3205" s="6">
        <v>8</v>
      </c>
      <c r="D3205">
        <f t="shared" si="50"/>
        <v>145</v>
      </c>
      <c r="G3205" s="1"/>
    </row>
    <row r="3206" spans="1:7" x14ac:dyDescent="0.25">
      <c r="A3206" s="4" t="s">
        <v>545</v>
      </c>
      <c r="B3206" s="5" t="s">
        <v>584</v>
      </c>
      <c r="C3206" s="5">
        <v>30</v>
      </c>
      <c r="D3206">
        <f t="shared" si="50"/>
        <v>145</v>
      </c>
      <c r="G3206" s="1"/>
    </row>
    <row r="3207" spans="1:7" x14ac:dyDescent="0.25">
      <c r="A3207" s="3" t="s">
        <v>545</v>
      </c>
      <c r="B3207" s="6" t="s">
        <v>585</v>
      </c>
      <c r="C3207" s="6">
        <v>7</v>
      </c>
      <c r="D3207">
        <f t="shared" si="50"/>
        <v>145</v>
      </c>
      <c r="G3207" s="1"/>
    </row>
    <row r="3208" spans="1:7" x14ac:dyDescent="0.25">
      <c r="A3208" s="4" t="s">
        <v>545</v>
      </c>
      <c r="B3208" s="5" t="s">
        <v>586</v>
      </c>
      <c r="C3208" s="5">
        <v>1</v>
      </c>
      <c r="D3208">
        <f t="shared" si="50"/>
        <v>145</v>
      </c>
      <c r="G3208" s="1"/>
    </row>
    <row r="3209" spans="1:7" x14ac:dyDescent="0.25">
      <c r="A3209" s="3" t="s">
        <v>545</v>
      </c>
      <c r="B3209" s="6" t="s">
        <v>587</v>
      </c>
      <c r="C3209" s="6">
        <v>0</v>
      </c>
      <c r="D3209">
        <f t="shared" si="50"/>
        <v>145</v>
      </c>
      <c r="G3209" s="1"/>
    </row>
    <row r="3210" spans="1:7" x14ac:dyDescent="0.25">
      <c r="A3210" s="4" t="s">
        <v>545</v>
      </c>
      <c r="B3210" s="5" t="s">
        <v>588</v>
      </c>
      <c r="C3210" s="5">
        <v>71.222200000000001</v>
      </c>
      <c r="D3210">
        <f t="shared" si="50"/>
        <v>145</v>
      </c>
      <c r="G3210" s="1"/>
    </row>
    <row r="3211" spans="1:7" x14ac:dyDescent="0.25">
      <c r="A3211" s="3" t="s">
        <v>545</v>
      </c>
      <c r="B3211" s="6" t="s">
        <v>589</v>
      </c>
      <c r="C3211" s="6">
        <v>0</v>
      </c>
      <c r="D3211">
        <f t="shared" si="50"/>
        <v>145</v>
      </c>
      <c r="G3211" s="1"/>
    </row>
    <row r="3212" spans="1:7" x14ac:dyDescent="0.25">
      <c r="A3212" s="4" t="s">
        <v>545</v>
      </c>
      <c r="B3212" s="5" t="s">
        <v>590</v>
      </c>
      <c r="C3212" s="5">
        <v>1</v>
      </c>
      <c r="D3212">
        <f t="shared" si="50"/>
        <v>145</v>
      </c>
      <c r="G3212" s="1"/>
    </row>
    <row r="3213" spans="1:7" x14ac:dyDescent="0.25">
      <c r="A3213" s="3" t="s">
        <v>545</v>
      </c>
      <c r="B3213" s="6" t="s">
        <v>591</v>
      </c>
      <c r="C3213" s="6">
        <v>6</v>
      </c>
      <c r="D3213">
        <f t="shared" si="50"/>
        <v>145</v>
      </c>
      <c r="G3213" s="1"/>
    </row>
    <row r="3214" spans="1:7" x14ac:dyDescent="0.25">
      <c r="A3214" s="4" t="s">
        <v>545</v>
      </c>
      <c r="B3214" s="5" t="s">
        <v>592</v>
      </c>
      <c r="C3214" s="5">
        <v>0</v>
      </c>
      <c r="D3214">
        <f t="shared" si="50"/>
        <v>145</v>
      </c>
      <c r="G3214" s="1"/>
    </row>
    <row r="3215" spans="1:7" x14ac:dyDescent="0.25">
      <c r="A3215" s="3" t="s">
        <v>545</v>
      </c>
      <c r="B3215" s="6" t="s">
        <v>593</v>
      </c>
      <c r="C3215" s="6">
        <v>3</v>
      </c>
      <c r="D3215">
        <f t="shared" si="50"/>
        <v>145</v>
      </c>
      <c r="G3215" s="1"/>
    </row>
    <row r="3216" spans="1:7" x14ac:dyDescent="0.25">
      <c r="A3216" s="4" t="s">
        <v>546</v>
      </c>
      <c r="B3216" s="5" t="s">
        <v>574</v>
      </c>
      <c r="C3216" s="5">
        <v>0</v>
      </c>
      <c r="D3216">
        <f t="shared" si="50"/>
        <v>146</v>
      </c>
      <c r="G3216" s="1"/>
    </row>
    <row r="3217" spans="1:7" x14ac:dyDescent="0.25">
      <c r="A3217" s="3" t="s">
        <v>546</v>
      </c>
      <c r="B3217" s="6" t="s">
        <v>575</v>
      </c>
      <c r="C3217" s="6">
        <v>0</v>
      </c>
      <c r="D3217">
        <f t="shared" si="50"/>
        <v>146</v>
      </c>
      <c r="G3217" s="1"/>
    </row>
    <row r="3218" spans="1:7" x14ac:dyDescent="0.25">
      <c r="A3218" s="4" t="s">
        <v>546</v>
      </c>
      <c r="B3218" s="5" t="s">
        <v>576</v>
      </c>
      <c r="C3218" s="5">
        <v>1</v>
      </c>
      <c r="D3218">
        <f t="shared" si="50"/>
        <v>146</v>
      </c>
      <c r="G3218" s="1"/>
    </row>
    <row r="3219" spans="1:7" x14ac:dyDescent="0.25">
      <c r="A3219" s="3" t="s">
        <v>546</v>
      </c>
      <c r="B3219" s="6" t="s">
        <v>577</v>
      </c>
      <c r="C3219" s="6">
        <v>2</v>
      </c>
      <c r="D3219">
        <f t="shared" si="50"/>
        <v>146</v>
      </c>
      <c r="G3219" s="1"/>
    </row>
    <row r="3220" spans="1:7" x14ac:dyDescent="0.25">
      <c r="A3220" s="4" t="s">
        <v>546</v>
      </c>
      <c r="B3220" s="5" t="s">
        <v>578</v>
      </c>
      <c r="C3220" s="5">
        <v>0</v>
      </c>
      <c r="D3220">
        <f t="shared" si="50"/>
        <v>146</v>
      </c>
      <c r="G3220" s="1"/>
    </row>
    <row r="3221" spans="1:7" x14ac:dyDescent="0.25">
      <c r="A3221" s="3" t="s">
        <v>546</v>
      </c>
      <c r="B3221" s="6" t="s">
        <v>579</v>
      </c>
      <c r="C3221" s="6">
        <v>2.5</v>
      </c>
      <c r="D3221">
        <f t="shared" si="50"/>
        <v>146</v>
      </c>
      <c r="G3221" s="1"/>
    </row>
    <row r="3222" spans="1:7" x14ac:dyDescent="0.25">
      <c r="A3222" s="4" t="s">
        <v>546</v>
      </c>
      <c r="B3222" s="5" t="s">
        <v>580</v>
      </c>
      <c r="C3222" s="5">
        <v>49.128700000000002</v>
      </c>
      <c r="D3222">
        <f t="shared" si="50"/>
        <v>146</v>
      </c>
      <c r="G3222" s="1"/>
    </row>
    <row r="3223" spans="1:7" x14ac:dyDescent="0.25">
      <c r="A3223" s="3" t="s">
        <v>546</v>
      </c>
      <c r="B3223" s="6" t="s">
        <v>581</v>
      </c>
      <c r="C3223" s="6">
        <v>4.4999999999999997E-3</v>
      </c>
      <c r="D3223">
        <f t="shared" si="50"/>
        <v>146</v>
      </c>
      <c r="G3223" s="1"/>
    </row>
    <row r="3224" spans="1:7" x14ac:dyDescent="0.25">
      <c r="A3224" s="4" t="s">
        <v>546</v>
      </c>
      <c r="B3224" s="5" t="s">
        <v>582</v>
      </c>
      <c r="C3224" s="5">
        <v>7</v>
      </c>
      <c r="D3224">
        <f t="shared" si="50"/>
        <v>146</v>
      </c>
      <c r="G3224" s="1"/>
    </row>
    <row r="3225" spans="1:7" x14ac:dyDescent="0.25">
      <c r="A3225" s="3" t="s">
        <v>546</v>
      </c>
      <c r="B3225" s="6" t="s">
        <v>583</v>
      </c>
      <c r="C3225" s="6">
        <v>7</v>
      </c>
      <c r="D3225">
        <f t="shared" si="50"/>
        <v>146</v>
      </c>
      <c r="G3225" s="1"/>
    </row>
    <row r="3226" spans="1:7" x14ac:dyDescent="0.25">
      <c r="A3226" s="4" t="s">
        <v>546</v>
      </c>
      <c r="B3226" s="5" t="s">
        <v>584</v>
      </c>
      <c r="C3226" s="5">
        <v>19.651499999999999</v>
      </c>
      <c r="D3226">
        <f t="shared" si="50"/>
        <v>146</v>
      </c>
      <c r="G3226" s="1"/>
    </row>
    <row r="3227" spans="1:7" x14ac:dyDescent="0.25">
      <c r="A3227" s="3" t="s">
        <v>546</v>
      </c>
      <c r="B3227" s="6" t="s">
        <v>585</v>
      </c>
      <c r="C3227" s="6">
        <v>4</v>
      </c>
      <c r="D3227">
        <f t="shared" si="50"/>
        <v>146</v>
      </c>
      <c r="G3227" s="1"/>
    </row>
    <row r="3228" spans="1:7" x14ac:dyDescent="0.25">
      <c r="A3228" s="4" t="s">
        <v>546</v>
      </c>
      <c r="B3228" s="5" t="s">
        <v>586</v>
      </c>
      <c r="C3228" s="5">
        <v>0</v>
      </c>
      <c r="D3228">
        <f t="shared" si="50"/>
        <v>146</v>
      </c>
      <c r="G3228" s="1"/>
    </row>
    <row r="3229" spans="1:7" x14ac:dyDescent="0.25">
      <c r="A3229" s="3" t="s">
        <v>546</v>
      </c>
      <c r="B3229" s="6" t="s">
        <v>587</v>
      </c>
      <c r="C3229" s="6">
        <v>0</v>
      </c>
      <c r="D3229">
        <f t="shared" si="50"/>
        <v>146</v>
      </c>
      <c r="G3229" s="1"/>
    </row>
    <row r="3230" spans="1:7" x14ac:dyDescent="0.25">
      <c r="A3230" s="4" t="s">
        <v>546</v>
      </c>
      <c r="B3230" s="5" t="s">
        <v>588</v>
      </c>
      <c r="C3230" s="5">
        <v>77.912800000000004</v>
      </c>
      <c r="D3230">
        <f t="shared" si="50"/>
        <v>146</v>
      </c>
      <c r="G3230" s="1"/>
    </row>
    <row r="3231" spans="1:7" x14ac:dyDescent="0.25">
      <c r="A3231" s="3" t="s">
        <v>546</v>
      </c>
      <c r="B3231" s="6" t="s">
        <v>589</v>
      </c>
      <c r="C3231" s="6">
        <v>0</v>
      </c>
      <c r="D3231">
        <f t="shared" si="50"/>
        <v>146</v>
      </c>
      <c r="G3231" s="1"/>
    </row>
    <row r="3232" spans="1:7" x14ac:dyDescent="0.25">
      <c r="A3232" s="4" t="s">
        <v>546</v>
      </c>
      <c r="B3232" s="5" t="s">
        <v>590</v>
      </c>
      <c r="C3232" s="5">
        <v>1</v>
      </c>
      <c r="D3232">
        <f t="shared" si="50"/>
        <v>146</v>
      </c>
      <c r="G3232" s="1"/>
    </row>
    <row r="3233" spans="1:7" x14ac:dyDescent="0.25">
      <c r="A3233" s="3" t="s">
        <v>546</v>
      </c>
      <c r="B3233" s="6" t="s">
        <v>591</v>
      </c>
      <c r="C3233" s="6">
        <v>2</v>
      </c>
      <c r="D3233">
        <f t="shared" si="50"/>
        <v>146</v>
      </c>
      <c r="G3233" s="1"/>
    </row>
    <row r="3234" spans="1:7" x14ac:dyDescent="0.25">
      <c r="A3234" s="4" t="s">
        <v>546</v>
      </c>
      <c r="B3234" s="5" t="s">
        <v>592</v>
      </c>
      <c r="C3234" s="5">
        <v>0</v>
      </c>
      <c r="D3234">
        <f t="shared" si="50"/>
        <v>146</v>
      </c>
      <c r="G3234" s="1"/>
    </row>
    <row r="3235" spans="1:7" x14ac:dyDescent="0.25">
      <c r="A3235" s="3" t="s">
        <v>546</v>
      </c>
      <c r="B3235" s="6" t="s">
        <v>593</v>
      </c>
      <c r="C3235" s="6">
        <v>2</v>
      </c>
      <c r="D3235">
        <f t="shared" si="50"/>
        <v>146</v>
      </c>
      <c r="G3235" s="1"/>
    </row>
    <row r="3236" spans="1:7" x14ac:dyDescent="0.25">
      <c r="A3236" s="4" t="s">
        <v>547</v>
      </c>
      <c r="B3236" s="5" t="s">
        <v>574</v>
      </c>
      <c r="C3236" s="5">
        <v>6</v>
      </c>
      <c r="D3236">
        <f t="shared" si="50"/>
        <v>147</v>
      </c>
      <c r="G3236" s="1"/>
    </row>
    <row r="3237" spans="1:7" x14ac:dyDescent="0.25">
      <c r="A3237" s="3" t="s">
        <v>547</v>
      </c>
      <c r="B3237" s="6" t="s">
        <v>575</v>
      </c>
      <c r="C3237" s="6">
        <v>1</v>
      </c>
      <c r="D3237">
        <f t="shared" si="50"/>
        <v>147</v>
      </c>
      <c r="G3237" s="1"/>
    </row>
    <row r="3238" spans="1:7" x14ac:dyDescent="0.25">
      <c r="A3238" s="4" t="s">
        <v>547</v>
      </c>
      <c r="B3238" s="5" t="s">
        <v>576</v>
      </c>
      <c r="C3238" s="5">
        <v>0.5</v>
      </c>
      <c r="D3238">
        <f t="shared" si="50"/>
        <v>147</v>
      </c>
      <c r="G3238" s="1"/>
    </row>
    <row r="3239" spans="1:7" x14ac:dyDescent="0.25">
      <c r="A3239" s="3" t="s">
        <v>547</v>
      </c>
      <c r="B3239" s="6" t="s">
        <v>577</v>
      </c>
      <c r="C3239" s="6">
        <v>12</v>
      </c>
      <c r="D3239">
        <f t="shared" si="50"/>
        <v>147</v>
      </c>
      <c r="G3239" s="1"/>
    </row>
    <row r="3240" spans="1:7" x14ac:dyDescent="0.25">
      <c r="A3240" s="4" t="s">
        <v>547</v>
      </c>
      <c r="B3240" s="5" t="s">
        <v>578</v>
      </c>
      <c r="C3240" s="5">
        <v>3</v>
      </c>
      <c r="D3240">
        <f t="shared" si="50"/>
        <v>147</v>
      </c>
      <c r="G3240" s="1"/>
    </row>
    <row r="3241" spans="1:7" x14ac:dyDescent="0.25">
      <c r="A3241" s="3" t="s">
        <v>547</v>
      </c>
      <c r="B3241" s="6" t="s">
        <v>579</v>
      </c>
      <c r="C3241" s="6">
        <v>24.0625</v>
      </c>
      <c r="D3241">
        <f t="shared" si="50"/>
        <v>147</v>
      </c>
      <c r="G3241" s="1"/>
    </row>
    <row r="3242" spans="1:7" x14ac:dyDescent="0.25">
      <c r="A3242" s="4" t="s">
        <v>547</v>
      </c>
      <c r="B3242" s="5" t="s">
        <v>580</v>
      </c>
      <c r="C3242" s="5">
        <v>11761.1466</v>
      </c>
      <c r="D3242">
        <f t="shared" si="50"/>
        <v>147</v>
      </c>
      <c r="G3242" s="1"/>
    </row>
    <row r="3243" spans="1:7" x14ac:dyDescent="0.25">
      <c r="A3243" s="3" t="s">
        <v>547</v>
      </c>
      <c r="B3243" s="6" t="s">
        <v>581</v>
      </c>
      <c r="C3243" s="6">
        <v>0.1724</v>
      </c>
      <c r="D3243">
        <f t="shared" si="50"/>
        <v>147</v>
      </c>
      <c r="G3243" s="1"/>
    </row>
    <row r="3244" spans="1:7" x14ac:dyDescent="0.25">
      <c r="A3244" s="4" t="s">
        <v>547</v>
      </c>
      <c r="B3244" s="5" t="s">
        <v>582</v>
      </c>
      <c r="C3244" s="5">
        <v>89</v>
      </c>
      <c r="D3244">
        <f t="shared" si="50"/>
        <v>147</v>
      </c>
      <c r="G3244" s="1"/>
    </row>
    <row r="3245" spans="1:7" x14ac:dyDescent="0.25">
      <c r="A3245" s="3" t="s">
        <v>547</v>
      </c>
      <c r="B3245" s="6" t="s">
        <v>583</v>
      </c>
      <c r="C3245" s="6">
        <v>45</v>
      </c>
      <c r="D3245">
        <f t="shared" si="50"/>
        <v>147</v>
      </c>
      <c r="G3245" s="1"/>
    </row>
    <row r="3246" spans="1:7" x14ac:dyDescent="0.25">
      <c r="A3246" s="4" t="s">
        <v>547</v>
      </c>
      <c r="B3246" s="5" t="s">
        <v>584</v>
      </c>
      <c r="C3246" s="5">
        <v>488.7749</v>
      </c>
      <c r="D3246">
        <f t="shared" si="50"/>
        <v>147</v>
      </c>
      <c r="G3246" s="1"/>
    </row>
    <row r="3247" spans="1:7" x14ac:dyDescent="0.25">
      <c r="A3247" s="3" t="s">
        <v>547</v>
      </c>
      <c r="B3247" s="6" t="s">
        <v>585</v>
      </c>
      <c r="C3247" s="6">
        <v>38</v>
      </c>
      <c r="D3247">
        <f t="shared" si="50"/>
        <v>147</v>
      </c>
      <c r="G3247" s="1"/>
    </row>
    <row r="3248" spans="1:7" x14ac:dyDescent="0.25">
      <c r="A3248" s="4" t="s">
        <v>547</v>
      </c>
      <c r="B3248" s="5" t="s">
        <v>586</v>
      </c>
      <c r="C3248" s="5">
        <v>0</v>
      </c>
      <c r="D3248">
        <f t="shared" si="50"/>
        <v>147</v>
      </c>
      <c r="G3248" s="1"/>
    </row>
    <row r="3249" spans="1:7" x14ac:dyDescent="0.25">
      <c r="A3249" s="3" t="s">
        <v>547</v>
      </c>
      <c r="B3249" s="6" t="s">
        <v>587</v>
      </c>
      <c r="C3249" s="6">
        <v>1</v>
      </c>
      <c r="D3249">
        <f t="shared" si="50"/>
        <v>147</v>
      </c>
      <c r="G3249" s="1"/>
    </row>
    <row r="3250" spans="1:7" x14ac:dyDescent="0.25">
      <c r="A3250" s="4" t="s">
        <v>547</v>
      </c>
      <c r="B3250" s="5" t="s">
        <v>588</v>
      </c>
      <c r="C3250" s="5">
        <v>46.473300000000002</v>
      </c>
      <c r="D3250">
        <f t="shared" si="50"/>
        <v>147</v>
      </c>
      <c r="G3250" s="1"/>
    </row>
    <row r="3251" spans="1:7" x14ac:dyDescent="0.25">
      <c r="A3251" s="3" t="s">
        <v>547</v>
      </c>
      <c r="B3251" s="6" t="s">
        <v>589</v>
      </c>
      <c r="C3251" s="6">
        <v>2</v>
      </c>
      <c r="D3251">
        <f t="shared" si="50"/>
        <v>147</v>
      </c>
      <c r="G3251" s="1"/>
    </row>
    <row r="3252" spans="1:7" x14ac:dyDescent="0.25">
      <c r="A3252" s="4" t="s">
        <v>547</v>
      </c>
      <c r="B3252" s="5" t="s">
        <v>590</v>
      </c>
      <c r="C3252" s="5">
        <v>6</v>
      </c>
      <c r="D3252">
        <f t="shared" si="50"/>
        <v>147</v>
      </c>
      <c r="G3252" s="1"/>
    </row>
    <row r="3253" spans="1:7" x14ac:dyDescent="0.25">
      <c r="A3253" s="3" t="s">
        <v>547</v>
      </c>
      <c r="B3253" s="6" t="s">
        <v>591</v>
      </c>
      <c r="C3253" s="6">
        <v>17</v>
      </c>
      <c r="D3253">
        <f t="shared" si="50"/>
        <v>147</v>
      </c>
      <c r="G3253" s="1"/>
    </row>
    <row r="3254" spans="1:7" x14ac:dyDescent="0.25">
      <c r="A3254" s="4" t="s">
        <v>547</v>
      </c>
      <c r="B3254" s="5" t="s">
        <v>592</v>
      </c>
      <c r="C3254" s="5">
        <v>1</v>
      </c>
      <c r="D3254">
        <f t="shared" si="50"/>
        <v>147</v>
      </c>
      <c r="G3254" s="1"/>
    </row>
    <row r="3255" spans="1:7" x14ac:dyDescent="0.25">
      <c r="A3255" s="3" t="s">
        <v>547</v>
      </c>
      <c r="B3255" s="6" t="s">
        <v>593</v>
      </c>
      <c r="C3255" s="6">
        <v>3</v>
      </c>
      <c r="D3255">
        <f t="shared" si="50"/>
        <v>147</v>
      </c>
      <c r="G3255" s="1"/>
    </row>
    <row r="3256" spans="1:7" x14ac:dyDescent="0.25">
      <c r="A3256" s="4" t="s">
        <v>548</v>
      </c>
      <c r="B3256" s="5" t="s">
        <v>574</v>
      </c>
      <c r="C3256" s="5">
        <v>9</v>
      </c>
      <c r="D3256">
        <f t="shared" si="50"/>
        <v>148</v>
      </c>
      <c r="G3256" s="1"/>
    </row>
    <row r="3257" spans="1:7" x14ac:dyDescent="0.25">
      <c r="A3257" s="3" t="s">
        <v>548</v>
      </c>
      <c r="B3257" s="6" t="s">
        <v>575</v>
      </c>
      <c r="C3257" s="6">
        <v>1</v>
      </c>
      <c r="D3257">
        <f t="shared" si="50"/>
        <v>148</v>
      </c>
      <c r="G3257" s="1"/>
    </row>
    <row r="3258" spans="1:7" x14ac:dyDescent="0.25">
      <c r="A3258" s="4" t="s">
        <v>548</v>
      </c>
      <c r="B3258" s="5" t="s">
        <v>576</v>
      </c>
      <c r="C3258" s="5">
        <v>0.47370000000000001</v>
      </c>
      <c r="D3258">
        <f t="shared" si="50"/>
        <v>148</v>
      </c>
      <c r="G3258" s="1"/>
    </row>
    <row r="3259" spans="1:7" x14ac:dyDescent="0.25">
      <c r="A3259" s="3" t="s">
        <v>548</v>
      </c>
      <c r="B3259" s="6" t="s">
        <v>577</v>
      </c>
      <c r="C3259" s="6">
        <v>17</v>
      </c>
      <c r="D3259">
        <f t="shared" si="50"/>
        <v>148</v>
      </c>
      <c r="G3259" s="1"/>
    </row>
    <row r="3260" spans="1:7" x14ac:dyDescent="0.25">
      <c r="A3260" s="4" t="s">
        <v>548</v>
      </c>
      <c r="B3260" s="5" t="s">
        <v>578</v>
      </c>
      <c r="C3260" s="5">
        <v>7</v>
      </c>
      <c r="D3260">
        <f t="shared" si="50"/>
        <v>148</v>
      </c>
      <c r="G3260" s="1"/>
    </row>
    <row r="3261" spans="1:7" x14ac:dyDescent="0.25">
      <c r="A3261" s="3" t="s">
        <v>548</v>
      </c>
      <c r="B3261" s="6" t="s">
        <v>579</v>
      </c>
      <c r="C3261" s="6">
        <v>32.410299999999999</v>
      </c>
      <c r="D3261">
        <f t="shared" si="50"/>
        <v>148</v>
      </c>
      <c r="G3261" s="1"/>
    </row>
    <row r="3262" spans="1:7" x14ac:dyDescent="0.25">
      <c r="A3262" s="4" t="s">
        <v>548</v>
      </c>
      <c r="B3262" s="5" t="s">
        <v>580</v>
      </c>
      <c r="C3262" s="5">
        <v>25910.934499999999</v>
      </c>
      <c r="D3262">
        <f t="shared" si="50"/>
        <v>148</v>
      </c>
      <c r="G3262" s="1"/>
    </row>
    <row r="3263" spans="1:7" x14ac:dyDescent="0.25">
      <c r="A3263" s="3" t="s">
        <v>548</v>
      </c>
      <c r="B3263" s="6" t="s">
        <v>581</v>
      </c>
      <c r="C3263" s="6">
        <v>0.29189999999999999</v>
      </c>
      <c r="D3263">
        <f t="shared" si="50"/>
        <v>148</v>
      </c>
      <c r="G3263" s="1"/>
    </row>
    <row r="3264" spans="1:7" x14ac:dyDescent="0.25">
      <c r="A3264" s="4" t="s">
        <v>548</v>
      </c>
      <c r="B3264" s="5" t="s">
        <v>582</v>
      </c>
      <c r="C3264" s="5">
        <v>130</v>
      </c>
      <c r="D3264">
        <f t="shared" si="50"/>
        <v>148</v>
      </c>
      <c r="G3264" s="1"/>
    </row>
    <row r="3265" spans="1:7" x14ac:dyDescent="0.25">
      <c r="A3265" s="3" t="s">
        <v>548</v>
      </c>
      <c r="B3265" s="6" t="s">
        <v>583</v>
      </c>
      <c r="C3265" s="6">
        <v>71</v>
      </c>
      <c r="D3265">
        <f t="shared" si="50"/>
        <v>148</v>
      </c>
      <c r="G3265" s="1"/>
    </row>
    <row r="3266" spans="1:7" x14ac:dyDescent="0.25">
      <c r="A3266" s="4" t="s">
        <v>548</v>
      </c>
      <c r="B3266" s="5" t="s">
        <v>584</v>
      </c>
      <c r="C3266" s="5">
        <v>799.46709999999996</v>
      </c>
      <c r="D3266">
        <f t="shared" si="50"/>
        <v>148</v>
      </c>
      <c r="G3266" s="1"/>
    </row>
    <row r="3267" spans="1:7" x14ac:dyDescent="0.25">
      <c r="A3267" s="3" t="s">
        <v>548</v>
      </c>
      <c r="B3267" s="6" t="s">
        <v>585</v>
      </c>
      <c r="C3267" s="6">
        <v>60</v>
      </c>
      <c r="D3267">
        <f t="shared" si="50"/>
        <v>148</v>
      </c>
      <c r="G3267" s="1"/>
    </row>
    <row r="3268" spans="1:7" x14ac:dyDescent="0.25">
      <c r="A3268" s="4" t="s">
        <v>548</v>
      </c>
      <c r="B3268" s="5" t="s">
        <v>586</v>
      </c>
      <c r="C3268" s="5">
        <v>0.15790000000000001</v>
      </c>
      <c r="D3268">
        <f t="shared" ref="D3268:D3331" si="51">IF(B3268="CCM", D3267+1, D3267)</f>
        <v>148</v>
      </c>
      <c r="G3268" s="1"/>
    </row>
    <row r="3269" spans="1:7" x14ac:dyDescent="0.25">
      <c r="A3269" s="3" t="s">
        <v>548</v>
      </c>
      <c r="B3269" s="6" t="s">
        <v>587</v>
      </c>
      <c r="C3269" s="6">
        <v>1</v>
      </c>
      <c r="D3269">
        <f t="shared" si="51"/>
        <v>148</v>
      </c>
      <c r="G3269" s="1"/>
    </row>
    <row r="3270" spans="1:7" x14ac:dyDescent="0.25">
      <c r="A3270" s="4" t="s">
        <v>548</v>
      </c>
      <c r="B3270" s="5" t="s">
        <v>588</v>
      </c>
      <c r="C3270" s="5">
        <v>40.553600000000003</v>
      </c>
      <c r="D3270">
        <f t="shared" si="51"/>
        <v>148</v>
      </c>
      <c r="G3270" s="1"/>
    </row>
    <row r="3271" spans="1:7" x14ac:dyDescent="0.25">
      <c r="A3271" s="3" t="s">
        <v>548</v>
      </c>
      <c r="B3271" s="6" t="s">
        <v>589</v>
      </c>
      <c r="C3271" s="6">
        <v>2</v>
      </c>
      <c r="D3271">
        <f t="shared" si="51"/>
        <v>148</v>
      </c>
      <c r="G3271" s="1"/>
    </row>
    <row r="3272" spans="1:7" x14ac:dyDescent="0.25">
      <c r="A3272" s="4" t="s">
        <v>548</v>
      </c>
      <c r="B3272" s="5" t="s">
        <v>590</v>
      </c>
      <c r="C3272" s="5">
        <v>12</v>
      </c>
      <c r="D3272">
        <f t="shared" si="51"/>
        <v>148</v>
      </c>
      <c r="G3272" s="1"/>
    </row>
    <row r="3273" spans="1:7" x14ac:dyDescent="0.25">
      <c r="A3273" s="3" t="s">
        <v>548</v>
      </c>
      <c r="B3273" s="6" t="s">
        <v>591</v>
      </c>
      <c r="C3273" s="6">
        <v>23</v>
      </c>
      <c r="D3273">
        <f t="shared" si="51"/>
        <v>148</v>
      </c>
      <c r="G3273" s="1"/>
    </row>
    <row r="3274" spans="1:7" x14ac:dyDescent="0.25">
      <c r="A3274" s="4" t="s">
        <v>548</v>
      </c>
      <c r="B3274" s="5" t="s">
        <v>592</v>
      </c>
      <c r="C3274" s="5">
        <v>1</v>
      </c>
      <c r="D3274">
        <f t="shared" si="51"/>
        <v>148</v>
      </c>
      <c r="G3274" s="1"/>
    </row>
    <row r="3275" spans="1:7" x14ac:dyDescent="0.25">
      <c r="A3275" s="3" t="s">
        <v>548</v>
      </c>
      <c r="B3275" s="6" t="s">
        <v>593</v>
      </c>
      <c r="C3275" s="6">
        <v>2</v>
      </c>
      <c r="D3275">
        <f t="shared" si="51"/>
        <v>148</v>
      </c>
      <c r="G3275" s="1"/>
    </row>
    <row r="3276" spans="1:7" x14ac:dyDescent="0.25">
      <c r="A3276" s="4" t="s">
        <v>549</v>
      </c>
      <c r="B3276" s="5" t="s">
        <v>574</v>
      </c>
      <c r="C3276" s="5">
        <v>4</v>
      </c>
      <c r="D3276">
        <f t="shared" si="51"/>
        <v>149</v>
      </c>
      <c r="G3276" s="1"/>
    </row>
    <row r="3277" spans="1:7" x14ac:dyDescent="0.25">
      <c r="A3277" s="3" t="s">
        <v>549</v>
      </c>
      <c r="B3277" s="6" t="s">
        <v>575</v>
      </c>
      <c r="C3277" s="6">
        <v>1</v>
      </c>
      <c r="D3277">
        <f t="shared" si="51"/>
        <v>149</v>
      </c>
      <c r="G3277" s="1"/>
    </row>
    <row r="3278" spans="1:7" x14ac:dyDescent="0.25">
      <c r="A3278" s="4" t="s">
        <v>549</v>
      </c>
      <c r="B3278" s="5" t="s">
        <v>576</v>
      </c>
      <c r="C3278" s="5">
        <v>0.71430000000000005</v>
      </c>
      <c r="D3278">
        <f t="shared" si="51"/>
        <v>149</v>
      </c>
      <c r="G3278" s="1"/>
    </row>
    <row r="3279" spans="1:7" x14ac:dyDescent="0.25">
      <c r="A3279" s="3" t="s">
        <v>549</v>
      </c>
      <c r="B3279" s="6" t="s">
        <v>577</v>
      </c>
      <c r="C3279" s="6">
        <v>6</v>
      </c>
      <c r="D3279">
        <f t="shared" si="51"/>
        <v>149</v>
      </c>
      <c r="G3279" s="1"/>
    </row>
    <row r="3280" spans="1:7" x14ac:dyDescent="0.25">
      <c r="A3280" s="4" t="s">
        <v>549</v>
      </c>
      <c r="B3280" s="5" t="s">
        <v>578</v>
      </c>
      <c r="C3280" s="5">
        <v>5</v>
      </c>
      <c r="D3280">
        <f t="shared" si="51"/>
        <v>149</v>
      </c>
      <c r="G3280" s="1"/>
    </row>
    <row r="3281" spans="1:7" x14ac:dyDescent="0.25">
      <c r="A3281" s="3" t="s">
        <v>549</v>
      </c>
      <c r="B3281" s="6" t="s">
        <v>579</v>
      </c>
      <c r="C3281" s="6">
        <v>13.975</v>
      </c>
      <c r="D3281">
        <f t="shared" si="51"/>
        <v>149</v>
      </c>
      <c r="G3281" s="1"/>
    </row>
    <row r="3282" spans="1:7" x14ac:dyDescent="0.25">
      <c r="A3282" s="4" t="s">
        <v>549</v>
      </c>
      <c r="B3282" s="5" t="s">
        <v>580</v>
      </c>
      <c r="C3282" s="5">
        <v>4511.7061000000003</v>
      </c>
      <c r="D3282">
        <f t="shared" si="51"/>
        <v>149</v>
      </c>
      <c r="G3282" s="1"/>
    </row>
    <row r="3283" spans="1:7" x14ac:dyDescent="0.25">
      <c r="A3283" s="3" t="s">
        <v>549</v>
      </c>
      <c r="B3283" s="6" t="s">
        <v>581</v>
      </c>
      <c r="C3283" s="6">
        <v>9.0999999999999998E-2</v>
      </c>
      <c r="D3283">
        <f t="shared" si="51"/>
        <v>149</v>
      </c>
      <c r="G3283" s="1"/>
    </row>
    <row r="3284" spans="1:7" x14ac:dyDescent="0.25">
      <c r="A3284" s="4" t="s">
        <v>549</v>
      </c>
      <c r="B3284" s="5" t="s">
        <v>582</v>
      </c>
      <c r="C3284" s="5">
        <v>64</v>
      </c>
      <c r="D3284">
        <f t="shared" si="51"/>
        <v>149</v>
      </c>
      <c r="G3284" s="1"/>
    </row>
    <row r="3285" spans="1:7" x14ac:dyDescent="0.25">
      <c r="A3285" s="3" t="s">
        <v>549</v>
      </c>
      <c r="B3285" s="6" t="s">
        <v>583</v>
      </c>
      <c r="C3285" s="6">
        <v>33</v>
      </c>
      <c r="D3285">
        <f t="shared" si="51"/>
        <v>149</v>
      </c>
      <c r="G3285" s="1"/>
    </row>
    <row r="3286" spans="1:7" x14ac:dyDescent="0.25">
      <c r="A3286" s="4" t="s">
        <v>549</v>
      </c>
      <c r="B3286" s="5" t="s">
        <v>584</v>
      </c>
      <c r="C3286" s="5">
        <v>322.84120000000001</v>
      </c>
      <c r="D3286">
        <f t="shared" si="51"/>
        <v>149</v>
      </c>
      <c r="G3286" s="1"/>
    </row>
    <row r="3287" spans="1:7" x14ac:dyDescent="0.25">
      <c r="A3287" s="3" t="s">
        <v>549</v>
      </c>
      <c r="B3287" s="6" t="s">
        <v>585</v>
      </c>
      <c r="C3287" s="6">
        <v>29</v>
      </c>
      <c r="D3287">
        <f t="shared" si="51"/>
        <v>149</v>
      </c>
      <c r="G3287" s="1"/>
    </row>
    <row r="3288" spans="1:7" x14ac:dyDescent="0.25">
      <c r="A3288" s="4" t="s">
        <v>549</v>
      </c>
      <c r="B3288" s="5" t="s">
        <v>586</v>
      </c>
      <c r="C3288" s="5">
        <v>9.0899999999999995E-2</v>
      </c>
      <c r="D3288">
        <f t="shared" si="51"/>
        <v>149</v>
      </c>
      <c r="G3288" s="1"/>
    </row>
    <row r="3289" spans="1:7" x14ac:dyDescent="0.25">
      <c r="A3289" s="3" t="s">
        <v>549</v>
      </c>
      <c r="B3289" s="6" t="s">
        <v>587</v>
      </c>
      <c r="C3289" s="6">
        <v>0</v>
      </c>
      <c r="D3289">
        <f t="shared" si="51"/>
        <v>149</v>
      </c>
      <c r="G3289" s="1"/>
    </row>
    <row r="3290" spans="1:7" x14ac:dyDescent="0.25">
      <c r="A3290" s="4" t="s">
        <v>549</v>
      </c>
      <c r="B3290" s="5" t="s">
        <v>588</v>
      </c>
      <c r="C3290" s="5">
        <v>50.322800000000001</v>
      </c>
      <c r="D3290">
        <f t="shared" si="51"/>
        <v>149</v>
      </c>
      <c r="G3290" s="1"/>
    </row>
    <row r="3291" spans="1:7" x14ac:dyDescent="0.25">
      <c r="A3291" s="3" t="s">
        <v>549</v>
      </c>
      <c r="B3291" s="6" t="s">
        <v>589</v>
      </c>
      <c r="C3291" s="6">
        <v>1</v>
      </c>
      <c r="D3291">
        <f t="shared" si="51"/>
        <v>149</v>
      </c>
      <c r="G3291" s="1"/>
    </row>
    <row r="3292" spans="1:7" x14ac:dyDescent="0.25">
      <c r="A3292" s="4" t="s">
        <v>549</v>
      </c>
      <c r="B3292" s="5" t="s">
        <v>590</v>
      </c>
      <c r="C3292" s="5">
        <v>5</v>
      </c>
      <c r="D3292">
        <f t="shared" si="51"/>
        <v>149</v>
      </c>
      <c r="G3292" s="1"/>
    </row>
    <row r="3293" spans="1:7" x14ac:dyDescent="0.25">
      <c r="A3293" s="3" t="s">
        <v>549</v>
      </c>
      <c r="B3293" s="6" t="s">
        <v>591</v>
      </c>
      <c r="C3293" s="6">
        <v>12</v>
      </c>
      <c r="D3293">
        <f t="shared" si="51"/>
        <v>149</v>
      </c>
      <c r="G3293" s="1"/>
    </row>
    <row r="3294" spans="1:7" x14ac:dyDescent="0.25">
      <c r="A3294" s="4" t="s">
        <v>549</v>
      </c>
      <c r="B3294" s="5" t="s">
        <v>592</v>
      </c>
      <c r="C3294" s="5">
        <v>0</v>
      </c>
      <c r="D3294">
        <f t="shared" si="51"/>
        <v>149</v>
      </c>
      <c r="G3294" s="1"/>
    </row>
    <row r="3295" spans="1:7" x14ac:dyDescent="0.25">
      <c r="A3295" s="3" t="s">
        <v>549</v>
      </c>
      <c r="B3295" s="6" t="s">
        <v>593</v>
      </c>
      <c r="C3295" s="6">
        <v>1</v>
      </c>
      <c r="D3295">
        <f t="shared" si="51"/>
        <v>149</v>
      </c>
      <c r="G3295" s="1"/>
    </row>
    <row r="3296" spans="1:7" x14ac:dyDescent="0.25">
      <c r="A3296" s="4" t="s">
        <v>550</v>
      </c>
      <c r="B3296" s="5" t="s">
        <v>574</v>
      </c>
      <c r="C3296" s="5">
        <v>0</v>
      </c>
      <c r="D3296">
        <f t="shared" si="51"/>
        <v>150</v>
      </c>
      <c r="G3296" s="1"/>
    </row>
    <row r="3297" spans="1:7" x14ac:dyDescent="0.25">
      <c r="A3297" s="3" t="s">
        <v>550</v>
      </c>
      <c r="B3297" s="6" t="s">
        <v>575</v>
      </c>
      <c r="C3297" s="6">
        <v>0</v>
      </c>
      <c r="D3297">
        <f t="shared" si="51"/>
        <v>150</v>
      </c>
      <c r="G3297" s="1"/>
    </row>
    <row r="3298" spans="1:7" x14ac:dyDescent="0.25">
      <c r="A3298" s="4" t="s">
        <v>550</v>
      </c>
      <c r="B3298" s="5" t="s">
        <v>576</v>
      </c>
      <c r="C3298" s="5">
        <v>0.66669999999999996</v>
      </c>
      <c r="D3298">
        <f t="shared" si="51"/>
        <v>150</v>
      </c>
      <c r="G3298" s="1"/>
    </row>
    <row r="3299" spans="1:7" x14ac:dyDescent="0.25">
      <c r="A3299" s="3" t="s">
        <v>550</v>
      </c>
      <c r="B3299" s="6" t="s">
        <v>577</v>
      </c>
      <c r="C3299" s="6">
        <v>3</v>
      </c>
      <c r="D3299">
        <f t="shared" si="51"/>
        <v>150</v>
      </c>
      <c r="G3299" s="1"/>
    </row>
    <row r="3300" spans="1:7" x14ac:dyDescent="0.25">
      <c r="A3300" s="4" t="s">
        <v>550</v>
      </c>
      <c r="B3300" s="5" t="s">
        <v>578</v>
      </c>
      <c r="C3300" s="5">
        <v>0</v>
      </c>
      <c r="D3300">
        <f t="shared" si="51"/>
        <v>150</v>
      </c>
      <c r="G3300" s="1"/>
    </row>
    <row r="3301" spans="1:7" x14ac:dyDescent="0.25">
      <c r="A3301" s="3" t="s">
        <v>550</v>
      </c>
      <c r="B3301" s="6" t="s">
        <v>579</v>
      </c>
      <c r="C3301" s="6">
        <v>4.2</v>
      </c>
      <c r="D3301">
        <f t="shared" si="51"/>
        <v>150</v>
      </c>
      <c r="G3301" s="1"/>
    </row>
    <row r="3302" spans="1:7" x14ac:dyDescent="0.25">
      <c r="A3302" s="4" t="s">
        <v>550</v>
      </c>
      <c r="B3302" s="5" t="s">
        <v>580</v>
      </c>
      <c r="C3302" s="5">
        <v>188.88499999999999</v>
      </c>
      <c r="D3302">
        <f t="shared" si="51"/>
        <v>150</v>
      </c>
      <c r="G3302" s="1"/>
    </row>
    <row r="3303" spans="1:7" x14ac:dyDescent="0.25">
      <c r="A3303" s="3" t="s">
        <v>550</v>
      </c>
      <c r="B3303" s="6" t="s">
        <v>581</v>
      </c>
      <c r="C3303" s="6">
        <v>1.0999999999999999E-2</v>
      </c>
      <c r="D3303">
        <f t="shared" si="51"/>
        <v>150</v>
      </c>
      <c r="G3303" s="1"/>
    </row>
    <row r="3304" spans="1:7" x14ac:dyDescent="0.25">
      <c r="A3304" s="4" t="s">
        <v>550</v>
      </c>
      <c r="B3304" s="5" t="s">
        <v>582</v>
      </c>
      <c r="C3304" s="5">
        <v>13</v>
      </c>
      <c r="D3304">
        <f t="shared" si="51"/>
        <v>150</v>
      </c>
      <c r="G3304" s="1"/>
    </row>
    <row r="3305" spans="1:7" x14ac:dyDescent="0.25">
      <c r="A3305" s="3" t="s">
        <v>550</v>
      </c>
      <c r="B3305" s="6" t="s">
        <v>583</v>
      </c>
      <c r="C3305" s="6">
        <v>11</v>
      </c>
      <c r="D3305">
        <f t="shared" si="51"/>
        <v>150</v>
      </c>
      <c r="G3305" s="1"/>
    </row>
    <row r="3306" spans="1:7" x14ac:dyDescent="0.25">
      <c r="A3306" s="4" t="s">
        <v>550</v>
      </c>
      <c r="B3306" s="5" t="s">
        <v>584</v>
      </c>
      <c r="C3306" s="5">
        <v>44.9726</v>
      </c>
      <c r="D3306">
        <f t="shared" si="51"/>
        <v>150</v>
      </c>
      <c r="G3306" s="1"/>
    </row>
    <row r="3307" spans="1:7" x14ac:dyDescent="0.25">
      <c r="A3307" s="3" t="s">
        <v>550</v>
      </c>
      <c r="B3307" s="6" t="s">
        <v>585</v>
      </c>
      <c r="C3307" s="6">
        <v>7</v>
      </c>
      <c r="D3307">
        <f t="shared" si="51"/>
        <v>150</v>
      </c>
      <c r="G3307" s="1"/>
    </row>
    <row r="3308" spans="1:7" x14ac:dyDescent="0.25">
      <c r="A3308" s="4" t="s">
        <v>550</v>
      </c>
      <c r="B3308" s="5" t="s">
        <v>586</v>
      </c>
      <c r="C3308" s="5">
        <v>1</v>
      </c>
      <c r="D3308">
        <f t="shared" si="51"/>
        <v>150</v>
      </c>
      <c r="G3308" s="1"/>
    </row>
    <row r="3309" spans="1:7" x14ac:dyDescent="0.25">
      <c r="A3309" s="3" t="s">
        <v>550</v>
      </c>
      <c r="B3309" s="6" t="s">
        <v>587</v>
      </c>
      <c r="C3309" s="6">
        <v>0</v>
      </c>
      <c r="D3309">
        <f t="shared" si="51"/>
        <v>150</v>
      </c>
      <c r="G3309" s="1"/>
    </row>
    <row r="3310" spans="1:7" x14ac:dyDescent="0.25">
      <c r="A3310" s="4" t="s">
        <v>550</v>
      </c>
      <c r="B3310" s="5" t="s">
        <v>588</v>
      </c>
      <c r="C3310" s="5">
        <v>70.057599999999994</v>
      </c>
      <c r="D3310">
        <f t="shared" si="51"/>
        <v>150</v>
      </c>
      <c r="G3310" s="1"/>
    </row>
    <row r="3311" spans="1:7" x14ac:dyDescent="0.25">
      <c r="A3311" s="3" t="s">
        <v>550</v>
      </c>
      <c r="B3311" s="6" t="s">
        <v>589</v>
      </c>
      <c r="C3311" s="6">
        <v>0</v>
      </c>
      <c r="D3311">
        <f t="shared" si="51"/>
        <v>150</v>
      </c>
      <c r="G3311" s="1"/>
    </row>
    <row r="3312" spans="1:7" x14ac:dyDescent="0.25">
      <c r="A3312" s="4" t="s">
        <v>550</v>
      </c>
      <c r="B3312" s="5" t="s">
        <v>590</v>
      </c>
      <c r="C3312" s="5">
        <v>1</v>
      </c>
      <c r="D3312">
        <f t="shared" si="51"/>
        <v>150</v>
      </c>
      <c r="G3312" s="1"/>
    </row>
    <row r="3313" spans="1:7" x14ac:dyDescent="0.25">
      <c r="A3313" s="3" t="s">
        <v>550</v>
      </c>
      <c r="B3313" s="6" t="s">
        <v>591</v>
      </c>
      <c r="C3313" s="6">
        <v>5</v>
      </c>
      <c r="D3313">
        <f t="shared" si="51"/>
        <v>150</v>
      </c>
      <c r="G3313" s="1"/>
    </row>
    <row r="3314" spans="1:7" x14ac:dyDescent="0.25">
      <c r="A3314" s="4" t="s">
        <v>550</v>
      </c>
      <c r="B3314" s="5" t="s">
        <v>592</v>
      </c>
      <c r="C3314" s="5">
        <v>0</v>
      </c>
      <c r="D3314">
        <f t="shared" si="51"/>
        <v>150</v>
      </c>
      <c r="G3314" s="1"/>
    </row>
    <row r="3315" spans="1:7" x14ac:dyDescent="0.25">
      <c r="A3315" s="3" t="s">
        <v>550</v>
      </c>
      <c r="B3315" s="6" t="s">
        <v>593</v>
      </c>
      <c r="C3315" s="6">
        <v>2</v>
      </c>
      <c r="D3315">
        <f t="shared" si="51"/>
        <v>150</v>
      </c>
      <c r="G3315" s="1"/>
    </row>
    <row r="3316" spans="1:7" x14ac:dyDescent="0.25">
      <c r="A3316" s="4" t="s">
        <v>551</v>
      </c>
      <c r="B3316" s="5" t="s">
        <v>574</v>
      </c>
      <c r="C3316" s="5">
        <v>0</v>
      </c>
      <c r="D3316">
        <f t="shared" si="51"/>
        <v>151</v>
      </c>
      <c r="G3316" s="1"/>
    </row>
    <row r="3317" spans="1:7" x14ac:dyDescent="0.25">
      <c r="A3317" s="3" t="s">
        <v>551</v>
      </c>
      <c r="B3317" s="6" t="s">
        <v>575</v>
      </c>
      <c r="C3317" s="6">
        <v>0</v>
      </c>
      <c r="D3317">
        <f t="shared" si="51"/>
        <v>151</v>
      </c>
      <c r="G3317" s="1"/>
    </row>
    <row r="3318" spans="1:7" x14ac:dyDescent="0.25">
      <c r="A3318" s="4" t="s">
        <v>551</v>
      </c>
      <c r="B3318" s="5" t="s">
        <v>576</v>
      </c>
      <c r="C3318" s="5">
        <v>1</v>
      </c>
      <c r="D3318">
        <f t="shared" si="51"/>
        <v>151</v>
      </c>
      <c r="G3318" s="1"/>
    </row>
    <row r="3319" spans="1:7" x14ac:dyDescent="0.25">
      <c r="A3319" s="3" t="s">
        <v>551</v>
      </c>
      <c r="B3319" s="6" t="s">
        <v>577</v>
      </c>
      <c r="C3319" s="6">
        <v>1</v>
      </c>
      <c r="D3319">
        <f t="shared" si="51"/>
        <v>151</v>
      </c>
      <c r="G3319" s="1"/>
    </row>
    <row r="3320" spans="1:7" x14ac:dyDescent="0.25">
      <c r="A3320" s="4" t="s">
        <v>551</v>
      </c>
      <c r="B3320" s="5" t="s">
        <v>578</v>
      </c>
      <c r="C3320" s="5">
        <v>0</v>
      </c>
      <c r="D3320">
        <f t="shared" si="51"/>
        <v>151</v>
      </c>
      <c r="G3320" s="1"/>
    </row>
    <row r="3321" spans="1:7" x14ac:dyDescent="0.25">
      <c r="A3321" s="3" t="s">
        <v>551</v>
      </c>
      <c r="B3321" s="6" t="s">
        <v>579</v>
      </c>
      <c r="C3321" s="6">
        <v>1.5</v>
      </c>
      <c r="D3321">
        <f t="shared" si="51"/>
        <v>151</v>
      </c>
      <c r="G3321" s="1"/>
    </row>
    <row r="3322" spans="1:7" x14ac:dyDescent="0.25">
      <c r="A3322" s="4" t="s">
        <v>551</v>
      </c>
      <c r="B3322" s="5" t="s">
        <v>580</v>
      </c>
      <c r="C3322" s="5">
        <v>17.4145</v>
      </c>
      <c r="D3322">
        <f t="shared" si="51"/>
        <v>151</v>
      </c>
      <c r="G3322" s="1"/>
    </row>
    <row r="3323" spans="1:7" x14ac:dyDescent="0.25">
      <c r="A3323" s="3" t="s">
        <v>551</v>
      </c>
      <c r="B3323" s="6" t="s">
        <v>581</v>
      </c>
      <c r="C3323" s="6">
        <v>2.2000000000000001E-3</v>
      </c>
      <c r="D3323">
        <f t="shared" si="51"/>
        <v>151</v>
      </c>
      <c r="G3323" s="1"/>
    </row>
    <row r="3324" spans="1:7" x14ac:dyDescent="0.25">
      <c r="A3324" s="4" t="s">
        <v>551</v>
      </c>
      <c r="B3324" s="5" t="s">
        <v>582</v>
      </c>
      <c r="C3324" s="5">
        <v>5</v>
      </c>
      <c r="D3324">
        <f t="shared" si="51"/>
        <v>151</v>
      </c>
      <c r="G3324" s="1"/>
    </row>
    <row r="3325" spans="1:7" x14ac:dyDescent="0.25">
      <c r="A3325" s="3" t="s">
        <v>551</v>
      </c>
      <c r="B3325" s="6" t="s">
        <v>583</v>
      </c>
      <c r="C3325" s="6">
        <v>5</v>
      </c>
      <c r="D3325">
        <f t="shared" si="51"/>
        <v>151</v>
      </c>
      <c r="G3325" s="1"/>
    </row>
    <row r="3326" spans="1:7" x14ac:dyDescent="0.25">
      <c r="A3326" s="4" t="s">
        <v>551</v>
      </c>
      <c r="B3326" s="5" t="s">
        <v>584</v>
      </c>
      <c r="C3326" s="5">
        <v>11.6096</v>
      </c>
      <c r="D3326">
        <f t="shared" si="51"/>
        <v>151</v>
      </c>
      <c r="G3326" s="1"/>
    </row>
    <row r="3327" spans="1:7" x14ac:dyDescent="0.25">
      <c r="A3327" s="3" t="s">
        <v>551</v>
      </c>
      <c r="B3327" s="6" t="s">
        <v>585</v>
      </c>
      <c r="C3327" s="6">
        <v>4</v>
      </c>
      <c r="D3327">
        <f t="shared" si="51"/>
        <v>151</v>
      </c>
      <c r="G3327" s="1"/>
    </row>
    <row r="3328" spans="1:7" x14ac:dyDescent="0.25">
      <c r="A3328" s="4" t="s">
        <v>551</v>
      </c>
      <c r="B3328" s="5" t="s">
        <v>586</v>
      </c>
      <c r="C3328" s="5">
        <v>1</v>
      </c>
      <c r="D3328">
        <f t="shared" si="51"/>
        <v>151</v>
      </c>
      <c r="G3328" s="1"/>
    </row>
    <row r="3329" spans="1:7" x14ac:dyDescent="0.25">
      <c r="A3329" s="3" t="s">
        <v>551</v>
      </c>
      <c r="B3329" s="6" t="s">
        <v>587</v>
      </c>
      <c r="C3329" s="6">
        <v>0</v>
      </c>
      <c r="D3329">
        <f t="shared" si="51"/>
        <v>151</v>
      </c>
      <c r="G3329" s="1"/>
    </row>
    <row r="3330" spans="1:7" x14ac:dyDescent="0.25">
      <c r="A3330" s="4" t="s">
        <v>551</v>
      </c>
      <c r="B3330" s="5" t="s">
        <v>588</v>
      </c>
      <c r="C3330" s="5">
        <v>79.574799999999996</v>
      </c>
      <c r="D3330">
        <f t="shared" si="51"/>
        <v>151</v>
      </c>
      <c r="G3330" s="1"/>
    </row>
    <row r="3331" spans="1:7" x14ac:dyDescent="0.25">
      <c r="A3331" s="3" t="s">
        <v>551</v>
      </c>
      <c r="B3331" s="6" t="s">
        <v>589</v>
      </c>
      <c r="C3331" s="6">
        <v>0</v>
      </c>
      <c r="D3331">
        <f t="shared" si="51"/>
        <v>151</v>
      </c>
      <c r="G3331" s="1"/>
    </row>
    <row r="3332" spans="1:7" x14ac:dyDescent="0.25">
      <c r="A3332" s="4" t="s">
        <v>551</v>
      </c>
      <c r="B3332" s="5" t="s">
        <v>590</v>
      </c>
      <c r="C3332" s="5">
        <v>1</v>
      </c>
      <c r="D3332">
        <f t="shared" ref="D3332:D3395" si="52">IF(B3332="CCM", D3331+1, D3331)</f>
        <v>151</v>
      </c>
      <c r="G3332" s="1"/>
    </row>
    <row r="3333" spans="1:7" x14ac:dyDescent="0.25">
      <c r="A3333" s="3" t="s">
        <v>551</v>
      </c>
      <c r="B3333" s="6" t="s">
        <v>591</v>
      </c>
      <c r="C3333" s="6">
        <v>2</v>
      </c>
      <c r="D3333">
        <f t="shared" si="52"/>
        <v>151</v>
      </c>
      <c r="G3333" s="1"/>
    </row>
    <row r="3334" spans="1:7" x14ac:dyDescent="0.25">
      <c r="A3334" s="4" t="s">
        <v>551</v>
      </c>
      <c r="B3334" s="5" t="s">
        <v>592</v>
      </c>
      <c r="C3334" s="5">
        <v>0</v>
      </c>
      <c r="D3334">
        <f t="shared" si="52"/>
        <v>151</v>
      </c>
      <c r="G3334" s="1"/>
    </row>
    <row r="3335" spans="1:7" x14ac:dyDescent="0.25">
      <c r="A3335" s="3" t="s">
        <v>551</v>
      </c>
      <c r="B3335" s="6" t="s">
        <v>593</v>
      </c>
      <c r="C3335" s="6">
        <v>1</v>
      </c>
      <c r="D3335">
        <f t="shared" si="52"/>
        <v>151</v>
      </c>
      <c r="G3335" s="1"/>
    </row>
    <row r="3336" spans="1:7" x14ac:dyDescent="0.25">
      <c r="A3336" s="4" t="s">
        <v>552</v>
      </c>
      <c r="B3336" s="5" t="s">
        <v>574</v>
      </c>
      <c r="C3336" s="5">
        <v>0</v>
      </c>
      <c r="D3336">
        <f t="shared" si="52"/>
        <v>152</v>
      </c>
      <c r="G3336" s="1"/>
    </row>
    <row r="3337" spans="1:7" x14ac:dyDescent="0.25">
      <c r="A3337" s="3" t="s">
        <v>552</v>
      </c>
      <c r="B3337" s="6" t="s">
        <v>575</v>
      </c>
      <c r="C3337" s="6">
        <v>0</v>
      </c>
      <c r="D3337">
        <f t="shared" si="52"/>
        <v>152</v>
      </c>
      <c r="G3337" s="1"/>
    </row>
    <row r="3338" spans="1:7" x14ac:dyDescent="0.25">
      <c r="A3338" s="4" t="s">
        <v>552</v>
      </c>
      <c r="B3338" s="5" t="s">
        <v>576</v>
      </c>
      <c r="C3338" s="5">
        <v>1</v>
      </c>
      <c r="D3338">
        <f t="shared" si="52"/>
        <v>152</v>
      </c>
      <c r="G3338" s="1"/>
    </row>
    <row r="3339" spans="1:7" x14ac:dyDescent="0.25">
      <c r="A3339" s="3" t="s">
        <v>552</v>
      </c>
      <c r="B3339" s="6" t="s">
        <v>577</v>
      </c>
      <c r="C3339" s="6">
        <v>1</v>
      </c>
      <c r="D3339">
        <f t="shared" si="52"/>
        <v>152</v>
      </c>
      <c r="G3339" s="1"/>
    </row>
    <row r="3340" spans="1:7" x14ac:dyDescent="0.25">
      <c r="A3340" s="4" t="s">
        <v>552</v>
      </c>
      <c r="B3340" s="5" t="s">
        <v>578</v>
      </c>
      <c r="C3340" s="5">
        <v>0</v>
      </c>
      <c r="D3340">
        <f t="shared" si="52"/>
        <v>152</v>
      </c>
      <c r="G3340" s="1"/>
    </row>
    <row r="3341" spans="1:7" x14ac:dyDescent="0.25">
      <c r="A3341" s="3" t="s">
        <v>552</v>
      </c>
      <c r="B3341" s="6" t="s">
        <v>579</v>
      </c>
      <c r="C3341" s="6">
        <v>1.5</v>
      </c>
      <c r="D3341">
        <f t="shared" si="52"/>
        <v>152</v>
      </c>
      <c r="G3341" s="1"/>
    </row>
    <row r="3342" spans="1:7" x14ac:dyDescent="0.25">
      <c r="A3342" s="4" t="s">
        <v>552</v>
      </c>
      <c r="B3342" s="5" t="s">
        <v>580</v>
      </c>
      <c r="C3342" s="5">
        <v>17.4145</v>
      </c>
      <c r="D3342">
        <f t="shared" si="52"/>
        <v>152</v>
      </c>
      <c r="G3342" s="1"/>
    </row>
    <row r="3343" spans="1:7" x14ac:dyDescent="0.25">
      <c r="A3343" s="3" t="s">
        <v>552</v>
      </c>
      <c r="B3343" s="6" t="s">
        <v>581</v>
      </c>
      <c r="C3343" s="6">
        <v>2.2000000000000001E-3</v>
      </c>
      <c r="D3343">
        <f t="shared" si="52"/>
        <v>152</v>
      </c>
      <c r="G3343" s="1"/>
    </row>
    <row r="3344" spans="1:7" x14ac:dyDescent="0.25">
      <c r="A3344" s="4" t="s">
        <v>552</v>
      </c>
      <c r="B3344" s="5" t="s">
        <v>582</v>
      </c>
      <c r="C3344" s="5">
        <v>5</v>
      </c>
      <c r="D3344">
        <f t="shared" si="52"/>
        <v>152</v>
      </c>
      <c r="G3344" s="1"/>
    </row>
    <row r="3345" spans="1:7" x14ac:dyDescent="0.25">
      <c r="A3345" s="3" t="s">
        <v>552</v>
      </c>
      <c r="B3345" s="6" t="s">
        <v>583</v>
      </c>
      <c r="C3345" s="6">
        <v>5</v>
      </c>
      <c r="D3345">
        <f t="shared" si="52"/>
        <v>152</v>
      </c>
      <c r="G3345" s="1"/>
    </row>
    <row r="3346" spans="1:7" x14ac:dyDescent="0.25">
      <c r="A3346" s="4" t="s">
        <v>552</v>
      </c>
      <c r="B3346" s="5" t="s">
        <v>584</v>
      </c>
      <c r="C3346" s="5">
        <v>11.6096</v>
      </c>
      <c r="D3346">
        <f t="shared" si="52"/>
        <v>152</v>
      </c>
      <c r="G3346" s="1"/>
    </row>
    <row r="3347" spans="1:7" x14ac:dyDescent="0.25">
      <c r="A3347" s="3" t="s">
        <v>552</v>
      </c>
      <c r="B3347" s="6" t="s">
        <v>585</v>
      </c>
      <c r="C3347" s="6">
        <v>4</v>
      </c>
      <c r="D3347">
        <f t="shared" si="52"/>
        <v>152</v>
      </c>
      <c r="G3347" s="1"/>
    </row>
    <row r="3348" spans="1:7" x14ac:dyDescent="0.25">
      <c r="A3348" s="4" t="s">
        <v>552</v>
      </c>
      <c r="B3348" s="5" t="s">
        <v>586</v>
      </c>
      <c r="C3348" s="5">
        <v>1</v>
      </c>
      <c r="D3348">
        <f t="shared" si="52"/>
        <v>152</v>
      </c>
      <c r="G3348" s="1"/>
    </row>
    <row r="3349" spans="1:7" x14ac:dyDescent="0.25">
      <c r="A3349" s="3" t="s">
        <v>552</v>
      </c>
      <c r="B3349" s="6" t="s">
        <v>587</v>
      </c>
      <c r="C3349" s="6">
        <v>0</v>
      </c>
      <c r="D3349">
        <f t="shared" si="52"/>
        <v>152</v>
      </c>
      <c r="G3349" s="1"/>
    </row>
    <row r="3350" spans="1:7" x14ac:dyDescent="0.25">
      <c r="A3350" s="4" t="s">
        <v>552</v>
      </c>
      <c r="B3350" s="5" t="s">
        <v>588</v>
      </c>
      <c r="C3350" s="5">
        <v>79.574799999999996</v>
      </c>
      <c r="D3350">
        <f t="shared" si="52"/>
        <v>152</v>
      </c>
      <c r="G3350" s="1"/>
    </row>
    <row r="3351" spans="1:7" x14ac:dyDescent="0.25">
      <c r="A3351" s="3" t="s">
        <v>552</v>
      </c>
      <c r="B3351" s="6" t="s">
        <v>589</v>
      </c>
      <c r="C3351" s="6">
        <v>0</v>
      </c>
      <c r="D3351">
        <f t="shared" si="52"/>
        <v>152</v>
      </c>
      <c r="G3351" s="1"/>
    </row>
    <row r="3352" spans="1:7" x14ac:dyDescent="0.25">
      <c r="A3352" s="4" t="s">
        <v>552</v>
      </c>
      <c r="B3352" s="5" t="s">
        <v>590</v>
      </c>
      <c r="C3352" s="5">
        <v>1</v>
      </c>
      <c r="D3352">
        <f t="shared" si="52"/>
        <v>152</v>
      </c>
      <c r="G3352" s="1"/>
    </row>
    <row r="3353" spans="1:7" x14ac:dyDescent="0.25">
      <c r="A3353" s="3" t="s">
        <v>552</v>
      </c>
      <c r="B3353" s="6" t="s">
        <v>591</v>
      </c>
      <c r="C3353" s="6">
        <v>2</v>
      </c>
      <c r="D3353">
        <f t="shared" si="52"/>
        <v>152</v>
      </c>
      <c r="G3353" s="1"/>
    </row>
    <row r="3354" spans="1:7" x14ac:dyDescent="0.25">
      <c r="A3354" s="4" t="s">
        <v>552</v>
      </c>
      <c r="B3354" s="5" t="s">
        <v>592</v>
      </c>
      <c r="C3354" s="5">
        <v>0</v>
      </c>
      <c r="D3354">
        <f t="shared" si="52"/>
        <v>152</v>
      </c>
      <c r="G3354" s="1"/>
    </row>
    <row r="3355" spans="1:7" x14ac:dyDescent="0.25">
      <c r="A3355" s="3" t="s">
        <v>552</v>
      </c>
      <c r="B3355" s="6" t="s">
        <v>593</v>
      </c>
      <c r="C3355" s="6">
        <v>1</v>
      </c>
      <c r="D3355">
        <f t="shared" si="52"/>
        <v>152</v>
      </c>
      <c r="G3355" s="1"/>
    </row>
    <row r="3356" spans="1:7" x14ac:dyDescent="0.25">
      <c r="A3356" s="4" t="s">
        <v>553</v>
      </c>
      <c r="B3356" s="5" t="s">
        <v>574</v>
      </c>
      <c r="C3356" s="5">
        <v>0</v>
      </c>
      <c r="D3356">
        <f t="shared" si="52"/>
        <v>153</v>
      </c>
      <c r="G3356" s="1"/>
    </row>
    <row r="3357" spans="1:7" x14ac:dyDescent="0.25">
      <c r="A3357" s="3" t="s">
        <v>553</v>
      </c>
      <c r="B3357" s="6" t="s">
        <v>575</v>
      </c>
      <c r="C3357" s="6">
        <v>0</v>
      </c>
      <c r="D3357">
        <f t="shared" si="52"/>
        <v>153</v>
      </c>
      <c r="G3357" s="1"/>
    </row>
    <row r="3358" spans="1:7" x14ac:dyDescent="0.25">
      <c r="A3358" s="4" t="s">
        <v>553</v>
      </c>
      <c r="B3358" s="5" t="s">
        <v>576</v>
      </c>
      <c r="C3358" s="5">
        <v>1</v>
      </c>
      <c r="D3358">
        <f t="shared" si="52"/>
        <v>153</v>
      </c>
      <c r="G3358" s="1"/>
    </row>
    <row r="3359" spans="1:7" x14ac:dyDescent="0.25">
      <c r="A3359" s="3" t="s">
        <v>553</v>
      </c>
      <c r="B3359" s="6" t="s">
        <v>577</v>
      </c>
      <c r="C3359" s="6">
        <v>1</v>
      </c>
      <c r="D3359">
        <f t="shared" si="52"/>
        <v>153</v>
      </c>
      <c r="G3359" s="1"/>
    </row>
    <row r="3360" spans="1:7" x14ac:dyDescent="0.25">
      <c r="A3360" s="4" t="s">
        <v>553</v>
      </c>
      <c r="B3360" s="5" t="s">
        <v>578</v>
      </c>
      <c r="C3360" s="5">
        <v>1</v>
      </c>
      <c r="D3360">
        <f t="shared" si="52"/>
        <v>153</v>
      </c>
      <c r="G3360" s="1"/>
    </row>
    <row r="3361" spans="1:7" x14ac:dyDescent="0.25">
      <c r="A3361" s="3" t="s">
        <v>553</v>
      </c>
      <c r="B3361" s="6" t="s">
        <v>579</v>
      </c>
      <c r="C3361" s="6">
        <v>2</v>
      </c>
      <c r="D3361">
        <f t="shared" si="52"/>
        <v>153</v>
      </c>
      <c r="G3361" s="1"/>
    </row>
    <row r="3362" spans="1:7" x14ac:dyDescent="0.25">
      <c r="A3362" s="4" t="s">
        <v>553</v>
      </c>
      <c r="B3362" s="5" t="s">
        <v>580</v>
      </c>
      <c r="C3362" s="5">
        <v>188.02330000000001</v>
      </c>
      <c r="D3362">
        <f t="shared" si="52"/>
        <v>153</v>
      </c>
      <c r="G3362" s="1"/>
    </row>
    <row r="3363" spans="1:7" x14ac:dyDescent="0.25">
      <c r="A3363" s="3" t="s">
        <v>553</v>
      </c>
      <c r="B3363" s="6" t="s">
        <v>581</v>
      </c>
      <c r="C3363" s="6">
        <v>1.09E-2</v>
      </c>
      <c r="D3363">
        <f t="shared" si="52"/>
        <v>153</v>
      </c>
      <c r="G3363" s="1"/>
    </row>
    <row r="3364" spans="1:7" x14ac:dyDescent="0.25">
      <c r="A3364" s="4" t="s">
        <v>553</v>
      </c>
      <c r="B3364" s="5" t="s">
        <v>582</v>
      </c>
      <c r="C3364" s="5">
        <v>23</v>
      </c>
      <c r="D3364">
        <f t="shared" si="52"/>
        <v>153</v>
      </c>
      <c r="G3364" s="1"/>
    </row>
    <row r="3365" spans="1:7" x14ac:dyDescent="0.25">
      <c r="A3365" s="3" t="s">
        <v>553</v>
      </c>
      <c r="B3365" s="6" t="s">
        <v>583</v>
      </c>
      <c r="C3365" s="6">
        <v>17</v>
      </c>
      <c r="D3365">
        <f t="shared" si="52"/>
        <v>153</v>
      </c>
      <c r="G3365" s="1"/>
    </row>
    <row r="3366" spans="1:7" x14ac:dyDescent="0.25">
      <c r="A3366" s="4" t="s">
        <v>553</v>
      </c>
      <c r="B3366" s="5" t="s">
        <v>584</v>
      </c>
      <c r="C3366" s="5">
        <v>94.011600000000001</v>
      </c>
      <c r="D3366">
        <f t="shared" si="52"/>
        <v>153</v>
      </c>
      <c r="G3366" s="1"/>
    </row>
    <row r="3367" spans="1:7" x14ac:dyDescent="0.25">
      <c r="A3367" s="3" t="s">
        <v>553</v>
      </c>
      <c r="B3367" s="6" t="s">
        <v>585</v>
      </c>
      <c r="C3367" s="6">
        <v>9</v>
      </c>
      <c r="D3367">
        <f t="shared" si="52"/>
        <v>153</v>
      </c>
      <c r="G3367" s="1"/>
    </row>
    <row r="3368" spans="1:7" x14ac:dyDescent="0.25">
      <c r="A3368" s="4" t="s">
        <v>553</v>
      </c>
      <c r="B3368" s="5" t="s">
        <v>586</v>
      </c>
      <c r="C3368" s="5">
        <v>0.875</v>
      </c>
      <c r="D3368">
        <f t="shared" si="52"/>
        <v>153</v>
      </c>
      <c r="G3368" s="1"/>
    </row>
    <row r="3369" spans="1:7" x14ac:dyDescent="0.25">
      <c r="A3369" s="3" t="s">
        <v>553</v>
      </c>
      <c r="B3369" s="6" t="s">
        <v>587</v>
      </c>
      <c r="C3369" s="6">
        <v>0</v>
      </c>
      <c r="D3369">
        <f t="shared" si="52"/>
        <v>153</v>
      </c>
      <c r="G3369" s="1"/>
    </row>
    <row r="3370" spans="1:7" x14ac:dyDescent="0.25">
      <c r="A3370" s="4" t="s">
        <v>553</v>
      </c>
      <c r="B3370" s="5" t="s">
        <v>588</v>
      </c>
      <c r="C3370" s="5">
        <v>65.368300000000005</v>
      </c>
      <c r="D3370">
        <f t="shared" si="52"/>
        <v>153</v>
      </c>
      <c r="G3370" s="1"/>
    </row>
    <row r="3371" spans="1:7" x14ac:dyDescent="0.25">
      <c r="A3371" s="3" t="s">
        <v>553</v>
      </c>
      <c r="B3371" s="6" t="s">
        <v>589</v>
      </c>
      <c r="C3371" s="6">
        <v>0</v>
      </c>
      <c r="D3371">
        <f t="shared" si="52"/>
        <v>153</v>
      </c>
      <c r="G3371" s="1"/>
    </row>
    <row r="3372" spans="1:7" x14ac:dyDescent="0.25">
      <c r="A3372" s="4" t="s">
        <v>553</v>
      </c>
      <c r="B3372" s="5" t="s">
        <v>590</v>
      </c>
      <c r="C3372" s="5">
        <v>1</v>
      </c>
      <c r="D3372">
        <f t="shared" si="52"/>
        <v>153</v>
      </c>
      <c r="G3372" s="1"/>
    </row>
    <row r="3373" spans="1:7" x14ac:dyDescent="0.25">
      <c r="A3373" s="3" t="s">
        <v>553</v>
      </c>
      <c r="B3373" s="6" t="s">
        <v>591</v>
      </c>
      <c r="C3373" s="6">
        <v>11</v>
      </c>
      <c r="D3373">
        <f t="shared" si="52"/>
        <v>153</v>
      </c>
      <c r="G3373" s="1"/>
    </row>
    <row r="3374" spans="1:7" x14ac:dyDescent="0.25">
      <c r="A3374" s="4" t="s">
        <v>553</v>
      </c>
      <c r="B3374" s="5" t="s">
        <v>592</v>
      </c>
      <c r="C3374" s="5">
        <v>0</v>
      </c>
      <c r="D3374">
        <f t="shared" si="52"/>
        <v>153</v>
      </c>
      <c r="G3374" s="1"/>
    </row>
    <row r="3375" spans="1:7" x14ac:dyDescent="0.25">
      <c r="A3375" s="3" t="s">
        <v>553</v>
      </c>
      <c r="B3375" s="6" t="s">
        <v>593</v>
      </c>
      <c r="C3375" s="6">
        <v>3</v>
      </c>
      <c r="D3375">
        <f t="shared" si="52"/>
        <v>153</v>
      </c>
      <c r="G3375" s="1"/>
    </row>
    <row r="3376" spans="1:7" x14ac:dyDescent="0.25">
      <c r="A3376" s="4" t="s">
        <v>554</v>
      </c>
      <c r="B3376" s="5" t="s">
        <v>574</v>
      </c>
      <c r="C3376" s="5">
        <v>0</v>
      </c>
      <c r="D3376">
        <f t="shared" si="52"/>
        <v>154</v>
      </c>
      <c r="G3376" s="1"/>
    </row>
    <row r="3377" spans="1:7" x14ac:dyDescent="0.25">
      <c r="A3377" s="3" t="s">
        <v>554</v>
      </c>
      <c r="B3377" s="6" t="s">
        <v>575</v>
      </c>
      <c r="C3377" s="6">
        <v>0</v>
      </c>
      <c r="D3377">
        <f t="shared" si="52"/>
        <v>154</v>
      </c>
      <c r="G3377" s="1"/>
    </row>
    <row r="3378" spans="1:7" x14ac:dyDescent="0.25">
      <c r="A3378" s="4" t="s">
        <v>554</v>
      </c>
      <c r="B3378" s="5" t="s">
        <v>576</v>
      </c>
      <c r="C3378" s="5">
        <v>0</v>
      </c>
      <c r="D3378">
        <f t="shared" si="52"/>
        <v>154</v>
      </c>
      <c r="G3378" s="1"/>
    </row>
    <row r="3379" spans="1:7" x14ac:dyDescent="0.25">
      <c r="A3379" s="3" t="s">
        <v>554</v>
      </c>
      <c r="B3379" s="6" t="s">
        <v>577</v>
      </c>
      <c r="C3379" s="6">
        <v>0</v>
      </c>
      <c r="D3379">
        <f t="shared" si="52"/>
        <v>154</v>
      </c>
      <c r="G3379" s="1"/>
    </row>
    <row r="3380" spans="1:7" x14ac:dyDescent="0.25">
      <c r="A3380" s="4" t="s">
        <v>554</v>
      </c>
      <c r="B3380" s="5" t="s">
        <v>578</v>
      </c>
      <c r="C3380" s="5">
        <v>0</v>
      </c>
      <c r="D3380">
        <f t="shared" si="52"/>
        <v>154</v>
      </c>
      <c r="G3380" s="1"/>
    </row>
    <row r="3381" spans="1:7" x14ac:dyDescent="0.25">
      <c r="A3381" s="3" t="s">
        <v>554</v>
      </c>
      <c r="B3381" s="6" t="s">
        <v>579</v>
      </c>
      <c r="C3381" s="6">
        <v>1</v>
      </c>
      <c r="D3381">
        <f t="shared" si="52"/>
        <v>154</v>
      </c>
      <c r="G3381" s="1"/>
    </row>
    <row r="3382" spans="1:7" x14ac:dyDescent="0.25">
      <c r="A3382" s="4" t="s">
        <v>554</v>
      </c>
      <c r="B3382" s="5" t="s">
        <v>580</v>
      </c>
      <c r="C3382" s="5">
        <v>4.7549000000000001</v>
      </c>
      <c r="D3382">
        <f t="shared" si="52"/>
        <v>154</v>
      </c>
      <c r="G3382" s="1"/>
    </row>
    <row r="3383" spans="1:7" x14ac:dyDescent="0.25">
      <c r="A3383" s="3" t="s">
        <v>554</v>
      </c>
      <c r="B3383" s="6" t="s">
        <v>581</v>
      </c>
      <c r="C3383" s="6">
        <v>8.9999999999999998E-4</v>
      </c>
      <c r="D3383">
        <f t="shared" si="52"/>
        <v>154</v>
      </c>
      <c r="G3383" s="1"/>
    </row>
    <row r="3384" spans="1:7" x14ac:dyDescent="0.25">
      <c r="A3384" s="4" t="s">
        <v>554</v>
      </c>
      <c r="B3384" s="5" t="s">
        <v>582</v>
      </c>
      <c r="C3384" s="5">
        <v>3</v>
      </c>
      <c r="D3384">
        <f t="shared" si="52"/>
        <v>154</v>
      </c>
      <c r="G3384" s="1"/>
    </row>
    <row r="3385" spans="1:7" x14ac:dyDescent="0.25">
      <c r="A3385" s="3" t="s">
        <v>554</v>
      </c>
      <c r="B3385" s="6" t="s">
        <v>583</v>
      </c>
      <c r="C3385" s="6">
        <v>3</v>
      </c>
      <c r="D3385">
        <f t="shared" si="52"/>
        <v>154</v>
      </c>
      <c r="G3385" s="1"/>
    </row>
    <row r="3386" spans="1:7" x14ac:dyDescent="0.25">
      <c r="A3386" s="4" t="s">
        <v>554</v>
      </c>
      <c r="B3386" s="5" t="s">
        <v>584</v>
      </c>
      <c r="C3386" s="5">
        <v>4.7549000000000001</v>
      </c>
      <c r="D3386">
        <f t="shared" si="52"/>
        <v>154</v>
      </c>
      <c r="G3386" s="1"/>
    </row>
    <row r="3387" spans="1:7" x14ac:dyDescent="0.25">
      <c r="A3387" s="3" t="s">
        <v>554</v>
      </c>
      <c r="B3387" s="6" t="s">
        <v>585</v>
      </c>
      <c r="C3387" s="6">
        <v>1</v>
      </c>
      <c r="D3387">
        <f t="shared" si="52"/>
        <v>154</v>
      </c>
      <c r="G3387" s="1"/>
    </row>
    <row r="3388" spans="1:7" x14ac:dyDescent="0.25">
      <c r="A3388" s="4" t="s">
        <v>554</v>
      </c>
      <c r="B3388" s="5" t="s">
        <v>586</v>
      </c>
      <c r="C3388" s="5">
        <v>1</v>
      </c>
      <c r="D3388">
        <f t="shared" si="52"/>
        <v>154</v>
      </c>
      <c r="G3388" s="1"/>
    </row>
    <row r="3389" spans="1:7" x14ac:dyDescent="0.25">
      <c r="A3389" s="3" t="s">
        <v>554</v>
      </c>
      <c r="B3389" s="6" t="s">
        <v>587</v>
      </c>
      <c r="C3389" s="6">
        <v>0</v>
      </c>
      <c r="D3389">
        <f t="shared" si="52"/>
        <v>154</v>
      </c>
      <c r="G3389" s="1"/>
    </row>
    <row r="3390" spans="1:7" x14ac:dyDescent="0.25">
      <c r="A3390" s="4" t="s">
        <v>554</v>
      </c>
      <c r="B3390" s="5" t="s">
        <v>588</v>
      </c>
      <c r="C3390" s="5">
        <v>95.784400000000005</v>
      </c>
      <c r="D3390">
        <f t="shared" si="52"/>
        <v>154</v>
      </c>
      <c r="G3390" s="1"/>
    </row>
    <row r="3391" spans="1:7" x14ac:dyDescent="0.25">
      <c r="A3391" s="3" t="s">
        <v>554</v>
      </c>
      <c r="B3391" s="6" t="s">
        <v>589</v>
      </c>
      <c r="C3391" s="6">
        <v>0</v>
      </c>
      <c r="D3391">
        <f t="shared" si="52"/>
        <v>154</v>
      </c>
      <c r="G3391" s="1"/>
    </row>
    <row r="3392" spans="1:7" x14ac:dyDescent="0.25">
      <c r="A3392" s="4" t="s">
        <v>554</v>
      </c>
      <c r="B3392" s="5" t="s">
        <v>590</v>
      </c>
      <c r="C3392" s="5">
        <v>1</v>
      </c>
      <c r="D3392">
        <f t="shared" si="52"/>
        <v>154</v>
      </c>
      <c r="G3392" s="1"/>
    </row>
    <row r="3393" spans="1:7" x14ac:dyDescent="0.25">
      <c r="A3393" s="3" t="s">
        <v>554</v>
      </c>
      <c r="B3393" s="6" t="s">
        <v>591</v>
      </c>
      <c r="C3393" s="6">
        <v>1</v>
      </c>
      <c r="D3393">
        <f t="shared" si="52"/>
        <v>154</v>
      </c>
      <c r="G3393" s="1"/>
    </row>
    <row r="3394" spans="1:7" x14ac:dyDescent="0.25">
      <c r="A3394" s="4" t="s">
        <v>554</v>
      </c>
      <c r="B3394" s="5" t="s">
        <v>592</v>
      </c>
      <c r="C3394" s="5">
        <v>0</v>
      </c>
      <c r="D3394">
        <f t="shared" si="52"/>
        <v>154</v>
      </c>
      <c r="G3394" s="1"/>
    </row>
    <row r="3395" spans="1:7" x14ac:dyDescent="0.25">
      <c r="A3395" s="3" t="s">
        <v>554</v>
      </c>
      <c r="B3395" s="6" t="s">
        <v>593</v>
      </c>
      <c r="C3395" s="6">
        <v>0</v>
      </c>
      <c r="D3395">
        <f t="shared" si="52"/>
        <v>154</v>
      </c>
      <c r="G3395" s="1"/>
    </row>
    <row r="3396" spans="1:7" x14ac:dyDescent="0.25">
      <c r="A3396" s="4" t="s">
        <v>555</v>
      </c>
      <c r="B3396" s="5" t="s">
        <v>574</v>
      </c>
      <c r="C3396" s="5">
        <v>0</v>
      </c>
      <c r="D3396">
        <f t="shared" ref="D3396:D3459" si="53">IF(B3396="CCM", D3395+1, D3395)</f>
        <v>155</v>
      </c>
      <c r="G3396" s="1"/>
    </row>
    <row r="3397" spans="1:7" x14ac:dyDescent="0.25">
      <c r="A3397" s="3" t="s">
        <v>555</v>
      </c>
      <c r="B3397" s="6" t="s">
        <v>575</v>
      </c>
      <c r="C3397" s="6">
        <v>0</v>
      </c>
      <c r="D3397">
        <f t="shared" si="53"/>
        <v>155</v>
      </c>
      <c r="G3397" s="1"/>
    </row>
    <row r="3398" spans="1:7" x14ac:dyDescent="0.25">
      <c r="A3398" s="4" t="s">
        <v>555</v>
      </c>
      <c r="B3398" s="5" t="s">
        <v>576</v>
      </c>
      <c r="C3398" s="5">
        <v>0</v>
      </c>
      <c r="D3398">
        <f t="shared" si="53"/>
        <v>155</v>
      </c>
      <c r="G3398" s="1"/>
    </row>
    <row r="3399" spans="1:7" x14ac:dyDescent="0.25">
      <c r="A3399" s="3" t="s">
        <v>555</v>
      </c>
      <c r="B3399" s="6" t="s">
        <v>577</v>
      </c>
      <c r="C3399" s="6">
        <v>0</v>
      </c>
      <c r="D3399">
        <f t="shared" si="53"/>
        <v>155</v>
      </c>
      <c r="G3399" s="1"/>
    </row>
    <row r="3400" spans="1:7" x14ac:dyDescent="0.25">
      <c r="A3400" s="4" t="s">
        <v>555</v>
      </c>
      <c r="B3400" s="5" t="s">
        <v>578</v>
      </c>
      <c r="C3400" s="5">
        <v>0</v>
      </c>
      <c r="D3400">
        <f t="shared" si="53"/>
        <v>155</v>
      </c>
      <c r="G3400" s="1"/>
    </row>
    <row r="3401" spans="1:7" x14ac:dyDescent="0.25">
      <c r="A3401" s="3" t="s">
        <v>555</v>
      </c>
      <c r="B3401" s="6" t="s">
        <v>579</v>
      </c>
      <c r="C3401" s="6">
        <v>1</v>
      </c>
      <c r="D3401">
        <f t="shared" si="53"/>
        <v>155</v>
      </c>
      <c r="G3401" s="1"/>
    </row>
    <row r="3402" spans="1:7" x14ac:dyDescent="0.25">
      <c r="A3402" s="4" t="s">
        <v>555</v>
      </c>
      <c r="B3402" s="5" t="s">
        <v>580</v>
      </c>
      <c r="C3402" s="5">
        <v>4.7549000000000001</v>
      </c>
      <c r="D3402">
        <f t="shared" si="53"/>
        <v>155</v>
      </c>
      <c r="G3402" s="1"/>
    </row>
    <row r="3403" spans="1:7" x14ac:dyDescent="0.25">
      <c r="A3403" s="3" t="s">
        <v>555</v>
      </c>
      <c r="B3403" s="6" t="s">
        <v>581</v>
      </c>
      <c r="C3403" s="6">
        <v>8.9999999999999998E-4</v>
      </c>
      <c r="D3403">
        <f t="shared" si="53"/>
        <v>155</v>
      </c>
      <c r="G3403" s="1"/>
    </row>
    <row r="3404" spans="1:7" x14ac:dyDescent="0.25">
      <c r="A3404" s="4" t="s">
        <v>555</v>
      </c>
      <c r="B3404" s="5" t="s">
        <v>582</v>
      </c>
      <c r="C3404" s="5">
        <v>3</v>
      </c>
      <c r="D3404">
        <f t="shared" si="53"/>
        <v>155</v>
      </c>
      <c r="G3404" s="1"/>
    </row>
    <row r="3405" spans="1:7" x14ac:dyDescent="0.25">
      <c r="A3405" s="3" t="s">
        <v>555</v>
      </c>
      <c r="B3405" s="6" t="s">
        <v>583</v>
      </c>
      <c r="C3405" s="6">
        <v>3</v>
      </c>
      <c r="D3405">
        <f t="shared" si="53"/>
        <v>155</v>
      </c>
      <c r="G3405" s="1"/>
    </row>
    <row r="3406" spans="1:7" x14ac:dyDescent="0.25">
      <c r="A3406" s="4" t="s">
        <v>555</v>
      </c>
      <c r="B3406" s="5" t="s">
        <v>584</v>
      </c>
      <c r="C3406" s="5">
        <v>4.7549000000000001</v>
      </c>
      <c r="D3406">
        <f t="shared" si="53"/>
        <v>155</v>
      </c>
      <c r="G3406" s="1"/>
    </row>
    <row r="3407" spans="1:7" x14ac:dyDescent="0.25">
      <c r="A3407" s="3" t="s">
        <v>555</v>
      </c>
      <c r="B3407" s="6" t="s">
        <v>585</v>
      </c>
      <c r="C3407" s="6">
        <v>1</v>
      </c>
      <c r="D3407">
        <f t="shared" si="53"/>
        <v>155</v>
      </c>
      <c r="G3407" s="1"/>
    </row>
    <row r="3408" spans="1:7" x14ac:dyDescent="0.25">
      <c r="A3408" s="4" t="s">
        <v>555</v>
      </c>
      <c r="B3408" s="5" t="s">
        <v>586</v>
      </c>
      <c r="C3408" s="5">
        <v>1</v>
      </c>
      <c r="D3408">
        <f t="shared" si="53"/>
        <v>155</v>
      </c>
      <c r="G3408" s="1"/>
    </row>
    <row r="3409" spans="1:7" x14ac:dyDescent="0.25">
      <c r="A3409" s="3" t="s">
        <v>555</v>
      </c>
      <c r="B3409" s="6" t="s">
        <v>587</v>
      </c>
      <c r="C3409" s="6">
        <v>0</v>
      </c>
      <c r="D3409">
        <f t="shared" si="53"/>
        <v>155</v>
      </c>
      <c r="G3409" s="1"/>
    </row>
    <row r="3410" spans="1:7" x14ac:dyDescent="0.25">
      <c r="A3410" s="4" t="s">
        <v>555</v>
      </c>
      <c r="B3410" s="5" t="s">
        <v>588</v>
      </c>
      <c r="C3410" s="5">
        <v>95.784400000000005</v>
      </c>
      <c r="D3410">
        <f t="shared" si="53"/>
        <v>155</v>
      </c>
      <c r="G3410" s="1"/>
    </row>
    <row r="3411" spans="1:7" x14ac:dyDescent="0.25">
      <c r="A3411" s="3" t="s">
        <v>555</v>
      </c>
      <c r="B3411" s="6" t="s">
        <v>589</v>
      </c>
      <c r="C3411" s="6">
        <v>0</v>
      </c>
      <c r="D3411">
        <f t="shared" si="53"/>
        <v>155</v>
      </c>
      <c r="G3411" s="1"/>
    </row>
    <row r="3412" spans="1:7" x14ac:dyDescent="0.25">
      <c r="A3412" s="4" t="s">
        <v>555</v>
      </c>
      <c r="B3412" s="5" t="s">
        <v>590</v>
      </c>
      <c r="C3412" s="5">
        <v>1</v>
      </c>
      <c r="D3412">
        <f t="shared" si="53"/>
        <v>155</v>
      </c>
      <c r="G3412" s="1"/>
    </row>
    <row r="3413" spans="1:7" x14ac:dyDescent="0.25">
      <c r="A3413" s="3" t="s">
        <v>555</v>
      </c>
      <c r="B3413" s="6" t="s">
        <v>591</v>
      </c>
      <c r="C3413" s="6">
        <v>1</v>
      </c>
      <c r="D3413">
        <f t="shared" si="53"/>
        <v>155</v>
      </c>
      <c r="G3413" s="1"/>
    </row>
    <row r="3414" spans="1:7" x14ac:dyDescent="0.25">
      <c r="A3414" s="4" t="s">
        <v>555</v>
      </c>
      <c r="B3414" s="5" t="s">
        <v>592</v>
      </c>
      <c r="C3414" s="5">
        <v>0</v>
      </c>
      <c r="D3414">
        <f t="shared" si="53"/>
        <v>155</v>
      </c>
      <c r="G3414" s="1"/>
    </row>
    <row r="3415" spans="1:7" x14ac:dyDescent="0.25">
      <c r="A3415" s="3" t="s">
        <v>555</v>
      </c>
      <c r="B3415" s="6" t="s">
        <v>593</v>
      </c>
      <c r="C3415" s="6">
        <v>0</v>
      </c>
      <c r="D3415">
        <f t="shared" si="53"/>
        <v>155</v>
      </c>
      <c r="G3415" s="1"/>
    </row>
    <row r="3416" spans="1:7" x14ac:dyDescent="0.25">
      <c r="A3416" s="4" t="s">
        <v>556</v>
      </c>
      <c r="B3416" s="5" t="s">
        <v>574</v>
      </c>
      <c r="C3416" s="5">
        <v>0</v>
      </c>
      <c r="D3416">
        <f t="shared" si="53"/>
        <v>156</v>
      </c>
      <c r="G3416" s="1"/>
    </row>
    <row r="3417" spans="1:7" x14ac:dyDescent="0.25">
      <c r="A3417" s="3" t="s">
        <v>556</v>
      </c>
      <c r="B3417" s="6" t="s">
        <v>575</v>
      </c>
      <c r="C3417" s="6">
        <v>0</v>
      </c>
      <c r="D3417">
        <f t="shared" si="53"/>
        <v>156</v>
      </c>
      <c r="G3417" s="1"/>
    </row>
    <row r="3418" spans="1:7" x14ac:dyDescent="0.25">
      <c r="A3418" s="4" t="s">
        <v>556</v>
      </c>
      <c r="B3418" s="5" t="s">
        <v>576</v>
      </c>
      <c r="C3418" s="5">
        <v>0</v>
      </c>
      <c r="D3418">
        <f t="shared" si="53"/>
        <v>156</v>
      </c>
      <c r="G3418" s="1"/>
    </row>
    <row r="3419" spans="1:7" x14ac:dyDescent="0.25">
      <c r="A3419" s="3" t="s">
        <v>556</v>
      </c>
      <c r="B3419" s="6" t="s">
        <v>577</v>
      </c>
      <c r="C3419" s="6">
        <v>0</v>
      </c>
      <c r="D3419">
        <f t="shared" si="53"/>
        <v>156</v>
      </c>
      <c r="G3419" s="1"/>
    </row>
    <row r="3420" spans="1:7" x14ac:dyDescent="0.25">
      <c r="A3420" s="4" t="s">
        <v>556</v>
      </c>
      <c r="B3420" s="5" t="s">
        <v>578</v>
      </c>
      <c r="C3420" s="5">
        <v>0</v>
      </c>
      <c r="D3420">
        <f t="shared" si="53"/>
        <v>156</v>
      </c>
      <c r="G3420" s="1"/>
    </row>
    <row r="3421" spans="1:7" x14ac:dyDescent="0.25">
      <c r="A3421" s="3" t="s">
        <v>556</v>
      </c>
      <c r="B3421" s="6" t="s">
        <v>579</v>
      </c>
      <c r="C3421" s="6">
        <v>1</v>
      </c>
      <c r="D3421">
        <f t="shared" si="53"/>
        <v>156</v>
      </c>
      <c r="G3421" s="1"/>
    </row>
    <row r="3422" spans="1:7" x14ac:dyDescent="0.25">
      <c r="A3422" s="4" t="s">
        <v>556</v>
      </c>
      <c r="B3422" s="5" t="s">
        <v>580</v>
      </c>
      <c r="C3422" s="5">
        <v>4.7549000000000001</v>
      </c>
      <c r="D3422">
        <f t="shared" si="53"/>
        <v>156</v>
      </c>
      <c r="G3422" s="1"/>
    </row>
    <row r="3423" spans="1:7" x14ac:dyDescent="0.25">
      <c r="A3423" s="3" t="s">
        <v>556</v>
      </c>
      <c r="B3423" s="6" t="s">
        <v>581</v>
      </c>
      <c r="C3423" s="6">
        <v>8.9999999999999998E-4</v>
      </c>
      <c r="D3423">
        <f t="shared" si="53"/>
        <v>156</v>
      </c>
      <c r="G3423" s="1"/>
    </row>
    <row r="3424" spans="1:7" x14ac:dyDescent="0.25">
      <c r="A3424" s="4" t="s">
        <v>556</v>
      </c>
      <c r="B3424" s="5" t="s">
        <v>582</v>
      </c>
      <c r="C3424" s="5">
        <v>3</v>
      </c>
      <c r="D3424">
        <f t="shared" si="53"/>
        <v>156</v>
      </c>
      <c r="G3424" s="1"/>
    </row>
    <row r="3425" spans="1:7" x14ac:dyDescent="0.25">
      <c r="A3425" s="3" t="s">
        <v>556</v>
      </c>
      <c r="B3425" s="6" t="s">
        <v>583</v>
      </c>
      <c r="C3425" s="6">
        <v>3</v>
      </c>
      <c r="D3425">
        <f t="shared" si="53"/>
        <v>156</v>
      </c>
      <c r="G3425" s="1"/>
    </row>
    <row r="3426" spans="1:7" x14ac:dyDescent="0.25">
      <c r="A3426" s="4" t="s">
        <v>556</v>
      </c>
      <c r="B3426" s="5" t="s">
        <v>584</v>
      </c>
      <c r="C3426" s="5">
        <v>4.7549000000000001</v>
      </c>
      <c r="D3426">
        <f t="shared" si="53"/>
        <v>156</v>
      </c>
      <c r="G3426" s="1"/>
    </row>
    <row r="3427" spans="1:7" x14ac:dyDescent="0.25">
      <c r="A3427" s="3" t="s">
        <v>556</v>
      </c>
      <c r="B3427" s="6" t="s">
        <v>585</v>
      </c>
      <c r="C3427" s="6">
        <v>1</v>
      </c>
      <c r="D3427">
        <f t="shared" si="53"/>
        <v>156</v>
      </c>
      <c r="G3427" s="1"/>
    </row>
    <row r="3428" spans="1:7" x14ac:dyDescent="0.25">
      <c r="A3428" s="4" t="s">
        <v>556</v>
      </c>
      <c r="B3428" s="5" t="s">
        <v>586</v>
      </c>
      <c r="C3428" s="5">
        <v>1</v>
      </c>
      <c r="D3428">
        <f t="shared" si="53"/>
        <v>156</v>
      </c>
      <c r="G3428" s="1"/>
    </row>
    <row r="3429" spans="1:7" x14ac:dyDescent="0.25">
      <c r="A3429" s="3" t="s">
        <v>556</v>
      </c>
      <c r="B3429" s="6" t="s">
        <v>587</v>
      </c>
      <c r="C3429" s="6">
        <v>0</v>
      </c>
      <c r="D3429">
        <f t="shared" si="53"/>
        <v>156</v>
      </c>
      <c r="G3429" s="1"/>
    </row>
    <row r="3430" spans="1:7" x14ac:dyDescent="0.25">
      <c r="A3430" s="4" t="s">
        <v>556</v>
      </c>
      <c r="B3430" s="5" t="s">
        <v>588</v>
      </c>
      <c r="C3430" s="5">
        <v>95.784400000000005</v>
      </c>
      <c r="D3430">
        <f t="shared" si="53"/>
        <v>156</v>
      </c>
      <c r="G3430" s="1"/>
    </row>
    <row r="3431" spans="1:7" x14ac:dyDescent="0.25">
      <c r="A3431" s="3" t="s">
        <v>556</v>
      </c>
      <c r="B3431" s="6" t="s">
        <v>589</v>
      </c>
      <c r="C3431" s="6">
        <v>0</v>
      </c>
      <c r="D3431">
        <f t="shared" si="53"/>
        <v>156</v>
      </c>
      <c r="G3431" s="1"/>
    </row>
    <row r="3432" spans="1:7" x14ac:dyDescent="0.25">
      <c r="A3432" s="4" t="s">
        <v>556</v>
      </c>
      <c r="B3432" s="5" t="s">
        <v>590</v>
      </c>
      <c r="C3432" s="5">
        <v>1</v>
      </c>
      <c r="D3432">
        <f t="shared" si="53"/>
        <v>156</v>
      </c>
      <c r="G3432" s="1"/>
    </row>
    <row r="3433" spans="1:7" x14ac:dyDescent="0.25">
      <c r="A3433" s="3" t="s">
        <v>556</v>
      </c>
      <c r="B3433" s="6" t="s">
        <v>591</v>
      </c>
      <c r="C3433" s="6">
        <v>1</v>
      </c>
      <c r="D3433">
        <f t="shared" si="53"/>
        <v>156</v>
      </c>
      <c r="G3433" s="1"/>
    </row>
    <row r="3434" spans="1:7" x14ac:dyDescent="0.25">
      <c r="A3434" s="4" t="s">
        <v>556</v>
      </c>
      <c r="B3434" s="5" t="s">
        <v>592</v>
      </c>
      <c r="C3434" s="5">
        <v>0</v>
      </c>
      <c r="D3434">
        <f t="shared" si="53"/>
        <v>156</v>
      </c>
      <c r="G3434" s="1"/>
    </row>
    <row r="3435" spans="1:7" x14ac:dyDescent="0.25">
      <c r="A3435" s="3" t="s">
        <v>556</v>
      </c>
      <c r="B3435" s="6" t="s">
        <v>593</v>
      </c>
      <c r="C3435" s="6">
        <v>0</v>
      </c>
      <c r="D3435">
        <f t="shared" si="53"/>
        <v>156</v>
      </c>
      <c r="G3435" s="1"/>
    </row>
    <row r="3436" spans="1:7" x14ac:dyDescent="0.25">
      <c r="A3436" s="4" t="s">
        <v>557</v>
      </c>
      <c r="B3436" s="5" t="s">
        <v>574</v>
      </c>
      <c r="C3436" s="5">
        <v>0</v>
      </c>
      <c r="D3436">
        <f t="shared" si="53"/>
        <v>157</v>
      </c>
      <c r="G3436" s="1"/>
    </row>
    <row r="3437" spans="1:7" x14ac:dyDescent="0.25">
      <c r="A3437" s="3" t="s">
        <v>557</v>
      </c>
      <c r="B3437" s="6" t="s">
        <v>575</v>
      </c>
      <c r="C3437" s="6">
        <v>0</v>
      </c>
      <c r="D3437">
        <f t="shared" si="53"/>
        <v>157</v>
      </c>
      <c r="G3437" s="1"/>
    </row>
    <row r="3438" spans="1:7" x14ac:dyDescent="0.25">
      <c r="A3438" s="4" t="s">
        <v>557</v>
      </c>
      <c r="B3438" s="5" t="s">
        <v>576</v>
      </c>
      <c r="C3438" s="5">
        <v>0</v>
      </c>
      <c r="D3438">
        <f t="shared" si="53"/>
        <v>157</v>
      </c>
      <c r="G3438" s="1"/>
    </row>
    <row r="3439" spans="1:7" x14ac:dyDescent="0.25">
      <c r="A3439" s="3" t="s">
        <v>557</v>
      </c>
      <c r="B3439" s="6" t="s">
        <v>577</v>
      </c>
      <c r="C3439" s="6">
        <v>0</v>
      </c>
      <c r="D3439">
        <f t="shared" si="53"/>
        <v>157</v>
      </c>
      <c r="G3439" s="1"/>
    </row>
    <row r="3440" spans="1:7" x14ac:dyDescent="0.25">
      <c r="A3440" s="4" t="s">
        <v>557</v>
      </c>
      <c r="B3440" s="5" t="s">
        <v>578</v>
      </c>
      <c r="C3440" s="5">
        <v>0</v>
      </c>
      <c r="D3440">
        <f t="shared" si="53"/>
        <v>157</v>
      </c>
      <c r="G3440" s="1"/>
    </row>
    <row r="3441" spans="1:7" x14ac:dyDescent="0.25">
      <c r="A3441" s="3" t="s">
        <v>557</v>
      </c>
      <c r="B3441" s="6" t="s">
        <v>579</v>
      </c>
      <c r="C3441" s="6">
        <v>1</v>
      </c>
      <c r="D3441">
        <f t="shared" si="53"/>
        <v>157</v>
      </c>
      <c r="G3441" s="1"/>
    </row>
    <row r="3442" spans="1:7" x14ac:dyDescent="0.25">
      <c r="A3442" s="4" t="s">
        <v>557</v>
      </c>
      <c r="B3442" s="5" t="s">
        <v>580</v>
      </c>
      <c r="C3442" s="5">
        <v>4.7549000000000001</v>
      </c>
      <c r="D3442">
        <f t="shared" si="53"/>
        <v>157</v>
      </c>
      <c r="G3442" s="1"/>
    </row>
    <row r="3443" spans="1:7" x14ac:dyDescent="0.25">
      <c r="A3443" s="3" t="s">
        <v>557</v>
      </c>
      <c r="B3443" s="6" t="s">
        <v>581</v>
      </c>
      <c r="C3443" s="6">
        <v>8.9999999999999998E-4</v>
      </c>
      <c r="D3443">
        <f t="shared" si="53"/>
        <v>157</v>
      </c>
      <c r="G3443" s="1"/>
    </row>
    <row r="3444" spans="1:7" x14ac:dyDescent="0.25">
      <c r="A3444" s="4" t="s">
        <v>557</v>
      </c>
      <c r="B3444" s="5" t="s">
        <v>582</v>
      </c>
      <c r="C3444" s="5">
        <v>3</v>
      </c>
      <c r="D3444">
        <f t="shared" si="53"/>
        <v>157</v>
      </c>
      <c r="G3444" s="1"/>
    </row>
    <row r="3445" spans="1:7" x14ac:dyDescent="0.25">
      <c r="A3445" s="3" t="s">
        <v>557</v>
      </c>
      <c r="B3445" s="6" t="s">
        <v>583</v>
      </c>
      <c r="C3445" s="6">
        <v>3</v>
      </c>
      <c r="D3445">
        <f t="shared" si="53"/>
        <v>157</v>
      </c>
      <c r="G3445" s="1"/>
    </row>
    <row r="3446" spans="1:7" x14ac:dyDescent="0.25">
      <c r="A3446" s="4" t="s">
        <v>557</v>
      </c>
      <c r="B3446" s="5" t="s">
        <v>584</v>
      </c>
      <c r="C3446" s="5">
        <v>4.7549000000000001</v>
      </c>
      <c r="D3446">
        <f t="shared" si="53"/>
        <v>157</v>
      </c>
      <c r="G3446" s="1"/>
    </row>
    <row r="3447" spans="1:7" x14ac:dyDescent="0.25">
      <c r="A3447" s="3" t="s">
        <v>557</v>
      </c>
      <c r="B3447" s="6" t="s">
        <v>585</v>
      </c>
      <c r="C3447" s="6">
        <v>1</v>
      </c>
      <c r="D3447">
        <f t="shared" si="53"/>
        <v>157</v>
      </c>
      <c r="G3447" s="1"/>
    </row>
    <row r="3448" spans="1:7" x14ac:dyDescent="0.25">
      <c r="A3448" s="4" t="s">
        <v>557</v>
      </c>
      <c r="B3448" s="5" t="s">
        <v>586</v>
      </c>
      <c r="C3448" s="5">
        <v>1</v>
      </c>
      <c r="D3448">
        <f t="shared" si="53"/>
        <v>157</v>
      </c>
      <c r="G3448" s="1"/>
    </row>
    <row r="3449" spans="1:7" x14ac:dyDescent="0.25">
      <c r="A3449" s="3" t="s">
        <v>557</v>
      </c>
      <c r="B3449" s="6" t="s">
        <v>587</v>
      </c>
      <c r="C3449" s="6">
        <v>0</v>
      </c>
      <c r="D3449">
        <f t="shared" si="53"/>
        <v>157</v>
      </c>
      <c r="G3449" s="1"/>
    </row>
    <row r="3450" spans="1:7" x14ac:dyDescent="0.25">
      <c r="A3450" s="4" t="s">
        <v>557</v>
      </c>
      <c r="B3450" s="5" t="s">
        <v>588</v>
      </c>
      <c r="C3450" s="5">
        <v>95.784400000000005</v>
      </c>
      <c r="D3450">
        <f t="shared" si="53"/>
        <v>157</v>
      </c>
      <c r="G3450" s="1"/>
    </row>
    <row r="3451" spans="1:7" x14ac:dyDescent="0.25">
      <c r="A3451" s="3" t="s">
        <v>557</v>
      </c>
      <c r="B3451" s="6" t="s">
        <v>589</v>
      </c>
      <c r="C3451" s="6">
        <v>0</v>
      </c>
      <c r="D3451">
        <f t="shared" si="53"/>
        <v>157</v>
      </c>
      <c r="G3451" s="1"/>
    </row>
    <row r="3452" spans="1:7" x14ac:dyDescent="0.25">
      <c r="A3452" s="4" t="s">
        <v>557</v>
      </c>
      <c r="B3452" s="5" t="s">
        <v>590</v>
      </c>
      <c r="C3452" s="5">
        <v>1</v>
      </c>
      <c r="D3452">
        <f t="shared" si="53"/>
        <v>157</v>
      </c>
      <c r="G3452" s="1"/>
    </row>
    <row r="3453" spans="1:7" x14ac:dyDescent="0.25">
      <c r="A3453" s="3" t="s">
        <v>557</v>
      </c>
      <c r="B3453" s="6" t="s">
        <v>591</v>
      </c>
      <c r="C3453" s="6">
        <v>1</v>
      </c>
      <c r="D3453">
        <f t="shared" si="53"/>
        <v>157</v>
      </c>
      <c r="G3453" s="1"/>
    </row>
    <row r="3454" spans="1:7" x14ac:dyDescent="0.25">
      <c r="A3454" s="4" t="s">
        <v>557</v>
      </c>
      <c r="B3454" s="5" t="s">
        <v>592</v>
      </c>
      <c r="C3454" s="5">
        <v>0</v>
      </c>
      <c r="D3454">
        <f t="shared" si="53"/>
        <v>157</v>
      </c>
      <c r="G3454" s="1"/>
    </row>
    <row r="3455" spans="1:7" x14ac:dyDescent="0.25">
      <c r="A3455" s="3" t="s">
        <v>557</v>
      </c>
      <c r="B3455" s="6" t="s">
        <v>593</v>
      </c>
      <c r="C3455" s="6">
        <v>0</v>
      </c>
      <c r="D3455">
        <f t="shared" si="53"/>
        <v>157</v>
      </c>
      <c r="G3455" s="1"/>
    </row>
    <row r="3456" spans="1:7" x14ac:dyDescent="0.25">
      <c r="A3456" s="4" t="s">
        <v>558</v>
      </c>
      <c r="B3456" s="5" t="s">
        <v>574</v>
      </c>
      <c r="C3456" s="5">
        <v>0</v>
      </c>
      <c r="D3456">
        <f t="shared" si="53"/>
        <v>158</v>
      </c>
      <c r="G3456" s="1"/>
    </row>
    <row r="3457" spans="1:7" x14ac:dyDescent="0.25">
      <c r="A3457" s="3" t="s">
        <v>558</v>
      </c>
      <c r="B3457" s="6" t="s">
        <v>575</v>
      </c>
      <c r="C3457" s="6">
        <v>0</v>
      </c>
      <c r="D3457">
        <f t="shared" si="53"/>
        <v>158</v>
      </c>
      <c r="G3457" s="1"/>
    </row>
    <row r="3458" spans="1:7" x14ac:dyDescent="0.25">
      <c r="A3458" s="4" t="s">
        <v>558</v>
      </c>
      <c r="B3458" s="5" t="s">
        <v>576</v>
      </c>
      <c r="C3458" s="5">
        <v>0</v>
      </c>
      <c r="D3458">
        <f t="shared" si="53"/>
        <v>158</v>
      </c>
      <c r="G3458" s="1"/>
    </row>
    <row r="3459" spans="1:7" x14ac:dyDescent="0.25">
      <c r="A3459" s="3" t="s">
        <v>558</v>
      </c>
      <c r="B3459" s="6" t="s">
        <v>577</v>
      </c>
      <c r="C3459" s="6">
        <v>0</v>
      </c>
      <c r="D3459">
        <f t="shared" si="53"/>
        <v>158</v>
      </c>
      <c r="G3459" s="1"/>
    </row>
    <row r="3460" spans="1:7" x14ac:dyDescent="0.25">
      <c r="A3460" s="4" t="s">
        <v>558</v>
      </c>
      <c r="B3460" s="5" t="s">
        <v>578</v>
      </c>
      <c r="C3460" s="5">
        <v>0</v>
      </c>
      <c r="D3460">
        <f t="shared" ref="D3460:D3523" si="54">IF(B3460="CCM", D3459+1, D3459)</f>
        <v>158</v>
      </c>
      <c r="G3460" s="1"/>
    </row>
    <row r="3461" spans="1:7" x14ac:dyDescent="0.25">
      <c r="A3461" s="3" t="s">
        <v>558</v>
      </c>
      <c r="B3461" s="6" t="s">
        <v>579</v>
      </c>
      <c r="C3461" s="6">
        <v>1.5</v>
      </c>
      <c r="D3461">
        <f t="shared" si="54"/>
        <v>158</v>
      </c>
      <c r="G3461" s="1"/>
    </row>
    <row r="3462" spans="1:7" x14ac:dyDescent="0.25">
      <c r="A3462" s="4" t="s">
        <v>558</v>
      </c>
      <c r="B3462" s="5" t="s">
        <v>580</v>
      </c>
      <c r="C3462" s="5">
        <v>12</v>
      </c>
      <c r="D3462">
        <f t="shared" si="54"/>
        <v>158</v>
      </c>
      <c r="G3462" s="1"/>
    </row>
    <row r="3463" spans="1:7" x14ac:dyDescent="0.25">
      <c r="A3463" s="3" t="s">
        <v>558</v>
      </c>
      <c r="B3463" s="6" t="s">
        <v>581</v>
      </c>
      <c r="C3463" s="6">
        <v>1.6999999999999999E-3</v>
      </c>
      <c r="D3463">
        <f t="shared" si="54"/>
        <v>158</v>
      </c>
      <c r="G3463" s="1"/>
    </row>
    <row r="3464" spans="1:7" x14ac:dyDescent="0.25">
      <c r="A3464" s="4" t="s">
        <v>558</v>
      </c>
      <c r="B3464" s="5" t="s">
        <v>582</v>
      </c>
      <c r="C3464" s="5">
        <v>4</v>
      </c>
      <c r="D3464">
        <f t="shared" si="54"/>
        <v>158</v>
      </c>
      <c r="G3464" s="1"/>
    </row>
    <row r="3465" spans="1:7" x14ac:dyDescent="0.25">
      <c r="A3465" s="3" t="s">
        <v>558</v>
      </c>
      <c r="B3465" s="6" t="s">
        <v>583</v>
      </c>
      <c r="C3465" s="6">
        <v>4</v>
      </c>
      <c r="D3465">
        <f t="shared" si="54"/>
        <v>158</v>
      </c>
      <c r="G3465" s="1"/>
    </row>
    <row r="3466" spans="1:7" x14ac:dyDescent="0.25">
      <c r="A3466" s="4" t="s">
        <v>558</v>
      </c>
      <c r="B3466" s="5" t="s">
        <v>584</v>
      </c>
      <c r="C3466" s="5">
        <v>8</v>
      </c>
      <c r="D3466">
        <f t="shared" si="54"/>
        <v>158</v>
      </c>
      <c r="G3466" s="1"/>
    </row>
    <row r="3467" spans="1:7" x14ac:dyDescent="0.25">
      <c r="A3467" s="3" t="s">
        <v>558</v>
      </c>
      <c r="B3467" s="6" t="s">
        <v>585</v>
      </c>
      <c r="C3467" s="6">
        <v>1</v>
      </c>
      <c r="D3467">
        <f t="shared" si="54"/>
        <v>158</v>
      </c>
      <c r="G3467" s="1"/>
    </row>
    <row r="3468" spans="1:7" x14ac:dyDescent="0.25">
      <c r="A3468" s="4" t="s">
        <v>558</v>
      </c>
      <c r="B3468" s="5" t="s">
        <v>586</v>
      </c>
      <c r="C3468" s="5">
        <v>1</v>
      </c>
      <c r="D3468">
        <f t="shared" si="54"/>
        <v>158</v>
      </c>
      <c r="G3468" s="1"/>
    </row>
    <row r="3469" spans="1:7" x14ac:dyDescent="0.25">
      <c r="A3469" s="3" t="s">
        <v>558</v>
      </c>
      <c r="B3469" s="6" t="s">
        <v>587</v>
      </c>
      <c r="C3469" s="6">
        <v>0</v>
      </c>
      <c r="D3469">
        <f t="shared" si="54"/>
        <v>158</v>
      </c>
      <c r="G3469" s="1"/>
    </row>
    <row r="3470" spans="1:7" x14ac:dyDescent="0.25">
      <c r="A3470" s="4" t="s">
        <v>558</v>
      </c>
      <c r="B3470" s="5" t="s">
        <v>588</v>
      </c>
      <c r="C3470" s="5">
        <v>93.676599999999993</v>
      </c>
      <c r="D3470">
        <f t="shared" si="54"/>
        <v>158</v>
      </c>
      <c r="G3470" s="1"/>
    </row>
    <row r="3471" spans="1:7" x14ac:dyDescent="0.25">
      <c r="A3471" s="3" t="s">
        <v>558</v>
      </c>
      <c r="B3471" s="6" t="s">
        <v>589</v>
      </c>
      <c r="C3471" s="6">
        <v>0</v>
      </c>
      <c r="D3471">
        <f t="shared" si="54"/>
        <v>158</v>
      </c>
      <c r="G3471" s="1"/>
    </row>
    <row r="3472" spans="1:7" x14ac:dyDescent="0.25">
      <c r="A3472" s="4" t="s">
        <v>558</v>
      </c>
      <c r="B3472" s="5" t="s">
        <v>590</v>
      </c>
      <c r="C3472" s="5">
        <v>1</v>
      </c>
      <c r="D3472">
        <f t="shared" si="54"/>
        <v>158</v>
      </c>
      <c r="G3472" s="1"/>
    </row>
    <row r="3473" spans="1:7" x14ac:dyDescent="0.25">
      <c r="A3473" s="3" t="s">
        <v>558</v>
      </c>
      <c r="B3473" s="6" t="s">
        <v>591</v>
      </c>
      <c r="C3473" s="6">
        <v>1</v>
      </c>
      <c r="D3473">
        <f t="shared" si="54"/>
        <v>158</v>
      </c>
      <c r="G3473" s="1"/>
    </row>
    <row r="3474" spans="1:7" x14ac:dyDescent="0.25">
      <c r="A3474" s="4" t="s">
        <v>558</v>
      </c>
      <c r="B3474" s="5" t="s">
        <v>592</v>
      </c>
      <c r="C3474" s="5">
        <v>0</v>
      </c>
      <c r="D3474">
        <f t="shared" si="54"/>
        <v>158</v>
      </c>
      <c r="G3474" s="1"/>
    </row>
    <row r="3475" spans="1:7" x14ac:dyDescent="0.25">
      <c r="A3475" s="3" t="s">
        <v>558</v>
      </c>
      <c r="B3475" s="6" t="s">
        <v>593</v>
      </c>
      <c r="C3475" s="6">
        <v>0</v>
      </c>
      <c r="D3475">
        <f t="shared" si="54"/>
        <v>158</v>
      </c>
      <c r="G3475" s="1"/>
    </row>
    <row r="3476" spans="1:7" x14ac:dyDescent="0.25">
      <c r="A3476" s="4" t="s">
        <v>559</v>
      </c>
      <c r="B3476" s="5" t="s">
        <v>574</v>
      </c>
      <c r="C3476" s="5">
        <v>0</v>
      </c>
      <c r="D3476">
        <f t="shared" si="54"/>
        <v>159</v>
      </c>
      <c r="G3476" s="1"/>
    </row>
    <row r="3477" spans="1:7" x14ac:dyDescent="0.25">
      <c r="A3477" s="3" t="s">
        <v>559</v>
      </c>
      <c r="B3477" s="6" t="s">
        <v>575</v>
      </c>
      <c r="C3477" s="6">
        <v>0</v>
      </c>
      <c r="D3477">
        <f t="shared" si="54"/>
        <v>159</v>
      </c>
      <c r="G3477" s="1"/>
    </row>
    <row r="3478" spans="1:7" x14ac:dyDescent="0.25">
      <c r="A3478" s="4" t="s">
        <v>559</v>
      </c>
      <c r="B3478" s="5" t="s">
        <v>576</v>
      </c>
      <c r="C3478" s="5">
        <v>0</v>
      </c>
      <c r="D3478">
        <f t="shared" si="54"/>
        <v>159</v>
      </c>
      <c r="G3478" s="1"/>
    </row>
    <row r="3479" spans="1:7" x14ac:dyDescent="0.25">
      <c r="A3479" s="3" t="s">
        <v>559</v>
      </c>
      <c r="B3479" s="6" t="s">
        <v>577</v>
      </c>
      <c r="C3479" s="6">
        <v>0</v>
      </c>
      <c r="D3479">
        <f t="shared" si="54"/>
        <v>159</v>
      </c>
      <c r="G3479" s="1"/>
    </row>
    <row r="3480" spans="1:7" x14ac:dyDescent="0.25">
      <c r="A3480" s="4" t="s">
        <v>559</v>
      </c>
      <c r="B3480" s="5" t="s">
        <v>578</v>
      </c>
      <c r="C3480" s="5">
        <v>0</v>
      </c>
      <c r="D3480">
        <f t="shared" si="54"/>
        <v>159</v>
      </c>
      <c r="G3480" s="1"/>
    </row>
    <row r="3481" spans="1:7" x14ac:dyDescent="0.25">
      <c r="A3481" s="3" t="s">
        <v>559</v>
      </c>
      <c r="B3481" s="6" t="s">
        <v>579</v>
      </c>
      <c r="C3481" s="6">
        <v>1</v>
      </c>
      <c r="D3481">
        <f t="shared" si="54"/>
        <v>159</v>
      </c>
      <c r="G3481" s="1"/>
    </row>
    <row r="3482" spans="1:7" x14ac:dyDescent="0.25">
      <c r="A3482" s="4" t="s">
        <v>559</v>
      </c>
      <c r="B3482" s="5" t="s">
        <v>580</v>
      </c>
      <c r="C3482" s="5">
        <v>4.7549000000000001</v>
      </c>
      <c r="D3482">
        <f t="shared" si="54"/>
        <v>159</v>
      </c>
      <c r="G3482" s="1"/>
    </row>
    <row r="3483" spans="1:7" x14ac:dyDescent="0.25">
      <c r="A3483" s="3" t="s">
        <v>559</v>
      </c>
      <c r="B3483" s="6" t="s">
        <v>581</v>
      </c>
      <c r="C3483" s="6">
        <v>8.9999999999999998E-4</v>
      </c>
      <c r="D3483">
        <f t="shared" si="54"/>
        <v>159</v>
      </c>
      <c r="G3483" s="1"/>
    </row>
    <row r="3484" spans="1:7" x14ac:dyDescent="0.25">
      <c r="A3484" s="4" t="s">
        <v>559</v>
      </c>
      <c r="B3484" s="5" t="s">
        <v>582</v>
      </c>
      <c r="C3484" s="5">
        <v>3</v>
      </c>
      <c r="D3484">
        <f t="shared" si="54"/>
        <v>159</v>
      </c>
      <c r="G3484" s="1"/>
    </row>
    <row r="3485" spans="1:7" x14ac:dyDescent="0.25">
      <c r="A3485" s="3" t="s">
        <v>559</v>
      </c>
      <c r="B3485" s="6" t="s">
        <v>583</v>
      </c>
      <c r="C3485" s="6">
        <v>3</v>
      </c>
      <c r="D3485">
        <f t="shared" si="54"/>
        <v>159</v>
      </c>
      <c r="G3485" s="1"/>
    </row>
    <row r="3486" spans="1:7" x14ac:dyDescent="0.25">
      <c r="A3486" s="4" t="s">
        <v>559</v>
      </c>
      <c r="B3486" s="5" t="s">
        <v>584</v>
      </c>
      <c r="C3486" s="5">
        <v>4.7549000000000001</v>
      </c>
      <c r="D3486">
        <f t="shared" si="54"/>
        <v>159</v>
      </c>
      <c r="G3486" s="1"/>
    </row>
    <row r="3487" spans="1:7" x14ac:dyDescent="0.25">
      <c r="A3487" s="3" t="s">
        <v>559</v>
      </c>
      <c r="B3487" s="6" t="s">
        <v>585</v>
      </c>
      <c r="C3487" s="6">
        <v>1</v>
      </c>
      <c r="D3487">
        <f t="shared" si="54"/>
        <v>159</v>
      </c>
      <c r="G3487" s="1"/>
    </row>
    <row r="3488" spans="1:7" x14ac:dyDescent="0.25">
      <c r="A3488" s="4" t="s">
        <v>559</v>
      </c>
      <c r="B3488" s="5" t="s">
        <v>586</v>
      </c>
      <c r="C3488" s="5">
        <v>1</v>
      </c>
      <c r="D3488">
        <f t="shared" si="54"/>
        <v>159</v>
      </c>
      <c r="G3488" s="1"/>
    </row>
    <row r="3489" spans="1:7" x14ac:dyDescent="0.25">
      <c r="A3489" s="3" t="s">
        <v>559</v>
      </c>
      <c r="B3489" s="6" t="s">
        <v>587</v>
      </c>
      <c r="C3489" s="6">
        <v>0</v>
      </c>
      <c r="D3489">
        <f t="shared" si="54"/>
        <v>159</v>
      </c>
      <c r="G3489" s="1"/>
    </row>
    <row r="3490" spans="1:7" x14ac:dyDescent="0.25">
      <c r="A3490" s="4" t="s">
        <v>559</v>
      </c>
      <c r="B3490" s="5" t="s">
        <v>588</v>
      </c>
      <c r="C3490" s="5">
        <v>95.784400000000005</v>
      </c>
      <c r="D3490">
        <f t="shared" si="54"/>
        <v>159</v>
      </c>
      <c r="G3490" s="1"/>
    </row>
    <row r="3491" spans="1:7" x14ac:dyDescent="0.25">
      <c r="A3491" s="3" t="s">
        <v>559</v>
      </c>
      <c r="B3491" s="6" t="s">
        <v>589</v>
      </c>
      <c r="C3491" s="6">
        <v>0</v>
      </c>
      <c r="D3491">
        <f t="shared" si="54"/>
        <v>159</v>
      </c>
      <c r="G3491" s="1"/>
    </row>
    <row r="3492" spans="1:7" x14ac:dyDescent="0.25">
      <c r="A3492" s="4" t="s">
        <v>559</v>
      </c>
      <c r="B3492" s="5" t="s">
        <v>590</v>
      </c>
      <c r="C3492" s="5">
        <v>1</v>
      </c>
      <c r="D3492">
        <f t="shared" si="54"/>
        <v>159</v>
      </c>
      <c r="G3492" s="1"/>
    </row>
    <row r="3493" spans="1:7" x14ac:dyDescent="0.25">
      <c r="A3493" s="3" t="s">
        <v>559</v>
      </c>
      <c r="B3493" s="6" t="s">
        <v>591</v>
      </c>
      <c r="C3493" s="6">
        <v>1</v>
      </c>
      <c r="D3493">
        <f t="shared" si="54"/>
        <v>159</v>
      </c>
      <c r="G3493" s="1"/>
    </row>
    <row r="3494" spans="1:7" x14ac:dyDescent="0.25">
      <c r="A3494" s="4" t="s">
        <v>559</v>
      </c>
      <c r="B3494" s="5" t="s">
        <v>592</v>
      </c>
      <c r="C3494" s="5">
        <v>0</v>
      </c>
      <c r="D3494">
        <f t="shared" si="54"/>
        <v>159</v>
      </c>
      <c r="G3494" s="1"/>
    </row>
    <row r="3495" spans="1:7" x14ac:dyDescent="0.25">
      <c r="A3495" s="3" t="s">
        <v>559</v>
      </c>
      <c r="B3495" s="6" t="s">
        <v>593</v>
      </c>
      <c r="C3495" s="6">
        <v>0</v>
      </c>
      <c r="D3495">
        <f t="shared" si="54"/>
        <v>159</v>
      </c>
      <c r="G3495" s="1"/>
    </row>
    <row r="3496" spans="1:7" x14ac:dyDescent="0.25">
      <c r="A3496" s="4" t="s">
        <v>560</v>
      </c>
      <c r="B3496" s="5" t="s">
        <v>574</v>
      </c>
      <c r="C3496" s="5">
        <v>0</v>
      </c>
      <c r="D3496">
        <f t="shared" si="54"/>
        <v>160</v>
      </c>
      <c r="G3496" s="1"/>
    </row>
    <row r="3497" spans="1:7" x14ac:dyDescent="0.25">
      <c r="A3497" s="3" t="s">
        <v>560</v>
      </c>
      <c r="B3497" s="6" t="s">
        <v>575</v>
      </c>
      <c r="C3497" s="6">
        <v>0</v>
      </c>
      <c r="D3497">
        <f t="shared" si="54"/>
        <v>160</v>
      </c>
      <c r="G3497" s="1"/>
    </row>
    <row r="3498" spans="1:7" x14ac:dyDescent="0.25">
      <c r="A3498" s="4" t="s">
        <v>560</v>
      </c>
      <c r="B3498" s="5" t="s">
        <v>576</v>
      </c>
      <c r="C3498" s="5">
        <v>0</v>
      </c>
      <c r="D3498">
        <f t="shared" si="54"/>
        <v>160</v>
      </c>
      <c r="G3498" s="1"/>
    </row>
    <row r="3499" spans="1:7" x14ac:dyDescent="0.25">
      <c r="A3499" s="3" t="s">
        <v>560</v>
      </c>
      <c r="B3499" s="6" t="s">
        <v>577</v>
      </c>
      <c r="C3499" s="6">
        <v>0</v>
      </c>
      <c r="D3499">
        <f t="shared" si="54"/>
        <v>160</v>
      </c>
      <c r="G3499" s="1"/>
    </row>
    <row r="3500" spans="1:7" x14ac:dyDescent="0.25">
      <c r="A3500" s="4" t="s">
        <v>560</v>
      </c>
      <c r="B3500" s="5" t="s">
        <v>578</v>
      </c>
      <c r="C3500" s="5">
        <v>0</v>
      </c>
      <c r="D3500">
        <f t="shared" si="54"/>
        <v>160</v>
      </c>
      <c r="G3500" s="1"/>
    </row>
    <row r="3501" spans="1:7" x14ac:dyDescent="0.25">
      <c r="A3501" s="3" t="s">
        <v>560</v>
      </c>
      <c r="B3501" s="6" t="s">
        <v>579</v>
      </c>
      <c r="C3501" s="6">
        <v>1.5</v>
      </c>
      <c r="D3501">
        <f t="shared" si="54"/>
        <v>160</v>
      </c>
      <c r="G3501" s="1"/>
    </row>
    <row r="3502" spans="1:7" x14ac:dyDescent="0.25">
      <c r="A3502" s="4" t="s">
        <v>560</v>
      </c>
      <c r="B3502" s="5" t="s">
        <v>580</v>
      </c>
      <c r="C3502" s="5">
        <v>12</v>
      </c>
      <c r="D3502">
        <f t="shared" si="54"/>
        <v>160</v>
      </c>
      <c r="G3502" s="1"/>
    </row>
    <row r="3503" spans="1:7" x14ac:dyDescent="0.25">
      <c r="A3503" s="3" t="s">
        <v>560</v>
      </c>
      <c r="B3503" s="6" t="s">
        <v>581</v>
      </c>
      <c r="C3503" s="6">
        <v>1.6999999999999999E-3</v>
      </c>
      <c r="D3503">
        <f t="shared" si="54"/>
        <v>160</v>
      </c>
      <c r="G3503" s="1"/>
    </row>
    <row r="3504" spans="1:7" x14ac:dyDescent="0.25">
      <c r="A3504" s="4" t="s">
        <v>560</v>
      </c>
      <c r="B3504" s="5" t="s">
        <v>582</v>
      </c>
      <c r="C3504" s="5">
        <v>4</v>
      </c>
      <c r="D3504">
        <f t="shared" si="54"/>
        <v>160</v>
      </c>
      <c r="G3504" s="1"/>
    </row>
    <row r="3505" spans="1:7" x14ac:dyDescent="0.25">
      <c r="A3505" s="3" t="s">
        <v>560</v>
      </c>
      <c r="B3505" s="6" t="s">
        <v>583</v>
      </c>
      <c r="C3505" s="6">
        <v>4</v>
      </c>
      <c r="D3505">
        <f t="shared" si="54"/>
        <v>160</v>
      </c>
      <c r="G3505" s="1"/>
    </row>
    <row r="3506" spans="1:7" x14ac:dyDescent="0.25">
      <c r="A3506" s="4" t="s">
        <v>560</v>
      </c>
      <c r="B3506" s="5" t="s">
        <v>584</v>
      </c>
      <c r="C3506" s="5">
        <v>8</v>
      </c>
      <c r="D3506">
        <f t="shared" si="54"/>
        <v>160</v>
      </c>
      <c r="G3506" s="1"/>
    </row>
    <row r="3507" spans="1:7" x14ac:dyDescent="0.25">
      <c r="A3507" s="3" t="s">
        <v>560</v>
      </c>
      <c r="B3507" s="6" t="s">
        <v>585</v>
      </c>
      <c r="C3507" s="6">
        <v>1</v>
      </c>
      <c r="D3507">
        <f t="shared" si="54"/>
        <v>160</v>
      </c>
      <c r="G3507" s="1"/>
    </row>
    <row r="3508" spans="1:7" x14ac:dyDescent="0.25">
      <c r="A3508" s="4" t="s">
        <v>560</v>
      </c>
      <c r="B3508" s="5" t="s">
        <v>586</v>
      </c>
      <c r="C3508" s="5">
        <v>1</v>
      </c>
      <c r="D3508">
        <f t="shared" si="54"/>
        <v>160</v>
      </c>
      <c r="G3508" s="1"/>
    </row>
    <row r="3509" spans="1:7" x14ac:dyDescent="0.25">
      <c r="A3509" s="3" t="s">
        <v>560</v>
      </c>
      <c r="B3509" s="6" t="s">
        <v>587</v>
      </c>
      <c r="C3509" s="6">
        <v>0</v>
      </c>
      <c r="D3509">
        <f t="shared" si="54"/>
        <v>160</v>
      </c>
      <c r="G3509" s="1"/>
    </row>
    <row r="3510" spans="1:7" x14ac:dyDescent="0.25">
      <c r="A3510" s="4" t="s">
        <v>560</v>
      </c>
      <c r="B3510" s="5" t="s">
        <v>588</v>
      </c>
      <c r="C3510" s="5">
        <v>93.676599999999993</v>
      </c>
      <c r="D3510">
        <f t="shared" si="54"/>
        <v>160</v>
      </c>
      <c r="G3510" s="1"/>
    </row>
    <row r="3511" spans="1:7" x14ac:dyDescent="0.25">
      <c r="A3511" s="3" t="s">
        <v>560</v>
      </c>
      <c r="B3511" s="6" t="s">
        <v>589</v>
      </c>
      <c r="C3511" s="6">
        <v>0</v>
      </c>
      <c r="D3511">
        <f t="shared" si="54"/>
        <v>160</v>
      </c>
      <c r="G3511" s="1"/>
    </row>
    <row r="3512" spans="1:7" x14ac:dyDescent="0.25">
      <c r="A3512" s="4" t="s">
        <v>560</v>
      </c>
      <c r="B3512" s="5" t="s">
        <v>590</v>
      </c>
      <c r="C3512" s="5">
        <v>1</v>
      </c>
      <c r="D3512">
        <f t="shared" si="54"/>
        <v>160</v>
      </c>
      <c r="G3512" s="1"/>
    </row>
    <row r="3513" spans="1:7" x14ac:dyDescent="0.25">
      <c r="A3513" s="3" t="s">
        <v>560</v>
      </c>
      <c r="B3513" s="6" t="s">
        <v>591</v>
      </c>
      <c r="C3513" s="6">
        <v>1</v>
      </c>
      <c r="D3513">
        <f t="shared" si="54"/>
        <v>160</v>
      </c>
      <c r="G3513" s="1"/>
    </row>
    <row r="3514" spans="1:7" x14ac:dyDescent="0.25">
      <c r="A3514" s="4" t="s">
        <v>560</v>
      </c>
      <c r="B3514" s="5" t="s">
        <v>592</v>
      </c>
      <c r="C3514" s="5">
        <v>0</v>
      </c>
      <c r="D3514">
        <f t="shared" si="54"/>
        <v>160</v>
      </c>
      <c r="G3514" s="1"/>
    </row>
    <row r="3515" spans="1:7" x14ac:dyDescent="0.25">
      <c r="A3515" s="3" t="s">
        <v>560</v>
      </c>
      <c r="B3515" s="6" t="s">
        <v>593</v>
      </c>
      <c r="C3515" s="6">
        <v>0</v>
      </c>
      <c r="D3515">
        <f t="shared" si="54"/>
        <v>160</v>
      </c>
      <c r="G3515" s="1"/>
    </row>
    <row r="3516" spans="1:7" x14ac:dyDescent="0.25">
      <c r="A3516" s="4" t="s">
        <v>561</v>
      </c>
      <c r="B3516" s="5" t="s">
        <v>574</v>
      </c>
      <c r="C3516" s="5">
        <v>0</v>
      </c>
      <c r="D3516">
        <f t="shared" si="54"/>
        <v>161</v>
      </c>
      <c r="G3516" s="1"/>
    </row>
    <row r="3517" spans="1:7" x14ac:dyDescent="0.25">
      <c r="A3517" s="3" t="s">
        <v>561</v>
      </c>
      <c r="B3517" s="6" t="s">
        <v>575</v>
      </c>
      <c r="C3517" s="6">
        <v>0</v>
      </c>
      <c r="D3517">
        <f t="shared" si="54"/>
        <v>161</v>
      </c>
      <c r="G3517" s="1"/>
    </row>
    <row r="3518" spans="1:7" x14ac:dyDescent="0.25">
      <c r="A3518" s="4" t="s">
        <v>561</v>
      </c>
      <c r="B3518" s="5" t="s">
        <v>576</v>
      </c>
      <c r="C3518" s="5">
        <v>0</v>
      </c>
      <c r="D3518">
        <f t="shared" si="54"/>
        <v>161</v>
      </c>
      <c r="G3518" s="1"/>
    </row>
    <row r="3519" spans="1:7" x14ac:dyDescent="0.25">
      <c r="A3519" s="3" t="s">
        <v>561</v>
      </c>
      <c r="B3519" s="6" t="s">
        <v>577</v>
      </c>
      <c r="C3519" s="6">
        <v>0</v>
      </c>
      <c r="D3519">
        <f t="shared" si="54"/>
        <v>161</v>
      </c>
      <c r="G3519" s="1"/>
    </row>
    <row r="3520" spans="1:7" x14ac:dyDescent="0.25">
      <c r="A3520" s="4" t="s">
        <v>561</v>
      </c>
      <c r="B3520" s="5" t="s">
        <v>578</v>
      </c>
      <c r="C3520" s="5">
        <v>0</v>
      </c>
      <c r="D3520">
        <f t="shared" si="54"/>
        <v>161</v>
      </c>
      <c r="G3520" s="1"/>
    </row>
    <row r="3521" spans="1:7" x14ac:dyDescent="0.25">
      <c r="A3521" s="3" t="s">
        <v>561</v>
      </c>
      <c r="B3521" s="6" t="s">
        <v>579</v>
      </c>
      <c r="C3521" s="6">
        <v>1.5</v>
      </c>
      <c r="D3521">
        <f t="shared" si="54"/>
        <v>161</v>
      </c>
      <c r="G3521" s="1"/>
    </row>
    <row r="3522" spans="1:7" x14ac:dyDescent="0.25">
      <c r="A3522" s="4" t="s">
        <v>561</v>
      </c>
      <c r="B3522" s="5" t="s">
        <v>580</v>
      </c>
      <c r="C3522" s="5">
        <v>33.688299999999998</v>
      </c>
      <c r="D3522">
        <f t="shared" si="54"/>
        <v>161</v>
      </c>
      <c r="G3522" s="1"/>
    </row>
    <row r="3523" spans="1:7" x14ac:dyDescent="0.25">
      <c r="A3523" s="3" t="s">
        <v>561</v>
      </c>
      <c r="B3523" s="6" t="s">
        <v>581</v>
      </c>
      <c r="C3523" s="6">
        <v>3.5000000000000001E-3</v>
      </c>
      <c r="D3523">
        <f t="shared" si="54"/>
        <v>161</v>
      </c>
      <c r="G3523" s="1"/>
    </row>
    <row r="3524" spans="1:7" x14ac:dyDescent="0.25">
      <c r="A3524" s="4" t="s">
        <v>561</v>
      </c>
      <c r="B3524" s="5" t="s">
        <v>582</v>
      </c>
      <c r="C3524" s="5">
        <v>8</v>
      </c>
      <c r="D3524">
        <f t="shared" ref="D3524:D3587" si="55">IF(B3524="CCM", D3523+1, D3523)</f>
        <v>161</v>
      </c>
      <c r="G3524" s="1"/>
    </row>
    <row r="3525" spans="1:7" x14ac:dyDescent="0.25">
      <c r="A3525" s="3" t="s">
        <v>561</v>
      </c>
      <c r="B3525" s="6" t="s">
        <v>583</v>
      </c>
      <c r="C3525" s="6">
        <v>7</v>
      </c>
      <c r="D3525">
        <f t="shared" si="55"/>
        <v>161</v>
      </c>
      <c r="G3525" s="1"/>
    </row>
    <row r="3526" spans="1:7" x14ac:dyDescent="0.25">
      <c r="A3526" s="4" t="s">
        <v>561</v>
      </c>
      <c r="B3526" s="5" t="s">
        <v>584</v>
      </c>
      <c r="C3526" s="5">
        <v>22.4588</v>
      </c>
      <c r="D3526">
        <f t="shared" si="55"/>
        <v>161</v>
      </c>
      <c r="G3526" s="1"/>
    </row>
    <row r="3527" spans="1:7" x14ac:dyDescent="0.25">
      <c r="A3527" s="3" t="s">
        <v>561</v>
      </c>
      <c r="B3527" s="6" t="s">
        <v>585</v>
      </c>
      <c r="C3527" s="6">
        <v>4</v>
      </c>
      <c r="D3527">
        <f t="shared" si="55"/>
        <v>161</v>
      </c>
      <c r="G3527" s="1"/>
    </row>
    <row r="3528" spans="1:7" x14ac:dyDescent="0.25">
      <c r="A3528" s="4" t="s">
        <v>561</v>
      </c>
      <c r="B3528" s="5" t="s">
        <v>586</v>
      </c>
      <c r="C3528" s="5">
        <v>1</v>
      </c>
      <c r="D3528">
        <f t="shared" si="55"/>
        <v>161</v>
      </c>
      <c r="G3528" s="1"/>
    </row>
    <row r="3529" spans="1:7" x14ac:dyDescent="0.25">
      <c r="A3529" s="3" t="s">
        <v>561</v>
      </c>
      <c r="B3529" s="6" t="s">
        <v>587</v>
      </c>
      <c r="C3529" s="6">
        <v>0</v>
      </c>
      <c r="D3529">
        <f t="shared" si="55"/>
        <v>161</v>
      </c>
      <c r="G3529" s="1"/>
    </row>
    <row r="3530" spans="1:7" x14ac:dyDescent="0.25">
      <c r="A3530" s="4" t="s">
        <v>561</v>
      </c>
      <c r="B3530" s="5" t="s">
        <v>588</v>
      </c>
      <c r="C3530" s="5">
        <v>77.466999999999999</v>
      </c>
      <c r="D3530">
        <f t="shared" si="55"/>
        <v>161</v>
      </c>
      <c r="G3530" s="1"/>
    </row>
    <row r="3531" spans="1:7" x14ac:dyDescent="0.25">
      <c r="A3531" s="3" t="s">
        <v>561</v>
      </c>
      <c r="B3531" s="6" t="s">
        <v>589</v>
      </c>
      <c r="C3531" s="6">
        <v>0</v>
      </c>
      <c r="D3531">
        <f t="shared" si="55"/>
        <v>161</v>
      </c>
      <c r="G3531" s="1"/>
    </row>
    <row r="3532" spans="1:7" x14ac:dyDescent="0.25">
      <c r="A3532" s="4" t="s">
        <v>561</v>
      </c>
      <c r="B3532" s="5" t="s">
        <v>590</v>
      </c>
      <c r="C3532" s="5">
        <v>1</v>
      </c>
      <c r="D3532">
        <f t="shared" si="55"/>
        <v>161</v>
      </c>
      <c r="G3532" s="1"/>
    </row>
    <row r="3533" spans="1:7" x14ac:dyDescent="0.25">
      <c r="A3533" s="3" t="s">
        <v>561</v>
      </c>
      <c r="B3533" s="6" t="s">
        <v>591</v>
      </c>
      <c r="C3533" s="6">
        <v>2</v>
      </c>
      <c r="D3533">
        <f t="shared" si="55"/>
        <v>161</v>
      </c>
      <c r="G3533" s="1"/>
    </row>
    <row r="3534" spans="1:7" x14ac:dyDescent="0.25">
      <c r="A3534" s="4" t="s">
        <v>561</v>
      </c>
      <c r="B3534" s="5" t="s">
        <v>592</v>
      </c>
      <c r="C3534" s="5">
        <v>0</v>
      </c>
      <c r="D3534">
        <f t="shared" si="55"/>
        <v>161</v>
      </c>
      <c r="G3534" s="1"/>
    </row>
    <row r="3535" spans="1:7" x14ac:dyDescent="0.25">
      <c r="A3535" s="3" t="s">
        <v>561</v>
      </c>
      <c r="B3535" s="6" t="s">
        <v>593</v>
      </c>
      <c r="C3535" s="6">
        <v>0</v>
      </c>
      <c r="D3535">
        <f t="shared" si="55"/>
        <v>161</v>
      </c>
      <c r="G3535" s="1"/>
    </row>
    <row r="3536" spans="1:7" x14ac:dyDescent="0.25">
      <c r="A3536" s="4" t="s">
        <v>562</v>
      </c>
      <c r="B3536" s="5" t="s">
        <v>574</v>
      </c>
      <c r="C3536" s="5">
        <v>0</v>
      </c>
      <c r="D3536">
        <f t="shared" si="55"/>
        <v>162</v>
      </c>
      <c r="G3536" s="1"/>
    </row>
    <row r="3537" spans="1:7" x14ac:dyDescent="0.25">
      <c r="A3537" s="3" t="s">
        <v>562</v>
      </c>
      <c r="B3537" s="6" t="s">
        <v>575</v>
      </c>
      <c r="C3537" s="6">
        <v>0</v>
      </c>
      <c r="D3537">
        <f t="shared" si="55"/>
        <v>162</v>
      </c>
      <c r="G3537" s="1"/>
    </row>
    <row r="3538" spans="1:7" x14ac:dyDescent="0.25">
      <c r="A3538" s="4" t="s">
        <v>562</v>
      </c>
      <c r="B3538" s="5" t="s">
        <v>576</v>
      </c>
      <c r="C3538" s="5">
        <v>0</v>
      </c>
      <c r="D3538">
        <f t="shared" si="55"/>
        <v>162</v>
      </c>
      <c r="G3538" s="1"/>
    </row>
    <row r="3539" spans="1:7" x14ac:dyDescent="0.25">
      <c r="A3539" s="3" t="s">
        <v>562</v>
      </c>
      <c r="B3539" s="6" t="s">
        <v>577</v>
      </c>
      <c r="C3539" s="6">
        <v>0</v>
      </c>
      <c r="D3539">
        <f t="shared" si="55"/>
        <v>162</v>
      </c>
      <c r="G3539" s="1"/>
    </row>
    <row r="3540" spans="1:7" x14ac:dyDescent="0.25">
      <c r="A3540" s="4" t="s">
        <v>562</v>
      </c>
      <c r="B3540" s="5" t="s">
        <v>578</v>
      </c>
      <c r="C3540" s="5">
        <v>0</v>
      </c>
      <c r="D3540">
        <f t="shared" si="55"/>
        <v>162</v>
      </c>
      <c r="G3540" s="1"/>
    </row>
    <row r="3541" spans="1:7" x14ac:dyDescent="0.25">
      <c r="A3541" s="3" t="s">
        <v>562</v>
      </c>
      <c r="B3541" s="6" t="s">
        <v>579</v>
      </c>
      <c r="C3541" s="6">
        <v>1.5</v>
      </c>
      <c r="D3541">
        <f t="shared" si="55"/>
        <v>162</v>
      </c>
      <c r="G3541" s="1"/>
    </row>
    <row r="3542" spans="1:7" x14ac:dyDescent="0.25">
      <c r="A3542" s="4" t="s">
        <v>562</v>
      </c>
      <c r="B3542" s="5" t="s">
        <v>580</v>
      </c>
      <c r="C3542" s="5">
        <v>33.688299999999998</v>
      </c>
      <c r="D3542">
        <f t="shared" si="55"/>
        <v>162</v>
      </c>
      <c r="G3542" s="1"/>
    </row>
    <row r="3543" spans="1:7" x14ac:dyDescent="0.25">
      <c r="A3543" s="3" t="s">
        <v>562</v>
      </c>
      <c r="B3543" s="6" t="s">
        <v>581</v>
      </c>
      <c r="C3543" s="6">
        <v>3.5000000000000001E-3</v>
      </c>
      <c r="D3543">
        <f t="shared" si="55"/>
        <v>162</v>
      </c>
      <c r="G3543" s="1"/>
    </row>
    <row r="3544" spans="1:7" x14ac:dyDescent="0.25">
      <c r="A3544" s="4" t="s">
        <v>562</v>
      </c>
      <c r="B3544" s="5" t="s">
        <v>582</v>
      </c>
      <c r="C3544" s="5">
        <v>8</v>
      </c>
      <c r="D3544">
        <f t="shared" si="55"/>
        <v>162</v>
      </c>
      <c r="G3544" s="1"/>
    </row>
    <row r="3545" spans="1:7" x14ac:dyDescent="0.25">
      <c r="A3545" s="3" t="s">
        <v>562</v>
      </c>
      <c r="B3545" s="6" t="s">
        <v>583</v>
      </c>
      <c r="C3545" s="6">
        <v>7</v>
      </c>
      <c r="D3545">
        <f t="shared" si="55"/>
        <v>162</v>
      </c>
      <c r="G3545" s="1"/>
    </row>
    <row r="3546" spans="1:7" x14ac:dyDescent="0.25">
      <c r="A3546" s="4" t="s">
        <v>562</v>
      </c>
      <c r="B3546" s="5" t="s">
        <v>584</v>
      </c>
      <c r="C3546" s="5">
        <v>22.4588</v>
      </c>
      <c r="D3546">
        <f t="shared" si="55"/>
        <v>162</v>
      </c>
      <c r="G3546" s="1"/>
    </row>
    <row r="3547" spans="1:7" x14ac:dyDescent="0.25">
      <c r="A3547" s="3" t="s">
        <v>562</v>
      </c>
      <c r="B3547" s="6" t="s">
        <v>585</v>
      </c>
      <c r="C3547" s="6">
        <v>4</v>
      </c>
      <c r="D3547">
        <f t="shared" si="55"/>
        <v>162</v>
      </c>
      <c r="G3547" s="1"/>
    </row>
    <row r="3548" spans="1:7" x14ac:dyDescent="0.25">
      <c r="A3548" s="4" t="s">
        <v>562</v>
      </c>
      <c r="B3548" s="5" t="s">
        <v>586</v>
      </c>
      <c r="C3548" s="5">
        <v>1</v>
      </c>
      <c r="D3548">
        <f t="shared" si="55"/>
        <v>162</v>
      </c>
      <c r="G3548" s="1"/>
    </row>
    <row r="3549" spans="1:7" x14ac:dyDescent="0.25">
      <c r="A3549" s="3" t="s">
        <v>562</v>
      </c>
      <c r="B3549" s="6" t="s">
        <v>587</v>
      </c>
      <c r="C3549" s="6">
        <v>0</v>
      </c>
      <c r="D3549">
        <f t="shared" si="55"/>
        <v>162</v>
      </c>
      <c r="G3549" s="1"/>
    </row>
    <row r="3550" spans="1:7" x14ac:dyDescent="0.25">
      <c r="A3550" s="4" t="s">
        <v>562</v>
      </c>
      <c r="B3550" s="5" t="s">
        <v>588</v>
      </c>
      <c r="C3550" s="5">
        <v>77.466999999999999</v>
      </c>
      <c r="D3550">
        <f t="shared" si="55"/>
        <v>162</v>
      </c>
      <c r="G3550" s="1"/>
    </row>
    <row r="3551" spans="1:7" x14ac:dyDescent="0.25">
      <c r="A3551" s="3" t="s">
        <v>562</v>
      </c>
      <c r="B3551" s="6" t="s">
        <v>589</v>
      </c>
      <c r="C3551" s="6">
        <v>0</v>
      </c>
      <c r="D3551">
        <f t="shared" si="55"/>
        <v>162</v>
      </c>
      <c r="G3551" s="1"/>
    </row>
    <row r="3552" spans="1:7" x14ac:dyDescent="0.25">
      <c r="A3552" s="4" t="s">
        <v>562</v>
      </c>
      <c r="B3552" s="5" t="s">
        <v>590</v>
      </c>
      <c r="C3552" s="5">
        <v>1</v>
      </c>
      <c r="D3552">
        <f t="shared" si="55"/>
        <v>162</v>
      </c>
      <c r="G3552" s="1"/>
    </row>
    <row r="3553" spans="1:7" x14ac:dyDescent="0.25">
      <c r="A3553" s="3" t="s">
        <v>562</v>
      </c>
      <c r="B3553" s="6" t="s">
        <v>591</v>
      </c>
      <c r="C3553" s="6">
        <v>2</v>
      </c>
      <c r="D3553">
        <f t="shared" si="55"/>
        <v>162</v>
      </c>
      <c r="G3553" s="1"/>
    </row>
    <row r="3554" spans="1:7" x14ac:dyDescent="0.25">
      <c r="A3554" s="4" t="s">
        <v>562</v>
      </c>
      <c r="B3554" s="5" t="s">
        <v>592</v>
      </c>
      <c r="C3554" s="5">
        <v>0</v>
      </c>
      <c r="D3554">
        <f t="shared" si="55"/>
        <v>162</v>
      </c>
      <c r="G3554" s="1"/>
    </row>
    <row r="3555" spans="1:7" x14ac:dyDescent="0.25">
      <c r="A3555" s="3" t="s">
        <v>562</v>
      </c>
      <c r="B3555" s="6" t="s">
        <v>593</v>
      </c>
      <c r="C3555" s="6">
        <v>0</v>
      </c>
      <c r="D3555">
        <f t="shared" si="55"/>
        <v>162</v>
      </c>
      <c r="G3555" s="1"/>
    </row>
    <row r="3556" spans="1:7" x14ac:dyDescent="0.25">
      <c r="A3556" s="3" t="s">
        <v>1092</v>
      </c>
      <c r="B3556" s="6" t="s">
        <v>574</v>
      </c>
      <c r="C3556" s="6">
        <v>0</v>
      </c>
      <c r="D3556">
        <f t="shared" si="55"/>
        <v>163</v>
      </c>
      <c r="G3556" s="1"/>
    </row>
    <row r="3557" spans="1:7" x14ac:dyDescent="0.25">
      <c r="A3557" s="4" t="s">
        <v>1092</v>
      </c>
      <c r="B3557" s="5" t="s">
        <v>575</v>
      </c>
      <c r="C3557" s="5">
        <v>0</v>
      </c>
      <c r="D3557">
        <f t="shared" si="55"/>
        <v>163</v>
      </c>
      <c r="G3557" s="1"/>
    </row>
    <row r="3558" spans="1:7" x14ac:dyDescent="0.25">
      <c r="A3558" s="3" t="s">
        <v>1092</v>
      </c>
      <c r="B3558" s="6" t="s">
        <v>576</v>
      </c>
      <c r="C3558" s="6">
        <v>0</v>
      </c>
      <c r="D3558">
        <f t="shared" si="55"/>
        <v>163</v>
      </c>
      <c r="G3558" s="1"/>
    </row>
    <row r="3559" spans="1:7" x14ac:dyDescent="0.25">
      <c r="A3559" s="4" t="s">
        <v>1092</v>
      </c>
      <c r="B3559" s="5" t="s">
        <v>577</v>
      </c>
      <c r="C3559" s="5">
        <v>0</v>
      </c>
      <c r="D3559">
        <f t="shared" si="55"/>
        <v>163</v>
      </c>
      <c r="G3559" s="1"/>
    </row>
    <row r="3560" spans="1:7" x14ac:dyDescent="0.25">
      <c r="A3560" s="3" t="s">
        <v>1092</v>
      </c>
      <c r="B3560" s="6" t="s">
        <v>578</v>
      </c>
      <c r="C3560" s="6">
        <v>0</v>
      </c>
      <c r="D3560">
        <f t="shared" si="55"/>
        <v>163</v>
      </c>
      <c r="G3560" s="1"/>
    </row>
    <row r="3561" spans="1:7" x14ac:dyDescent="0.25">
      <c r="A3561" s="4" t="s">
        <v>1092</v>
      </c>
      <c r="B3561" s="5" t="s">
        <v>579</v>
      </c>
      <c r="C3561" s="5">
        <v>0</v>
      </c>
      <c r="D3561">
        <f t="shared" si="55"/>
        <v>163</v>
      </c>
      <c r="G3561" s="1"/>
    </row>
    <row r="3562" spans="1:7" x14ac:dyDescent="0.25">
      <c r="A3562" s="3" t="s">
        <v>1092</v>
      </c>
      <c r="B3562" s="6" t="s">
        <v>580</v>
      </c>
      <c r="C3562" s="6" t="s">
        <v>627</v>
      </c>
      <c r="D3562">
        <f t="shared" si="55"/>
        <v>163</v>
      </c>
      <c r="G3562" s="1"/>
    </row>
    <row r="3563" spans="1:7" x14ac:dyDescent="0.25">
      <c r="A3563" s="4" t="s">
        <v>1092</v>
      </c>
      <c r="B3563" s="5" t="s">
        <v>581</v>
      </c>
      <c r="C3563" s="5" t="s">
        <v>627</v>
      </c>
      <c r="D3563">
        <f t="shared" si="55"/>
        <v>163</v>
      </c>
      <c r="G3563" s="1"/>
    </row>
    <row r="3564" spans="1:7" x14ac:dyDescent="0.25">
      <c r="A3564" s="3" t="s">
        <v>1092</v>
      </c>
      <c r="B3564" s="6" t="s">
        <v>582</v>
      </c>
      <c r="C3564" s="6">
        <v>0</v>
      </c>
      <c r="D3564">
        <f t="shared" si="55"/>
        <v>163</v>
      </c>
      <c r="G3564" s="1"/>
    </row>
    <row r="3565" spans="1:7" x14ac:dyDescent="0.25">
      <c r="A3565" s="4" t="s">
        <v>1092</v>
      </c>
      <c r="B3565" s="5" t="s">
        <v>583</v>
      </c>
      <c r="C3565" s="5">
        <v>0</v>
      </c>
      <c r="D3565">
        <f t="shared" si="55"/>
        <v>163</v>
      </c>
      <c r="G3565" s="1"/>
    </row>
    <row r="3566" spans="1:7" x14ac:dyDescent="0.25">
      <c r="A3566" s="3" t="s">
        <v>1092</v>
      </c>
      <c r="B3566" s="6" t="s">
        <v>584</v>
      </c>
      <c r="C3566" s="6" t="s">
        <v>627</v>
      </c>
      <c r="D3566">
        <f t="shared" si="55"/>
        <v>163</v>
      </c>
      <c r="G3566" s="1"/>
    </row>
    <row r="3567" spans="1:7" x14ac:dyDescent="0.25">
      <c r="A3567" s="4" t="s">
        <v>1092</v>
      </c>
      <c r="B3567" s="5" t="s">
        <v>585</v>
      </c>
      <c r="C3567" s="5">
        <v>4</v>
      </c>
      <c r="D3567">
        <f t="shared" si="55"/>
        <v>163</v>
      </c>
      <c r="G3567" s="1"/>
    </row>
    <row r="3568" spans="1:7" x14ac:dyDescent="0.25">
      <c r="A3568" s="3" t="s">
        <v>1092</v>
      </c>
      <c r="B3568" s="6" t="s">
        <v>586</v>
      </c>
      <c r="C3568" s="6">
        <v>0</v>
      </c>
      <c r="D3568">
        <f t="shared" si="55"/>
        <v>163</v>
      </c>
      <c r="G3568" s="1"/>
    </row>
    <row r="3569" spans="1:7" x14ac:dyDescent="0.25">
      <c r="A3569" s="4" t="s">
        <v>1092</v>
      </c>
      <c r="B3569" s="5" t="s">
        <v>587</v>
      </c>
      <c r="C3569" s="5">
        <v>0</v>
      </c>
      <c r="D3569">
        <f t="shared" si="55"/>
        <v>163</v>
      </c>
      <c r="G3569" s="1"/>
    </row>
    <row r="3570" spans="1:7" x14ac:dyDescent="0.25">
      <c r="A3570" s="3" t="s">
        <v>1092</v>
      </c>
      <c r="B3570" s="6" t="s">
        <v>588</v>
      </c>
      <c r="C3570" s="6" t="s">
        <v>248</v>
      </c>
      <c r="D3570">
        <f t="shared" si="55"/>
        <v>163</v>
      </c>
      <c r="G3570" s="1"/>
    </row>
    <row r="3571" spans="1:7" x14ac:dyDescent="0.25">
      <c r="A3571" s="4" t="s">
        <v>1092</v>
      </c>
      <c r="B3571" s="5" t="s">
        <v>589</v>
      </c>
      <c r="C3571" s="5">
        <v>-1</v>
      </c>
      <c r="D3571">
        <f t="shared" si="55"/>
        <v>163</v>
      </c>
      <c r="G3571" s="1"/>
    </row>
    <row r="3572" spans="1:7" x14ac:dyDescent="0.25">
      <c r="A3572" s="3" t="s">
        <v>1092</v>
      </c>
      <c r="B3572" s="6" t="s">
        <v>590</v>
      </c>
      <c r="C3572" s="6">
        <v>1</v>
      </c>
      <c r="D3572">
        <f t="shared" si="55"/>
        <v>163</v>
      </c>
      <c r="G3572" s="1"/>
    </row>
    <row r="3573" spans="1:7" x14ac:dyDescent="0.25">
      <c r="A3573" s="4" t="s">
        <v>1092</v>
      </c>
      <c r="B3573" s="5" t="s">
        <v>591</v>
      </c>
      <c r="C3573" s="5">
        <v>0</v>
      </c>
      <c r="D3573">
        <f t="shared" si="55"/>
        <v>163</v>
      </c>
      <c r="G3573" s="1"/>
    </row>
    <row r="3574" spans="1:7" x14ac:dyDescent="0.25">
      <c r="A3574" s="3" t="s">
        <v>1092</v>
      </c>
      <c r="B3574" s="6" t="s">
        <v>592</v>
      </c>
      <c r="C3574" s="6">
        <v>0</v>
      </c>
      <c r="D3574">
        <f t="shared" si="55"/>
        <v>163</v>
      </c>
      <c r="G3574" s="1"/>
    </row>
    <row r="3575" spans="1:7" x14ac:dyDescent="0.25">
      <c r="A3575" s="4" t="s">
        <v>1092</v>
      </c>
      <c r="B3575" s="5" t="s">
        <v>593</v>
      </c>
      <c r="C3575" s="5">
        <v>4</v>
      </c>
      <c r="D3575">
        <f t="shared" si="55"/>
        <v>163</v>
      </c>
      <c r="G3575" s="1"/>
    </row>
    <row r="3576" spans="1:7" x14ac:dyDescent="0.25">
      <c r="A3576" s="3" t="s">
        <v>1093</v>
      </c>
      <c r="B3576" s="6" t="s">
        <v>574</v>
      </c>
      <c r="C3576" s="6">
        <v>0</v>
      </c>
      <c r="D3576">
        <f t="shared" si="55"/>
        <v>164</v>
      </c>
      <c r="G3576" s="1"/>
    </row>
    <row r="3577" spans="1:7" x14ac:dyDescent="0.25">
      <c r="A3577" s="4" t="s">
        <v>1093</v>
      </c>
      <c r="B3577" s="5" t="s">
        <v>575</v>
      </c>
      <c r="C3577" s="5">
        <v>0</v>
      </c>
      <c r="D3577">
        <f t="shared" si="55"/>
        <v>164</v>
      </c>
      <c r="G3577" s="1"/>
    </row>
    <row r="3578" spans="1:7" x14ac:dyDescent="0.25">
      <c r="A3578" s="3" t="s">
        <v>1093</v>
      </c>
      <c r="B3578" s="6" t="s">
        <v>576</v>
      </c>
      <c r="C3578" s="6">
        <v>0</v>
      </c>
      <c r="D3578">
        <f t="shared" si="55"/>
        <v>164</v>
      </c>
      <c r="G3578" s="1"/>
    </row>
    <row r="3579" spans="1:7" x14ac:dyDescent="0.25">
      <c r="A3579" s="4" t="s">
        <v>1093</v>
      </c>
      <c r="B3579" s="5" t="s">
        <v>577</v>
      </c>
      <c r="C3579" s="5">
        <v>0</v>
      </c>
      <c r="D3579">
        <f t="shared" si="55"/>
        <v>164</v>
      </c>
      <c r="G3579" s="1"/>
    </row>
    <row r="3580" spans="1:7" x14ac:dyDescent="0.25">
      <c r="A3580" s="3" t="s">
        <v>1093</v>
      </c>
      <c r="B3580" s="6" t="s">
        <v>578</v>
      </c>
      <c r="C3580" s="6">
        <v>0</v>
      </c>
      <c r="D3580">
        <f t="shared" si="55"/>
        <v>164</v>
      </c>
      <c r="G3580" s="1"/>
    </row>
    <row r="3581" spans="1:7" x14ac:dyDescent="0.25">
      <c r="A3581" s="4" t="s">
        <v>1093</v>
      </c>
      <c r="B3581" s="5" t="s">
        <v>579</v>
      </c>
      <c r="C3581" s="5">
        <v>0</v>
      </c>
      <c r="D3581">
        <f t="shared" si="55"/>
        <v>164</v>
      </c>
      <c r="G3581" s="1"/>
    </row>
    <row r="3582" spans="1:7" x14ac:dyDescent="0.25">
      <c r="A3582" s="3" t="s">
        <v>1093</v>
      </c>
      <c r="B3582" s="6" t="s">
        <v>580</v>
      </c>
      <c r="C3582" s="6" t="s">
        <v>627</v>
      </c>
      <c r="D3582">
        <f t="shared" si="55"/>
        <v>164</v>
      </c>
      <c r="G3582" s="1"/>
    </row>
    <row r="3583" spans="1:7" x14ac:dyDescent="0.25">
      <c r="A3583" s="4" t="s">
        <v>1093</v>
      </c>
      <c r="B3583" s="5" t="s">
        <v>581</v>
      </c>
      <c r="C3583" s="5" t="s">
        <v>627</v>
      </c>
      <c r="D3583">
        <f t="shared" si="55"/>
        <v>164</v>
      </c>
      <c r="G3583" s="1"/>
    </row>
    <row r="3584" spans="1:7" x14ac:dyDescent="0.25">
      <c r="A3584" s="3" t="s">
        <v>1093</v>
      </c>
      <c r="B3584" s="6" t="s">
        <v>582</v>
      </c>
      <c r="C3584" s="6">
        <v>0</v>
      </c>
      <c r="D3584">
        <f t="shared" si="55"/>
        <v>164</v>
      </c>
      <c r="G3584" s="1"/>
    </row>
    <row r="3585" spans="1:7" x14ac:dyDescent="0.25">
      <c r="A3585" s="4" t="s">
        <v>1093</v>
      </c>
      <c r="B3585" s="5" t="s">
        <v>583</v>
      </c>
      <c r="C3585" s="5">
        <v>0</v>
      </c>
      <c r="D3585">
        <f t="shared" si="55"/>
        <v>164</v>
      </c>
      <c r="G3585" s="1"/>
    </row>
    <row r="3586" spans="1:7" x14ac:dyDescent="0.25">
      <c r="A3586" s="3" t="s">
        <v>1093</v>
      </c>
      <c r="B3586" s="6" t="s">
        <v>584</v>
      </c>
      <c r="C3586" s="6" t="s">
        <v>627</v>
      </c>
      <c r="D3586">
        <f t="shared" si="55"/>
        <v>164</v>
      </c>
      <c r="G3586" s="1"/>
    </row>
    <row r="3587" spans="1:7" x14ac:dyDescent="0.25">
      <c r="A3587" s="4" t="s">
        <v>1093</v>
      </c>
      <c r="B3587" s="5" t="s">
        <v>585</v>
      </c>
      <c r="C3587" s="5">
        <v>1</v>
      </c>
      <c r="D3587">
        <f t="shared" si="55"/>
        <v>164</v>
      </c>
      <c r="G3587" s="1"/>
    </row>
    <row r="3588" spans="1:7" x14ac:dyDescent="0.25">
      <c r="A3588" s="3" t="s">
        <v>1093</v>
      </c>
      <c r="B3588" s="6" t="s">
        <v>586</v>
      </c>
      <c r="C3588" s="6">
        <v>0</v>
      </c>
      <c r="D3588">
        <f t="shared" ref="D3588:D3651" si="56">IF(B3588="CCM", D3587+1, D3587)</f>
        <v>164</v>
      </c>
      <c r="G3588" s="1"/>
    </row>
    <row r="3589" spans="1:7" x14ac:dyDescent="0.25">
      <c r="A3589" s="4" t="s">
        <v>1093</v>
      </c>
      <c r="B3589" s="5" t="s">
        <v>587</v>
      </c>
      <c r="C3589" s="5">
        <v>0</v>
      </c>
      <c r="D3589">
        <f t="shared" si="56"/>
        <v>164</v>
      </c>
      <c r="G3589" s="1"/>
    </row>
    <row r="3590" spans="1:7" x14ac:dyDescent="0.25">
      <c r="A3590" s="3" t="s">
        <v>1093</v>
      </c>
      <c r="B3590" s="6" t="s">
        <v>588</v>
      </c>
      <c r="C3590" s="6" t="s">
        <v>248</v>
      </c>
      <c r="D3590">
        <f t="shared" si="56"/>
        <v>164</v>
      </c>
      <c r="G3590" s="1"/>
    </row>
    <row r="3591" spans="1:7" x14ac:dyDescent="0.25">
      <c r="A3591" s="4" t="s">
        <v>1093</v>
      </c>
      <c r="B3591" s="5" t="s">
        <v>589</v>
      </c>
      <c r="C3591" s="5">
        <v>-1</v>
      </c>
      <c r="D3591">
        <f t="shared" si="56"/>
        <v>164</v>
      </c>
      <c r="G3591" s="1"/>
    </row>
    <row r="3592" spans="1:7" x14ac:dyDescent="0.25">
      <c r="A3592" s="3" t="s">
        <v>1093</v>
      </c>
      <c r="B3592" s="6" t="s">
        <v>590</v>
      </c>
      <c r="C3592" s="6">
        <v>1</v>
      </c>
      <c r="D3592">
        <f t="shared" si="56"/>
        <v>164</v>
      </c>
      <c r="G3592" s="1"/>
    </row>
    <row r="3593" spans="1:7" x14ac:dyDescent="0.25">
      <c r="A3593" s="4" t="s">
        <v>1093</v>
      </c>
      <c r="B3593" s="5" t="s">
        <v>591</v>
      </c>
      <c r="C3593" s="5">
        <v>0</v>
      </c>
      <c r="D3593">
        <f t="shared" si="56"/>
        <v>164</v>
      </c>
      <c r="G3593" s="1"/>
    </row>
    <row r="3594" spans="1:7" x14ac:dyDescent="0.25">
      <c r="A3594" s="3" t="s">
        <v>1093</v>
      </c>
      <c r="B3594" s="6" t="s">
        <v>592</v>
      </c>
      <c r="C3594" s="6">
        <v>0</v>
      </c>
      <c r="D3594">
        <f t="shared" si="56"/>
        <v>164</v>
      </c>
      <c r="G3594" s="1"/>
    </row>
    <row r="3595" spans="1:7" x14ac:dyDescent="0.25">
      <c r="A3595" s="4" t="s">
        <v>1093</v>
      </c>
      <c r="B3595" s="5" t="s">
        <v>593</v>
      </c>
      <c r="C3595" s="5">
        <v>0</v>
      </c>
      <c r="D3595">
        <f t="shared" si="56"/>
        <v>164</v>
      </c>
      <c r="G3595" s="1"/>
    </row>
    <row r="3596" spans="1:7" x14ac:dyDescent="0.25">
      <c r="A3596" s="3" t="s">
        <v>1094</v>
      </c>
      <c r="B3596" s="6" t="s">
        <v>574</v>
      </c>
      <c r="C3596" s="6">
        <v>0</v>
      </c>
      <c r="D3596">
        <f t="shared" si="56"/>
        <v>165</v>
      </c>
      <c r="G3596" s="1"/>
    </row>
    <row r="3597" spans="1:7" x14ac:dyDescent="0.25">
      <c r="A3597" s="4" t="s">
        <v>1094</v>
      </c>
      <c r="B3597" s="5" t="s">
        <v>575</v>
      </c>
      <c r="C3597" s="5">
        <v>0</v>
      </c>
      <c r="D3597">
        <f t="shared" si="56"/>
        <v>165</v>
      </c>
      <c r="G3597" s="1"/>
    </row>
    <row r="3598" spans="1:7" x14ac:dyDescent="0.25">
      <c r="A3598" s="3" t="s">
        <v>1094</v>
      </c>
      <c r="B3598" s="6" t="s">
        <v>576</v>
      </c>
      <c r="C3598" s="6">
        <v>0</v>
      </c>
      <c r="D3598">
        <f t="shared" si="56"/>
        <v>165</v>
      </c>
      <c r="G3598" s="1"/>
    </row>
    <row r="3599" spans="1:7" x14ac:dyDescent="0.25">
      <c r="A3599" s="4" t="s">
        <v>1094</v>
      </c>
      <c r="B3599" s="5" t="s">
        <v>577</v>
      </c>
      <c r="C3599" s="5">
        <v>0</v>
      </c>
      <c r="D3599">
        <f t="shared" si="56"/>
        <v>165</v>
      </c>
      <c r="G3599" s="1"/>
    </row>
    <row r="3600" spans="1:7" x14ac:dyDescent="0.25">
      <c r="A3600" s="3" t="s">
        <v>1094</v>
      </c>
      <c r="B3600" s="6" t="s">
        <v>578</v>
      </c>
      <c r="C3600" s="6">
        <v>0</v>
      </c>
      <c r="D3600">
        <f t="shared" si="56"/>
        <v>165</v>
      </c>
      <c r="G3600" s="1"/>
    </row>
    <row r="3601" spans="1:7" x14ac:dyDescent="0.25">
      <c r="A3601" s="4" t="s">
        <v>1094</v>
      </c>
      <c r="B3601" s="5" t="s">
        <v>579</v>
      </c>
      <c r="C3601" s="5">
        <v>0</v>
      </c>
      <c r="D3601">
        <f t="shared" si="56"/>
        <v>165</v>
      </c>
      <c r="G3601" s="1"/>
    </row>
    <row r="3602" spans="1:7" x14ac:dyDescent="0.25">
      <c r="A3602" s="3" t="s">
        <v>1094</v>
      </c>
      <c r="B3602" s="6" t="s">
        <v>580</v>
      </c>
      <c r="C3602" s="6" t="s">
        <v>627</v>
      </c>
      <c r="D3602">
        <f t="shared" si="56"/>
        <v>165</v>
      </c>
      <c r="G3602" s="1"/>
    </row>
    <row r="3603" spans="1:7" x14ac:dyDescent="0.25">
      <c r="A3603" s="4" t="s">
        <v>1094</v>
      </c>
      <c r="B3603" s="5" t="s">
        <v>581</v>
      </c>
      <c r="C3603" s="5" t="s">
        <v>627</v>
      </c>
      <c r="D3603">
        <f t="shared" si="56"/>
        <v>165</v>
      </c>
      <c r="G3603" s="1"/>
    </row>
    <row r="3604" spans="1:7" x14ac:dyDescent="0.25">
      <c r="A3604" s="3" t="s">
        <v>1094</v>
      </c>
      <c r="B3604" s="6" t="s">
        <v>582</v>
      </c>
      <c r="C3604" s="6">
        <v>0</v>
      </c>
      <c r="D3604">
        <f t="shared" si="56"/>
        <v>165</v>
      </c>
      <c r="G3604" s="1"/>
    </row>
    <row r="3605" spans="1:7" x14ac:dyDescent="0.25">
      <c r="A3605" s="4" t="s">
        <v>1094</v>
      </c>
      <c r="B3605" s="5" t="s">
        <v>583</v>
      </c>
      <c r="C3605" s="5">
        <v>0</v>
      </c>
      <c r="D3605">
        <f t="shared" si="56"/>
        <v>165</v>
      </c>
      <c r="G3605" s="1"/>
    </row>
    <row r="3606" spans="1:7" x14ac:dyDescent="0.25">
      <c r="A3606" s="3" t="s">
        <v>1094</v>
      </c>
      <c r="B3606" s="6" t="s">
        <v>584</v>
      </c>
      <c r="C3606" s="6" t="s">
        <v>627</v>
      </c>
      <c r="D3606">
        <f t="shared" si="56"/>
        <v>165</v>
      </c>
      <c r="G3606" s="1"/>
    </row>
    <row r="3607" spans="1:7" x14ac:dyDescent="0.25">
      <c r="A3607" s="4" t="s">
        <v>1094</v>
      </c>
      <c r="B3607" s="5" t="s">
        <v>585</v>
      </c>
      <c r="C3607" s="5">
        <v>1</v>
      </c>
      <c r="D3607">
        <f t="shared" si="56"/>
        <v>165</v>
      </c>
      <c r="G3607" s="1"/>
    </row>
    <row r="3608" spans="1:7" x14ac:dyDescent="0.25">
      <c r="A3608" s="3" t="s">
        <v>1094</v>
      </c>
      <c r="B3608" s="6" t="s">
        <v>586</v>
      </c>
      <c r="C3608" s="6">
        <v>0</v>
      </c>
      <c r="D3608">
        <f t="shared" si="56"/>
        <v>165</v>
      </c>
      <c r="G3608" s="1"/>
    </row>
    <row r="3609" spans="1:7" x14ac:dyDescent="0.25">
      <c r="A3609" s="4" t="s">
        <v>1094</v>
      </c>
      <c r="B3609" s="5" t="s">
        <v>587</v>
      </c>
      <c r="C3609" s="5">
        <v>0</v>
      </c>
      <c r="D3609">
        <f t="shared" si="56"/>
        <v>165</v>
      </c>
      <c r="G3609" s="1"/>
    </row>
    <row r="3610" spans="1:7" x14ac:dyDescent="0.25">
      <c r="A3610" s="3" t="s">
        <v>1094</v>
      </c>
      <c r="B3610" s="6" t="s">
        <v>588</v>
      </c>
      <c r="C3610" s="6" t="s">
        <v>248</v>
      </c>
      <c r="D3610">
        <f t="shared" si="56"/>
        <v>165</v>
      </c>
      <c r="G3610" s="1"/>
    </row>
    <row r="3611" spans="1:7" x14ac:dyDescent="0.25">
      <c r="A3611" s="4" t="s">
        <v>1094</v>
      </c>
      <c r="B3611" s="5" t="s">
        <v>589</v>
      </c>
      <c r="C3611" s="5">
        <v>-1</v>
      </c>
      <c r="D3611">
        <f t="shared" si="56"/>
        <v>165</v>
      </c>
      <c r="G3611" s="1"/>
    </row>
    <row r="3612" spans="1:7" x14ac:dyDescent="0.25">
      <c r="A3612" s="3" t="s">
        <v>1094</v>
      </c>
      <c r="B3612" s="6" t="s">
        <v>590</v>
      </c>
      <c r="C3612" s="6">
        <v>1</v>
      </c>
      <c r="D3612">
        <f t="shared" si="56"/>
        <v>165</v>
      </c>
      <c r="G3612" s="1"/>
    </row>
    <row r="3613" spans="1:7" x14ac:dyDescent="0.25">
      <c r="A3613" s="4" t="s">
        <v>1094</v>
      </c>
      <c r="B3613" s="5" t="s">
        <v>591</v>
      </c>
      <c r="C3613" s="5">
        <v>0</v>
      </c>
      <c r="D3613">
        <f t="shared" si="56"/>
        <v>165</v>
      </c>
      <c r="G3613" s="1"/>
    </row>
    <row r="3614" spans="1:7" x14ac:dyDescent="0.25">
      <c r="A3614" s="3" t="s">
        <v>1094</v>
      </c>
      <c r="B3614" s="6" t="s">
        <v>592</v>
      </c>
      <c r="C3614" s="6">
        <v>0</v>
      </c>
      <c r="D3614">
        <f t="shared" si="56"/>
        <v>165</v>
      </c>
      <c r="G3614" s="1"/>
    </row>
    <row r="3615" spans="1:7" x14ac:dyDescent="0.25">
      <c r="A3615" s="4" t="s">
        <v>1094</v>
      </c>
      <c r="B3615" s="5" t="s">
        <v>593</v>
      </c>
      <c r="C3615" s="5">
        <v>0</v>
      </c>
      <c r="D3615">
        <f t="shared" si="56"/>
        <v>165</v>
      </c>
      <c r="G3615" s="1"/>
    </row>
    <row r="3616" spans="1:7" x14ac:dyDescent="0.25">
      <c r="A3616" s="3" t="s">
        <v>1095</v>
      </c>
      <c r="B3616" s="6" t="s">
        <v>574</v>
      </c>
      <c r="C3616" s="6">
        <v>0</v>
      </c>
      <c r="D3616">
        <f t="shared" si="56"/>
        <v>166</v>
      </c>
      <c r="G3616" s="1"/>
    </row>
    <row r="3617" spans="1:7" x14ac:dyDescent="0.25">
      <c r="A3617" s="4" t="s">
        <v>1095</v>
      </c>
      <c r="B3617" s="5" t="s">
        <v>575</v>
      </c>
      <c r="C3617" s="5">
        <v>0</v>
      </c>
      <c r="D3617">
        <f t="shared" si="56"/>
        <v>166</v>
      </c>
      <c r="G3617" s="1"/>
    </row>
    <row r="3618" spans="1:7" x14ac:dyDescent="0.25">
      <c r="A3618" s="3" t="s">
        <v>1095</v>
      </c>
      <c r="B3618" s="6" t="s">
        <v>576</v>
      </c>
      <c r="C3618" s="6">
        <v>0</v>
      </c>
      <c r="D3618">
        <f t="shared" si="56"/>
        <v>166</v>
      </c>
      <c r="G3618" s="1"/>
    </row>
    <row r="3619" spans="1:7" x14ac:dyDescent="0.25">
      <c r="A3619" s="4" t="s">
        <v>1095</v>
      </c>
      <c r="B3619" s="5" t="s">
        <v>577</v>
      </c>
      <c r="C3619" s="5">
        <v>0</v>
      </c>
      <c r="D3619">
        <f t="shared" si="56"/>
        <v>166</v>
      </c>
      <c r="G3619" s="1"/>
    </row>
    <row r="3620" spans="1:7" x14ac:dyDescent="0.25">
      <c r="A3620" s="3" t="s">
        <v>1095</v>
      </c>
      <c r="B3620" s="6" t="s">
        <v>578</v>
      </c>
      <c r="C3620" s="6">
        <v>0</v>
      </c>
      <c r="D3620">
        <f t="shared" si="56"/>
        <v>166</v>
      </c>
      <c r="G3620" s="1"/>
    </row>
    <row r="3621" spans="1:7" x14ac:dyDescent="0.25">
      <c r="A3621" s="4" t="s">
        <v>1095</v>
      </c>
      <c r="B3621" s="5" t="s">
        <v>579</v>
      </c>
      <c r="C3621" s="5">
        <v>0</v>
      </c>
      <c r="D3621">
        <f t="shared" si="56"/>
        <v>166</v>
      </c>
      <c r="G3621" s="1"/>
    </row>
    <row r="3622" spans="1:7" x14ac:dyDescent="0.25">
      <c r="A3622" s="3" t="s">
        <v>1095</v>
      </c>
      <c r="B3622" s="6" t="s">
        <v>580</v>
      </c>
      <c r="C3622" s="6" t="s">
        <v>627</v>
      </c>
      <c r="D3622">
        <f t="shared" si="56"/>
        <v>166</v>
      </c>
      <c r="G3622" s="1"/>
    </row>
    <row r="3623" spans="1:7" x14ac:dyDescent="0.25">
      <c r="A3623" s="4" t="s">
        <v>1095</v>
      </c>
      <c r="B3623" s="5" t="s">
        <v>581</v>
      </c>
      <c r="C3623" s="5" t="s">
        <v>627</v>
      </c>
      <c r="D3623">
        <f t="shared" si="56"/>
        <v>166</v>
      </c>
      <c r="G3623" s="1"/>
    </row>
    <row r="3624" spans="1:7" x14ac:dyDescent="0.25">
      <c r="A3624" s="3" t="s">
        <v>1095</v>
      </c>
      <c r="B3624" s="6" t="s">
        <v>582</v>
      </c>
      <c r="C3624" s="6">
        <v>0</v>
      </c>
      <c r="D3624">
        <f t="shared" si="56"/>
        <v>166</v>
      </c>
      <c r="G3624" s="1"/>
    </row>
    <row r="3625" spans="1:7" x14ac:dyDescent="0.25">
      <c r="A3625" s="4" t="s">
        <v>1095</v>
      </c>
      <c r="B3625" s="5" t="s">
        <v>583</v>
      </c>
      <c r="C3625" s="5">
        <v>0</v>
      </c>
      <c r="D3625">
        <f t="shared" si="56"/>
        <v>166</v>
      </c>
      <c r="G3625" s="1"/>
    </row>
    <row r="3626" spans="1:7" x14ac:dyDescent="0.25">
      <c r="A3626" s="3" t="s">
        <v>1095</v>
      </c>
      <c r="B3626" s="6" t="s">
        <v>584</v>
      </c>
      <c r="C3626" s="6" t="s">
        <v>627</v>
      </c>
      <c r="D3626">
        <f t="shared" si="56"/>
        <v>166</v>
      </c>
      <c r="G3626" s="1"/>
    </row>
    <row r="3627" spans="1:7" x14ac:dyDescent="0.25">
      <c r="A3627" s="4" t="s">
        <v>1095</v>
      </c>
      <c r="B3627" s="5" t="s">
        <v>585</v>
      </c>
      <c r="C3627" s="5">
        <v>1</v>
      </c>
      <c r="D3627">
        <f t="shared" si="56"/>
        <v>166</v>
      </c>
      <c r="G3627" s="1"/>
    </row>
    <row r="3628" spans="1:7" x14ac:dyDescent="0.25">
      <c r="A3628" s="3" t="s">
        <v>1095</v>
      </c>
      <c r="B3628" s="6" t="s">
        <v>586</v>
      </c>
      <c r="C3628" s="6">
        <v>0</v>
      </c>
      <c r="D3628">
        <f t="shared" si="56"/>
        <v>166</v>
      </c>
      <c r="G3628" s="1"/>
    </row>
    <row r="3629" spans="1:7" x14ac:dyDescent="0.25">
      <c r="A3629" s="4" t="s">
        <v>1095</v>
      </c>
      <c r="B3629" s="5" t="s">
        <v>587</v>
      </c>
      <c r="C3629" s="5">
        <v>0</v>
      </c>
      <c r="D3629">
        <f t="shared" si="56"/>
        <v>166</v>
      </c>
      <c r="G3629" s="1"/>
    </row>
    <row r="3630" spans="1:7" x14ac:dyDescent="0.25">
      <c r="A3630" s="3" t="s">
        <v>1095</v>
      </c>
      <c r="B3630" s="6" t="s">
        <v>588</v>
      </c>
      <c r="C3630" s="6" t="s">
        <v>248</v>
      </c>
      <c r="D3630">
        <f t="shared" si="56"/>
        <v>166</v>
      </c>
      <c r="G3630" s="1"/>
    </row>
    <row r="3631" spans="1:7" x14ac:dyDescent="0.25">
      <c r="A3631" s="4" t="s">
        <v>1095</v>
      </c>
      <c r="B3631" s="5" t="s">
        <v>589</v>
      </c>
      <c r="C3631" s="5">
        <v>-1</v>
      </c>
      <c r="D3631">
        <f t="shared" si="56"/>
        <v>166</v>
      </c>
      <c r="G3631" s="1"/>
    </row>
    <row r="3632" spans="1:7" x14ac:dyDescent="0.25">
      <c r="A3632" s="3" t="s">
        <v>1095</v>
      </c>
      <c r="B3632" s="6" t="s">
        <v>590</v>
      </c>
      <c r="C3632" s="6">
        <v>1</v>
      </c>
      <c r="D3632">
        <f t="shared" si="56"/>
        <v>166</v>
      </c>
      <c r="G3632" s="1"/>
    </row>
    <row r="3633" spans="1:7" x14ac:dyDescent="0.25">
      <c r="A3633" s="4" t="s">
        <v>1095</v>
      </c>
      <c r="B3633" s="5" t="s">
        <v>591</v>
      </c>
      <c r="C3633" s="5">
        <v>0</v>
      </c>
      <c r="D3633">
        <f t="shared" si="56"/>
        <v>166</v>
      </c>
      <c r="G3633" s="1"/>
    </row>
    <row r="3634" spans="1:7" x14ac:dyDescent="0.25">
      <c r="A3634" s="3" t="s">
        <v>1095</v>
      </c>
      <c r="B3634" s="6" t="s">
        <v>592</v>
      </c>
      <c r="C3634" s="6">
        <v>0</v>
      </c>
      <c r="D3634">
        <f t="shared" si="56"/>
        <v>166</v>
      </c>
      <c r="G3634" s="1"/>
    </row>
    <row r="3635" spans="1:7" x14ac:dyDescent="0.25">
      <c r="A3635" s="4" t="s">
        <v>1095</v>
      </c>
      <c r="B3635" s="5" t="s">
        <v>593</v>
      </c>
      <c r="C3635" s="5">
        <v>0</v>
      </c>
      <c r="D3635">
        <f t="shared" si="56"/>
        <v>166</v>
      </c>
      <c r="G3635" s="1"/>
    </row>
    <row r="3636" spans="1:7" x14ac:dyDescent="0.25">
      <c r="A3636" s="3" t="s">
        <v>1096</v>
      </c>
      <c r="B3636" s="6" t="s">
        <v>574</v>
      </c>
      <c r="C3636" s="6">
        <v>0</v>
      </c>
      <c r="D3636">
        <f t="shared" si="56"/>
        <v>167</v>
      </c>
      <c r="G3636" s="1"/>
    </row>
    <row r="3637" spans="1:7" x14ac:dyDescent="0.25">
      <c r="A3637" s="4" t="s">
        <v>1096</v>
      </c>
      <c r="B3637" s="5" t="s">
        <v>575</v>
      </c>
      <c r="C3637" s="5">
        <v>0</v>
      </c>
      <c r="D3637">
        <f t="shared" si="56"/>
        <v>167</v>
      </c>
      <c r="G3637" s="1"/>
    </row>
    <row r="3638" spans="1:7" x14ac:dyDescent="0.25">
      <c r="A3638" s="3" t="s">
        <v>1096</v>
      </c>
      <c r="B3638" s="6" t="s">
        <v>576</v>
      </c>
      <c r="C3638" s="6">
        <v>0</v>
      </c>
      <c r="D3638">
        <f t="shared" si="56"/>
        <v>167</v>
      </c>
      <c r="G3638" s="1"/>
    </row>
    <row r="3639" spans="1:7" x14ac:dyDescent="0.25">
      <c r="A3639" s="4" t="s">
        <v>1096</v>
      </c>
      <c r="B3639" s="5" t="s">
        <v>577</v>
      </c>
      <c r="C3639" s="5">
        <v>0</v>
      </c>
      <c r="D3639">
        <f t="shared" si="56"/>
        <v>167</v>
      </c>
      <c r="G3639" s="1"/>
    </row>
    <row r="3640" spans="1:7" x14ac:dyDescent="0.25">
      <c r="A3640" s="3" t="s">
        <v>1096</v>
      </c>
      <c r="B3640" s="6" t="s">
        <v>578</v>
      </c>
      <c r="C3640" s="6">
        <v>0</v>
      </c>
      <c r="D3640">
        <f t="shared" si="56"/>
        <v>167</v>
      </c>
      <c r="G3640" s="1"/>
    </row>
    <row r="3641" spans="1:7" x14ac:dyDescent="0.25">
      <c r="A3641" s="4" t="s">
        <v>1096</v>
      </c>
      <c r="B3641" s="5" t="s">
        <v>579</v>
      </c>
      <c r="C3641" s="5">
        <v>0</v>
      </c>
      <c r="D3641">
        <f t="shared" si="56"/>
        <v>167</v>
      </c>
      <c r="G3641" s="1"/>
    </row>
    <row r="3642" spans="1:7" x14ac:dyDescent="0.25">
      <c r="A3642" s="3" t="s">
        <v>1096</v>
      </c>
      <c r="B3642" s="6" t="s">
        <v>580</v>
      </c>
      <c r="C3642" s="6" t="s">
        <v>627</v>
      </c>
      <c r="D3642">
        <f t="shared" si="56"/>
        <v>167</v>
      </c>
      <c r="G3642" s="1"/>
    </row>
    <row r="3643" spans="1:7" x14ac:dyDescent="0.25">
      <c r="A3643" s="4" t="s">
        <v>1096</v>
      </c>
      <c r="B3643" s="5" t="s">
        <v>581</v>
      </c>
      <c r="C3643" s="5" t="s">
        <v>627</v>
      </c>
      <c r="D3643">
        <f t="shared" si="56"/>
        <v>167</v>
      </c>
      <c r="G3643" s="1"/>
    </row>
    <row r="3644" spans="1:7" x14ac:dyDescent="0.25">
      <c r="A3644" s="3" t="s">
        <v>1096</v>
      </c>
      <c r="B3644" s="6" t="s">
        <v>582</v>
      </c>
      <c r="C3644" s="6">
        <v>0</v>
      </c>
      <c r="D3644">
        <f t="shared" si="56"/>
        <v>167</v>
      </c>
      <c r="G3644" s="1"/>
    </row>
    <row r="3645" spans="1:7" x14ac:dyDescent="0.25">
      <c r="A3645" s="4" t="s">
        <v>1096</v>
      </c>
      <c r="B3645" s="5" t="s">
        <v>583</v>
      </c>
      <c r="C3645" s="5">
        <v>0</v>
      </c>
      <c r="D3645">
        <f t="shared" si="56"/>
        <v>167</v>
      </c>
      <c r="G3645" s="1"/>
    </row>
    <row r="3646" spans="1:7" x14ac:dyDescent="0.25">
      <c r="A3646" s="3" t="s">
        <v>1096</v>
      </c>
      <c r="B3646" s="6" t="s">
        <v>584</v>
      </c>
      <c r="C3646" s="6" t="s">
        <v>627</v>
      </c>
      <c r="D3646">
        <f t="shared" si="56"/>
        <v>167</v>
      </c>
      <c r="G3646" s="1"/>
    </row>
    <row r="3647" spans="1:7" x14ac:dyDescent="0.25">
      <c r="A3647" s="4" t="s">
        <v>1096</v>
      </c>
      <c r="B3647" s="5" t="s">
        <v>585</v>
      </c>
      <c r="C3647" s="5">
        <v>1</v>
      </c>
      <c r="D3647">
        <f t="shared" si="56"/>
        <v>167</v>
      </c>
      <c r="G3647" s="1"/>
    </row>
    <row r="3648" spans="1:7" x14ac:dyDescent="0.25">
      <c r="A3648" s="3" t="s">
        <v>1096</v>
      </c>
      <c r="B3648" s="6" t="s">
        <v>586</v>
      </c>
      <c r="C3648" s="6">
        <v>0</v>
      </c>
      <c r="D3648">
        <f t="shared" si="56"/>
        <v>167</v>
      </c>
      <c r="G3648" s="1"/>
    </row>
    <row r="3649" spans="1:7" x14ac:dyDescent="0.25">
      <c r="A3649" s="4" t="s">
        <v>1096</v>
      </c>
      <c r="B3649" s="5" t="s">
        <v>587</v>
      </c>
      <c r="C3649" s="5">
        <v>0</v>
      </c>
      <c r="D3649">
        <f t="shared" si="56"/>
        <v>167</v>
      </c>
      <c r="G3649" s="1"/>
    </row>
    <row r="3650" spans="1:7" x14ac:dyDescent="0.25">
      <c r="A3650" s="3" t="s">
        <v>1096</v>
      </c>
      <c r="B3650" s="6" t="s">
        <v>588</v>
      </c>
      <c r="C3650" s="6" t="s">
        <v>248</v>
      </c>
      <c r="D3650">
        <f t="shared" si="56"/>
        <v>167</v>
      </c>
      <c r="G3650" s="1"/>
    </row>
    <row r="3651" spans="1:7" x14ac:dyDescent="0.25">
      <c r="A3651" s="4" t="s">
        <v>1096</v>
      </c>
      <c r="B3651" s="5" t="s">
        <v>589</v>
      </c>
      <c r="C3651" s="5">
        <v>-1</v>
      </c>
      <c r="D3651">
        <f t="shared" si="56"/>
        <v>167</v>
      </c>
      <c r="G3651" s="1"/>
    </row>
    <row r="3652" spans="1:7" x14ac:dyDescent="0.25">
      <c r="A3652" s="3" t="s">
        <v>1096</v>
      </c>
      <c r="B3652" s="6" t="s">
        <v>590</v>
      </c>
      <c r="C3652" s="6">
        <v>1</v>
      </c>
      <c r="D3652">
        <f t="shared" ref="D3652:D3675" si="57">IF(B3652="CCM", D3651+1, D3651)</f>
        <v>167</v>
      </c>
      <c r="G3652" s="1"/>
    </row>
    <row r="3653" spans="1:7" x14ac:dyDescent="0.25">
      <c r="A3653" s="4" t="s">
        <v>1096</v>
      </c>
      <c r="B3653" s="5" t="s">
        <v>591</v>
      </c>
      <c r="C3653" s="5">
        <v>0</v>
      </c>
      <c r="D3653">
        <f t="shared" si="57"/>
        <v>167</v>
      </c>
      <c r="G3653" s="1"/>
    </row>
    <row r="3654" spans="1:7" x14ac:dyDescent="0.25">
      <c r="A3654" s="3" t="s">
        <v>1096</v>
      </c>
      <c r="B3654" s="6" t="s">
        <v>592</v>
      </c>
      <c r="C3654" s="6">
        <v>0</v>
      </c>
      <c r="D3654">
        <f t="shared" si="57"/>
        <v>167</v>
      </c>
      <c r="G3654" s="1"/>
    </row>
    <row r="3655" spans="1:7" x14ac:dyDescent="0.25">
      <c r="A3655" s="4" t="s">
        <v>1096</v>
      </c>
      <c r="B3655" s="5" t="s">
        <v>593</v>
      </c>
      <c r="C3655" s="5">
        <v>0</v>
      </c>
      <c r="D3655">
        <f t="shared" si="57"/>
        <v>167</v>
      </c>
      <c r="G3655" s="1"/>
    </row>
    <row r="3656" spans="1:7" x14ac:dyDescent="0.25">
      <c r="A3656" s="4" t="s">
        <v>1097</v>
      </c>
      <c r="B3656" s="5" t="s">
        <v>574</v>
      </c>
      <c r="C3656" s="5">
        <v>0</v>
      </c>
      <c r="D3656">
        <f t="shared" si="57"/>
        <v>168</v>
      </c>
      <c r="G3656" s="1"/>
    </row>
    <row r="3657" spans="1:7" x14ac:dyDescent="0.25">
      <c r="A3657" s="3" t="s">
        <v>1097</v>
      </c>
      <c r="B3657" s="6" t="s">
        <v>575</v>
      </c>
      <c r="C3657" s="6">
        <v>0</v>
      </c>
      <c r="D3657">
        <f t="shared" si="57"/>
        <v>168</v>
      </c>
      <c r="G3657" s="1"/>
    </row>
    <row r="3658" spans="1:7" x14ac:dyDescent="0.25">
      <c r="A3658" s="4" t="s">
        <v>1097</v>
      </c>
      <c r="B3658" s="5" t="s">
        <v>576</v>
      </c>
      <c r="C3658" s="5">
        <v>0</v>
      </c>
      <c r="D3658">
        <f t="shared" si="57"/>
        <v>168</v>
      </c>
      <c r="G3658" s="1"/>
    </row>
    <row r="3659" spans="1:7" x14ac:dyDescent="0.25">
      <c r="A3659" s="3" t="s">
        <v>1097</v>
      </c>
      <c r="B3659" s="6" t="s">
        <v>577</v>
      </c>
      <c r="C3659" s="6">
        <v>0</v>
      </c>
      <c r="D3659">
        <f t="shared" si="57"/>
        <v>168</v>
      </c>
      <c r="G3659" s="1"/>
    </row>
    <row r="3660" spans="1:7" x14ac:dyDescent="0.25">
      <c r="A3660" s="4" t="s">
        <v>1097</v>
      </c>
      <c r="B3660" s="5" t="s">
        <v>578</v>
      </c>
      <c r="C3660" s="5">
        <v>0</v>
      </c>
      <c r="D3660">
        <f t="shared" si="57"/>
        <v>168</v>
      </c>
      <c r="G3660" s="1"/>
    </row>
    <row r="3661" spans="1:7" x14ac:dyDescent="0.25">
      <c r="A3661" s="3" t="s">
        <v>1097</v>
      </c>
      <c r="B3661" s="6" t="s">
        <v>579</v>
      </c>
      <c r="C3661" s="6">
        <v>1</v>
      </c>
      <c r="D3661">
        <f t="shared" si="57"/>
        <v>168</v>
      </c>
      <c r="G3661" s="1"/>
    </row>
    <row r="3662" spans="1:7" x14ac:dyDescent="0.25">
      <c r="A3662" s="4" t="s">
        <v>1097</v>
      </c>
      <c r="B3662" s="5" t="s">
        <v>580</v>
      </c>
      <c r="C3662" s="5">
        <v>8</v>
      </c>
      <c r="D3662">
        <f t="shared" si="57"/>
        <v>168</v>
      </c>
      <c r="G3662" s="1"/>
    </row>
    <row r="3663" spans="1:7" x14ac:dyDescent="0.25">
      <c r="A3663" s="3" t="s">
        <v>1097</v>
      </c>
      <c r="B3663" s="6" t="s">
        <v>581</v>
      </c>
      <c r="C3663" s="6">
        <v>1.2999999999999999E-3</v>
      </c>
      <c r="D3663">
        <f t="shared" si="57"/>
        <v>168</v>
      </c>
      <c r="G3663" s="1"/>
    </row>
    <row r="3664" spans="1:7" x14ac:dyDescent="0.25">
      <c r="A3664" s="4" t="s">
        <v>1097</v>
      </c>
      <c r="B3664" s="5" t="s">
        <v>582</v>
      </c>
      <c r="C3664" s="5">
        <v>4</v>
      </c>
      <c r="D3664">
        <f t="shared" si="57"/>
        <v>168</v>
      </c>
      <c r="G3664" s="1"/>
    </row>
    <row r="3665" spans="1:7" x14ac:dyDescent="0.25">
      <c r="A3665" s="3" t="s">
        <v>1097</v>
      </c>
      <c r="B3665" s="6" t="s">
        <v>583</v>
      </c>
      <c r="C3665" s="6">
        <v>4</v>
      </c>
      <c r="D3665">
        <f t="shared" si="57"/>
        <v>168</v>
      </c>
      <c r="G3665" s="1"/>
    </row>
    <row r="3666" spans="1:7" x14ac:dyDescent="0.25">
      <c r="A3666" s="4" t="s">
        <v>1097</v>
      </c>
      <c r="B3666" s="5" t="s">
        <v>584</v>
      </c>
      <c r="C3666" s="5">
        <v>8</v>
      </c>
      <c r="D3666">
        <f t="shared" si="57"/>
        <v>168</v>
      </c>
      <c r="G3666" s="1"/>
    </row>
    <row r="3667" spans="1:7" x14ac:dyDescent="0.25">
      <c r="A3667" s="3" t="s">
        <v>1097</v>
      </c>
      <c r="B3667" s="6" t="s">
        <v>585</v>
      </c>
      <c r="C3667" s="6">
        <v>1</v>
      </c>
      <c r="D3667">
        <f t="shared" si="57"/>
        <v>168</v>
      </c>
      <c r="G3667" s="1"/>
    </row>
    <row r="3668" spans="1:7" x14ac:dyDescent="0.25">
      <c r="A3668" s="4" t="s">
        <v>1097</v>
      </c>
      <c r="B3668" s="5" t="s">
        <v>586</v>
      </c>
      <c r="C3668" s="5">
        <v>1</v>
      </c>
      <c r="D3668">
        <f t="shared" si="57"/>
        <v>168</v>
      </c>
      <c r="G3668" s="1"/>
    </row>
    <row r="3669" spans="1:7" x14ac:dyDescent="0.25">
      <c r="A3669" s="3" t="s">
        <v>1097</v>
      </c>
      <c r="B3669" s="6" t="s">
        <v>587</v>
      </c>
      <c r="C3669" s="6">
        <v>0</v>
      </c>
      <c r="D3669">
        <f t="shared" si="57"/>
        <v>168</v>
      </c>
      <c r="G3669" s="1"/>
    </row>
    <row r="3670" spans="1:7" x14ac:dyDescent="0.25">
      <c r="A3670" s="4" t="s">
        <v>1097</v>
      </c>
      <c r="B3670" s="5" t="s">
        <v>588</v>
      </c>
      <c r="C3670" s="5">
        <v>93.676599999999993</v>
      </c>
      <c r="D3670">
        <f t="shared" si="57"/>
        <v>168</v>
      </c>
      <c r="G3670" s="1"/>
    </row>
    <row r="3671" spans="1:7" x14ac:dyDescent="0.25">
      <c r="A3671" s="3" t="s">
        <v>1097</v>
      </c>
      <c r="B3671" s="6" t="s">
        <v>589</v>
      </c>
      <c r="C3671" s="6">
        <v>0</v>
      </c>
      <c r="D3671">
        <f t="shared" si="57"/>
        <v>168</v>
      </c>
      <c r="G3671" s="1"/>
    </row>
    <row r="3672" spans="1:7" x14ac:dyDescent="0.25">
      <c r="A3672" s="4" t="s">
        <v>1097</v>
      </c>
      <c r="B3672" s="5" t="s">
        <v>590</v>
      </c>
      <c r="C3672" s="5">
        <v>1</v>
      </c>
      <c r="D3672">
        <f t="shared" si="57"/>
        <v>168</v>
      </c>
      <c r="G3672" s="1"/>
    </row>
    <row r="3673" spans="1:7" x14ac:dyDescent="0.25">
      <c r="A3673" s="3" t="s">
        <v>1097</v>
      </c>
      <c r="B3673" s="6" t="s">
        <v>591</v>
      </c>
      <c r="C3673" s="6">
        <v>2</v>
      </c>
      <c r="D3673">
        <f t="shared" si="57"/>
        <v>168</v>
      </c>
      <c r="G3673" s="1"/>
    </row>
    <row r="3674" spans="1:7" x14ac:dyDescent="0.25">
      <c r="A3674" s="4" t="s">
        <v>1097</v>
      </c>
      <c r="B3674" s="5" t="s">
        <v>592</v>
      </c>
      <c r="C3674" s="5">
        <v>0</v>
      </c>
      <c r="D3674">
        <f t="shared" si="57"/>
        <v>168</v>
      </c>
      <c r="G3674" s="1"/>
    </row>
    <row r="3675" spans="1:7" x14ac:dyDescent="0.25">
      <c r="A3675" s="3" t="s">
        <v>1097</v>
      </c>
      <c r="B3675" s="6" t="s">
        <v>593</v>
      </c>
      <c r="C3675" s="6">
        <v>1</v>
      </c>
      <c r="D3675">
        <f t="shared" si="57"/>
        <v>168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F5A0-5A6E-411B-9AE7-28A578F01C91}">
  <dimension ref="A1:I169"/>
  <sheetViews>
    <sheetView tabSelected="1" workbookViewId="0">
      <selection activeCell="T6" sqref="T6"/>
    </sheetView>
  </sheetViews>
  <sheetFormatPr defaultRowHeight="15" x14ac:dyDescent="0.25"/>
  <cols>
    <col min="2" max="2" width="57" bestFit="1" customWidth="1"/>
    <col min="6" max="6" width="12.28515625" bestFit="1" customWidth="1"/>
    <col min="7" max="7" width="15" bestFit="1" customWidth="1"/>
    <col min="8" max="8" width="13.28515625" bestFit="1" customWidth="1"/>
  </cols>
  <sheetData>
    <row r="1" spans="1:9" x14ac:dyDescent="0.25">
      <c r="A1" t="s">
        <v>1098</v>
      </c>
      <c r="B1" t="s">
        <v>1099</v>
      </c>
      <c r="C1" t="s">
        <v>590</v>
      </c>
      <c r="D1" t="s">
        <v>593</v>
      </c>
      <c r="E1" t="s">
        <v>585</v>
      </c>
      <c r="F1" t="s">
        <v>1100</v>
      </c>
      <c r="G1" t="s">
        <v>1101</v>
      </c>
      <c r="H1" t="s">
        <v>1102</v>
      </c>
      <c r="I1" t="s">
        <v>1103</v>
      </c>
    </row>
    <row r="2" spans="1:9" x14ac:dyDescent="0.25">
      <c r="A2">
        <v>109</v>
      </c>
      <c r="B2" t="str">
        <f>INDEX(Metodo_limpo!A:A, MATCH(A2, Metodo_limpo!D:D, 0))</f>
        <v>processEnemyFire(boolean)</v>
      </c>
      <c r="C2">
        <f>SUMIFS(Metodo_limpo!C:C, Metodo_limpo!D:D, A2, Metodo_limpo!B:B, "CC")</f>
        <v>37</v>
      </c>
      <c r="D2">
        <f>SUMIFS(Metodo_limpo!C:C, Metodo_limpo!D:D, A2, Metodo_limpo!B:B, "NOPM")</f>
        <v>0</v>
      </c>
      <c r="E2">
        <f>SUMIFS(Metodo_limpo!C:C, Metodo_limpo!D:D, A2, Metodo_limpo!B:B, "LOC")</f>
        <v>138</v>
      </c>
      <c r="F2">
        <f>(C2-MIN(C$2:C$169))/(MAX(C$2:C$169)-MIN(C$2:C$169))</f>
        <v>1</v>
      </c>
      <c r="G2">
        <f>(D2-MIN(D$2:D$169))/(MAX(D$2:D$169)-MIN(D$2:D$169))</f>
        <v>0</v>
      </c>
      <c r="H2">
        <f>(E2-MIN(E$2:E$169))/(MAX(E$2:E$169)-MIN(E$2:E$169))</f>
        <v>1</v>
      </c>
      <c r="I2" s="9">
        <f>F2+G2+H2</f>
        <v>2</v>
      </c>
    </row>
    <row r="3" spans="1:9" x14ac:dyDescent="0.25">
      <c r="A3">
        <v>46</v>
      </c>
      <c r="B3" t="str">
        <f>INDEX(Metodo_limpo!A:A, MATCH(A3, Metodo_limpo!D:D, 0))</f>
        <v>printBoard(IFleet, List&lt;IMove&gt;, boolean, boolean)</v>
      </c>
      <c r="C3">
        <f>SUMIFS(Metodo_limpo!C:C, Metodo_limpo!D:D, A3, Metodo_limpo!B:B, "CC")</f>
        <v>5</v>
      </c>
      <c r="D3">
        <f>SUMIFS(Metodo_limpo!C:C, Metodo_limpo!D:D, A3, Metodo_limpo!B:B, "NOPM")</f>
        <v>4</v>
      </c>
      <c r="E3">
        <f>SUMIFS(Metodo_limpo!C:C, Metodo_limpo!D:D, A3, Metodo_limpo!B:B, "LOC")</f>
        <v>32</v>
      </c>
      <c r="F3">
        <f>(C3-MIN(C$2:C$169))/(MAX(C$2:C$169)-MIN(C$2:C$169))</f>
        <v>0.13513513513513514</v>
      </c>
      <c r="G3">
        <f>(D3-MIN(D$2:D$169))/(MAX(D$2:D$169)-MIN(D$2:D$169))</f>
        <v>1</v>
      </c>
      <c r="H3">
        <f>(E3-MIN(E$2:E$169))/(MAX(E$2:E$169)-MIN(E$2:E$169))</f>
        <v>0.2318840579710145</v>
      </c>
      <c r="I3" s="9">
        <f>F3+G3+H3</f>
        <v>1.3670191931061495</v>
      </c>
    </row>
    <row r="4" spans="1:9" x14ac:dyDescent="0.25">
      <c r="A4">
        <v>148</v>
      </c>
      <c r="B4" t="str">
        <f>INDEX(Metodo_limpo!A:A, MATCH(A4, Metodo_limpo!D:D, 0))</f>
        <v>receiveShots(String, ShotRequest)</v>
      </c>
      <c r="C4">
        <f>SUMIFS(Metodo_limpo!C:C, Metodo_limpo!D:D, A4, Metodo_limpo!B:B, "CC")</f>
        <v>12</v>
      </c>
      <c r="D4">
        <f>SUMIFS(Metodo_limpo!C:C, Metodo_limpo!D:D, A4, Metodo_limpo!B:B, "NOPM")</f>
        <v>2</v>
      </c>
      <c r="E4">
        <f>SUMIFS(Metodo_limpo!C:C, Metodo_limpo!D:D, A4, Metodo_limpo!B:B, "LOC")</f>
        <v>60</v>
      </c>
      <c r="F4">
        <f>(C4-MIN(C$2:C$169))/(MAX(C$2:C$169)-MIN(C$2:C$169))</f>
        <v>0.32432432432432434</v>
      </c>
      <c r="G4">
        <f>(D4-MIN(D$2:D$169))/(MAX(D$2:D$169)-MIN(D$2:D$169))</f>
        <v>0.5</v>
      </c>
      <c r="H4">
        <f>(E4-MIN(E$2:E$169))/(MAX(E$2:E$169)-MIN(E$2:E$169))</f>
        <v>0.43478260869565216</v>
      </c>
      <c r="I4" s="9">
        <f>F4+G4+H4</f>
        <v>1.2591069330199764</v>
      </c>
    </row>
    <row r="5" spans="1:9" x14ac:dyDescent="0.25">
      <c r="A5">
        <v>120</v>
      </c>
      <c r="B5" t="str">
        <f>INDEX(Metodo_limpo!A:A, MATCH(A5, Metodo_limpo!D:D, 0))</f>
        <v>buildShip(String, Compass, Position)</v>
      </c>
      <c r="C5">
        <f>SUMIFS(Metodo_limpo!C:C, Metodo_limpo!D:D, A5, Metodo_limpo!B:B, "CC")</f>
        <v>7</v>
      </c>
      <c r="D5">
        <f>SUMIFS(Metodo_limpo!C:C, Metodo_limpo!D:D, A5, Metodo_limpo!B:B, "NOPM")</f>
        <v>3</v>
      </c>
      <c r="E5">
        <f>SUMIFS(Metodo_limpo!C:C, Metodo_limpo!D:D, A5, Metodo_limpo!B:B, "LOC")</f>
        <v>36</v>
      </c>
      <c r="F5">
        <f>(C5-MIN(C$2:C$169))/(MAX(C$2:C$169)-MIN(C$2:C$169))</f>
        <v>0.1891891891891892</v>
      </c>
      <c r="G5">
        <f>(D5-MIN(D$2:D$169))/(MAX(D$2:D$169)-MIN(D$2:D$169))</f>
        <v>0.75</v>
      </c>
      <c r="H5">
        <f>(E5-MIN(E$2:E$169))/(MAX(E$2:E$169)-MIN(E$2:E$169))</f>
        <v>0.2608695652173913</v>
      </c>
      <c r="I5" s="9">
        <f>F5+G5+H5</f>
        <v>1.2000587544065806</v>
      </c>
    </row>
    <row r="6" spans="1:9" x14ac:dyDescent="0.25">
      <c r="A6">
        <v>144</v>
      </c>
      <c r="B6" t="str">
        <f>INDEX(Metodo_limpo!A:A, MATCH(A6, Metodo_limpo!D:D, 0))</f>
        <v>sendShots(GameSession, List&lt;IPosition&gt;)</v>
      </c>
      <c r="C6">
        <f>SUMIFS(Metodo_limpo!C:C, Metodo_limpo!D:D, A6, Metodo_limpo!B:B, "CC")</f>
        <v>9</v>
      </c>
      <c r="D6">
        <f>SUMIFS(Metodo_limpo!C:C, Metodo_limpo!D:D, A6, Metodo_limpo!B:B, "NOPM")</f>
        <v>2</v>
      </c>
      <c r="E6">
        <f>SUMIFS(Metodo_limpo!C:C, Metodo_limpo!D:D, A6, Metodo_limpo!B:B, "LOC")</f>
        <v>62</v>
      </c>
      <c r="F6">
        <f>(C6-MIN(C$2:C$169))/(MAX(C$2:C$169)-MIN(C$2:C$169))</f>
        <v>0.24324324324324326</v>
      </c>
      <c r="G6">
        <f>(D6-MIN(D$2:D$169))/(MAX(D$2:D$169)-MIN(D$2:D$169))</f>
        <v>0.5</v>
      </c>
      <c r="H6">
        <f>(E6-MIN(E$2:E$169))/(MAX(E$2:E$169)-MIN(E$2:E$169))</f>
        <v>0.44927536231884058</v>
      </c>
      <c r="I6" s="9">
        <f>F6+G6+H6</f>
        <v>1.1925186055620838</v>
      </c>
    </row>
    <row r="7" spans="1:9" x14ac:dyDescent="0.25">
      <c r="A7">
        <v>147</v>
      </c>
      <c r="B7" t="str">
        <f>INDEX(Metodo_limpo!A:A, MATCH(A7, Metodo_limpo!D:D, 0))</f>
        <v>evaluateShots(List&lt;IPosition&gt;, IGame, GameSession)</v>
      </c>
      <c r="C7">
        <f>SUMIFS(Metodo_limpo!C:C, Metodo_limpo!D:D, A7, Metodo_limpo!B:B, "CC")</f>
        <v>6</v>
      </c>
      <c r="D7">
        <f>SUMIFS(Metodo_limpo!C:C, Metodo_limpo!D:D, A7, Metodo_limpo!B:B, "NOPM")</f>
        <v>3</v>
      </c>
      <c r="E7">
        <f>SUMIFS(Metodo_limpo!C:C, Metodo_limpo!D:D, A7, Metodo_limpo!B:B, "LOC")</f>
        <v>38</v>
      </c>
      <c r="F7">
        <f>(C7-MIN(C$2:C$169))/(MAX(C$2:C$169)-MIN(C$2:C$169))</f>
        <v>0.16216216216216217</v>
      </c>
      <c r="G7">
        <f>(D7-MIN(D$2:D$169))/(MAX(D$2:D$169)-MIN(D$2:D$169))</f>
        <v>0.75</v>
      </c>
      <c r="H7">
        <f>(E7-MIN(E$2:E$169))/(MAX(E$2:E$169)-MIN(E$2:E$169))</f>
        <v>0.27536231884057971</v>
      </c>
      <c r="I7" s="9">
        <f>F7+G7+H7</f>
        <v>1.1875244810027419</v>
      </c>
    </row>
    <row r="8" spans="1:9" x14ac:dyDescent="0.25">
      <c r="A8">
        <v>119</v>
      </c>
      <c r="B8" t="str">
        <f>INDEX(Metodo_limpo!A:A, MATCH(A8, Metodo_limpo!D:D, 0))</f>
        <v>Ship(String, Compass, IPosition, int)</v>
      </c>
      <c r="C8">
        <f>SUMIFS(Metodo_limpo!C:C, Metodo_limpo!D:D, A8, Metodo_limpo!B:B, "CC")</f>
        <v>1</v>
      </c>
      <c r="D8">
        <f>SUMIFS(Metodo_limpo!C:C, Metodo_limpo!D:D, A8, Metodo_limpo!B:B, "NOPM")</f>
        <v>4</v>
      </c>
      <c r="E8">
        <f>SUMIFS(Metodo_limpo!C:C, Metodo_limpo!D:D, A8, Metodo_limpo!B:B, "LOC")</f>
        <v>19</v>
      </c>
      <c r="F8">
        <f>(C8-MIN(C$2:C$169))/(MAX(C$2:C$169)-MIN(C$2:C$169))</f>
        <v>2.7027027027027029E-2</v>
      </c>
      <c r="G8">
        <f>(D8-MIN(D$2:D$169))/(MAX(D$2:D$169)-MIN(D$2:D$169))</f>
        <v>1</v>
      </c>
      <c r="H8">
        <f>(E8-MIN(E$2:E$169))/(MAX(E$2:E$169)-MIN(E$2:E$169))</f>
        <v>0.13768115942028986</v>
      </c>
      <c r="I8" s="9">
        <f>F8+G8+H8</f>
        <v>1.1647081864473168</v>
      </c>
    </row>
    <row r="9" spans="1:9" x14ac:dyDescent="0.25">
      <c r="A9">
        <v>140</v>
      </c>
      <c r="B9" t="str">
        <f>INDEX(Metodo_limpo!A:A, MATCH(A9, Metodo_limpo!D:D, 0))</f>
        <v>computeShots(IGame)</v>
      </c>
      <c r="C9">
        <f>SUMIFS(Metodo_limpo!C:C, Metodo_limpo!D:D, A9, Metodo_limpo!B:B, "CC")</f>
        <v>19</v>
      </c>
      <c r="D9">
        <f>SUMIFS(Metodo_limpo!C:C, Metodo_limpo!D:D, A9, Metodo_limpo!B:B, "NOPM")</f>
        <v>1</v>
      </c>
      <c r="E9">
        <f>SUMIFS(Metodo_limpo!C:C, Metodo_limpo!D:D, A9, Metodo_limpo!B:B, "LOC")</f>
        <v>55</v>
      </c>
      <c r="F9">
        <f>(C9-MIN(C$2:C$169))/(MAX(C$2:C$169)-MIN(C$2:C$169))</f>
        <v>0.51351351351351349</v>
      </c>
      <c r="G9">
        <f>(D9-MIN(D$2:D$169))/(MAX(D$2:D$169)-MIN(D$2:D$169))</f>
        <v>0.25</v>
      </c>
      <c r="H9">
        <f>(E9-MIN(E$2:E$169))/(MAX(E$2:E$169)-MIN(E$2:E$169))</f>
        <v>0.39855072463768115</v>
      </c>
      <c r="I9" s="9">
        <f>F9+G9+H9</f>
        <v>1.1620642381511948</v>
      </c>
    </row>
    <row r="10" spans="1:9" x14ac:dyDescent="0.25">
      <c r="A10">
        <v>134</v>
      </c>
      <c r="B10" t="str">
        <f>INDEX(Metodo_limpo!A:A, MATCH(A10, Metodo_limpo!D:D, 0))</f>
        <v>menu()</v>
      </c>
      <c r="C10">
        <f>SUMIFS(Metodo_limpo!C:C, Metodo_limpo!D:D, A10, Metodo_limpo!B:B, "CC")</f>
        <v>20</v>
      </c>
      <c r="D10">
        <f>SUMIFS(Metodo_limpo!C:C, Metodo_limpo!D:D, A10, Metodo_limpo!B:B, "NOPM")</f>
        <v>0</v>
      </c>
      <c r="E10">
        <f>SUMIFS(Metodo_limpo!C:C, Metodo_limpo!D:D, A10, Metodo_limpo!B:B, "LOC")</f>
        <v>74</v>
      </c>
      <c r="F10">
        <f>(C10-MIN(C$2:C$169))/(MAX(C$2:C$169)-MIN(C$2:C$169))</f>
        <v>0.54054054054054057</v>
      </c>
      <c r="G10">
        <f>(D10-MIN(D$2:D$169))/(MAX(D$2:D$169)-MIN(D$2:D$169))</f>
        <v>0</v>
      </c>
      <c r="H10">
        <f>(E10-MIN(E$2:E$169))/(MAX(E$2:E$169)-MIN(E$2:E$169))</f>
        <v>0.53623188405797106</v>
      </c>
      <c r="I10" s="9">
        <f>F10+G10+H10</f>
        <v>1.0767724245985115</v>
      </c>
    </row>
    <row r="11" spans="1:9" x14ac:dyDescent="0.25">
      <c r="A11">
        <v>163</v>
      </c>
      <c r="B11" t="str">
        <f>INDEX(Metodo_limpo!A:A, MATCH(A11, Metodo_limpo!D:D, 0))</f>
        <v>ShotResult(boolean, boolean, IShip, boolean)</v>
      </c>
      <c r="C11">
        <f>SUMIFS(Metodo_limpo!C:C, Metodo_limpo!D:D, A11, Metodo_limpo!B:B, "CC")</f>
        <v>1</v>
      </c>
      <c r="D11">
        <f>SUMIFS(Metodo_limpo!C:C, Metodo_limpo!D:D, A11, Metodo_limpo!B:B, "NOPM")</f>
        <v>4</v>
      </c>
      <c r="E11">
        <f>SUMIFS(Metodo_limpo!C:C, Metodo_limpo!D:D, A11, Metodo_limpo!B:B, "LOC")</f>
        <v>4</v>
      </c>
      <c r="F11">
        <f>(C11-MIN(C$2:C$169))/(MAX(C$2:C$169)-MIN(C$2:C$169))</f>
        <v>2.7027027027027029E-2</v>
      </c>
      <c r="G11">
        <f>(D11-MIN(D$2:D$169))/(MAX(D$2:D$169)-MIN(D$2:D$169))</f>
        <v>1</v>
      </c>
      <c r="H11">
        <f>(E11-MIN(E$2:E$169))/(MAX(E$2:E$169)-MIN(E$2:E$169))</f>
        <v>2.8985507246376812E-2</v>
      </c>
      <c r="I11" s="9">
        <f>F11+G11+H11</f>
        <v>1.0560125342734037</v>
      </c>
    </row>
    <row r="12" spans="1:9" x14ac:dyDescent="0.25">
      <c r="A12">
        <v>143</v>
      </c>
      <c r="B12" t="str">
        <f>INDEX(Metodo_limpo!A:A, MATCH(A12, Metodo_limpo!D:D, 0))</f>
        <v>recordAiMove(IGame, List&lt;IPosition&gt;, ShotResponse)</v>
      </c>
      <c r="C12">
        <f>SUMIFS(Metodo_limpo!C:C, Metodo_limpo!D:D, A12, Metodo_limpo!B:B, "CC")</f>
        <v>4</v>
      </c>
      <c r="D12">
        <f>SUMIFS(Metodo_limpo!C:C, Metodo_limpo!D:D, A12, Metodo_limpo!B:B, "NOPM")</f>
        <v>3</v>
      </c>
      <c r="E12">
        <f>SUMIFS(Metodo_limpo!C:C, Metodo_limpo!D:D, A12, Metodo_limpo!B:B, "LOC")</f>
        <v>20</v>
      </c>
      <c r="F12">
        <f>(C12-MIN(C$2:C$169))/(MAX(C$2:C$169)-MIN(C$2:C$169))</f>
        <v>0.10810810810810811</v>
      </c>
      <c r="G12">
        <f>(D12-MIN(D$2:D$169))/(MAX(D$2:D$169)-MIN(D$2:D$169))</f>
        <v>0.75</v>
      </c>
      <c r="H12">
        <f>(E12-MIN(E$2:E$169))/(MAX(E$2:E$169)-MIN(E$2:E$169))</f>
        <v>0.14492753623188406</v>
      </c>
      <c r="I12" s="9">
        <f>F12+G12+H12</f>
        <v>1.0030356443399921</v>
      </c>
    </row>
    <row r="13" spans="1:9" x14ac:dyDescent="0.25">
      <c r="A13">
        <v>55</v>
      </c>
      <c r="B13" t="str">
        <f>INDEX(Metodo_limpo!A:A, MATCH(A13, Metodo_limpo!D:D, 0))</f>
        <v>addComponentsMenu()</v>
      </c>
      <c r="C13">
        <f>SUMIFS(Metodo_limpo!C:C, Metodo_limpo!D:D, A13, Metodo_limpo!B:B, "CC")</f>
        <v>14</v>
      </c>
      <c r="D13">
        <f>SUMIFS(Metodo_limpo!C:C, Metodo_limpo!D:D, A13, Metodo_limpo!B:B, "NOPM")</f>
        <v>0</v>
      </c>
      <c r="E13">
        <f>SUMIFS(Metodo_limpo!C:C, Metodo_limpo!D:D, A13, Metodo_limpo!B:B, "LOC")</f>
        <v>84</v>
      </c>
      <c r="F13">
        <f>(C13-MIN(C$2:C$169))/(MAX(C$2:C$169)-MIN(C$2:C$169))</f>
        <v>0.3783783783783784</v>
      </c>
      <c r="G13">
        <f>(D13-MIN(D$2:D$169))/(MAX(D$2:D$169)-MIN(D$2:D$169))</f>
        <v>0</v>
      </c>
      <c r="H13">
        <f>(E13-MIN(E$2:E$169))/(MAX(E$2:E$169)-MIN(E$2:E$169))</f>
        <v>0.60869565217391308</v>
      </c>
      <c r="I13" s="9">
        <f>F13+G13+H13</f>
        <v>0.98707403055229148</v>
      </c>
    </row>
    <row r="14" spans="1:9" x14ac:dyDescent="0.25">
      <c r="A14">
        <v>141</v>
      </c>
      <c r="B14" t="str">
        <f>INDEX(Metodo_limpo!A:A, MATCH(A14, Metodo_limpo!D:D, 0))</f>
        <v>getHitButNotSunkPositions(IGame, Set&lt;IPosition&gt;)</v>
      </c>
      <c r="C14">
        <f>SUMIFS(Metodo_limpo!C:C, Metodo_limpo!D:D, A14, Metodo_limpo!B:B, "CC")</f>
        <v>10</v>
      </c>
      <c r="D14">
        <f>SUMIFS(Metodo_limpo!C:C, Metodo_limpo!D:D, A14, Metodo_limpo!B:B, "NOPM")</f>
        <v>2</v>
      </c>
      <c r="E14">
        <f>SUMIFS(Metodo_limpo!C:C, Metodo_limpo!D:D, A14, Metodo_limpo!B:B, "LOC")</f>
        <v>27</v>
      </c>
      <c r="F14">
        <f>(C14-MIN(C$2:C$169))/(MAX(C$2:C$169)-MIN(C$2:C$169))</f>
        <v>0.27027027027027029</v>
      </c>
      <c r="G14">
        <f>(D14-MIN(D$2:D$169))/(MAX(D$2:D$169)-MIN(D$2:D$169))</f>
        <v>0.5</v>
      </c>
      <c r="H14">
        <f>(E14-MIN(E$2:E$169))/(MAX(E$2:E$169)-MIN(E$2:E$169))</f>
        <v>0.19565217391304349</v>
      </c>
      <c r="I14" s="9">
        <f>F14+G14+H14</f>
        <v>0.96592244418331374</v>
      </c>
    </row>
    <row r="15" spans="1:9" x14ac:dyDescent="0.25">
      <c r="A15">
        <v>2</v>
      </c>
      <c r="B15" t="str">
        <f>INDEX(Metodo_limpo!A:A, MATCH(A15, Metodo_limpo!D:D, 0))</f>
        <v>Caravel(Compass, IPosition)</v>
      </c>
      <c r="C15">
        <f>SUMIFS(Metodo_limpo!C:C, Metodo_limpo!D:D, A15, Metodo_limpo!B:B, "CC")</f>
        <v>9</v>
      </c>
      <c r="D15">
        <f>SUMIFS(Metodo_limpo!C:C, Metodo_limpo!D:D, A15, Metodo_limpo!B:B, "NOPM")</f>
        <v>2</v>
      </c>
      <c r="E15">
        <f>SUMIFS(Metodo_limpo!C:C, Metodo_limpo!D:D, A15, Metodo_limpo!B:B, "LOC")</f>
        <v>27</v>
      </c>
      <c r="F15">
        <f>(C15-MIN(C$2:C$169))/(MAX(C$2:C$169)-MIN(C$2:C$169))</f>
        <v>0.24324324324324326</v>
      </c>
      <c r="G15">
        <f>(D15-MIN(D$2:D$169))/(MAX(D$2:D$169)-MIN(D$2:D$169))</f>
        <v>0.5</v>
      </c>
      <c r="H15">
        <f>(E15-MIN(E$2:E$169))/(MAX(E$2:E$169)-MIN(E$2:E$169))</f>
        <v>0.19565217391304349</v>
      </c>
      <c r="I15" s="9">
        <f>F15+G15+H15</f>
        <v>0.93889541715628666</v>
      </c>
    </row>
    <row r="16" spans="1:9" x14ac:dyDescent="0.25">
      <c r="A16">
        <v>3</v>
      </c>
      <c r="B16" t="str">
        <f>INDEX(Metodo_limpo!A:A, MATCH(A16, Metodo_limpo!D:D, 0))</f>
        <v>Carrack(Compass, IPosition)</v>
      </c>
      <c r="C16">
        <f>SUMIFS(Metodo_limpo!C:C, Metodo_limpo!D:D, A16, Metodo_limpo!B:B, "CC")</f>
        <v>9</v>
      </c>
      <c r="D16">
        <f>SUMIFS(Metodo_limpo!C:C, Metodo_limpo!D:D, A16, Metodo_limpo!B:B, "NOPM")</f>
        <v>2</v>
      </c>
      <c r="E16">
        <f>SUMIFS(Metodo_limpo!C:C, Metodo_limpo!D:D, A16, Metodo_limpo!B:B, "LOC")</f>
        <v>27</v>
      </c>
      <c r="F16">
        <f>(C16-MIN(C$2:C$169))/(MAX(C$2:C$169)-MIN(C$2:C$169))</f>
        <v>0.24324324324324326</v>
      </c>
      <c r="G16">
        <f>(D16-MIN(D$2:D$169))/(MAX(D$2:D$169)-MIN(D$2:D$169))</f>
        <v>0.5</v>
      </c>
      <c r="H16">
        <f>(E16-MIN(E$2:E$169))/(MAX(E$2:E$169)-MIN(E$2:E$169))</f>
        <v>0.19565217391304349</v>
      </c>
      <c r="I16" s="9">
        <f>F16+G16+H16</f>
        <v>0.93889541715628666</v>
      </c>
    </row>
    <row r="17" spans="1:9" x14ac:dyDescent="0.25">
      <c r="A17">
        <v>25</v>
      </c>
      <c r="B17" t="str">
        <f>INDEX(Metodo_limpo!A:A, MATCH(A17, Metodo_limpo!D:D, 0))</f>
        <v>Frigate(Compass, IPosition)</v>
      </c>
      <c r="C17">
        <f>SUMIFS(Metodo_limpo!C:C, Metodo_limpo!D:D, A17, Metodo_limpo!B:B, "CC")</f>
        <v>9</v>
      </c>
      <c r="D17">
        <f>SUMIFS(Metodo_limpo!C:C, Metodo_limpo!D:D, A17, Metodo_limpo!B:B, "NOPM")</f>
        <v>2</v>
      </c>
      <c r="E17">
        <f>SUMIFS(Metodo_limpo!C:C, Metodo_limpo!D:D, A17, Metodo_limpo!B:B, "LOC")</f>
        <v>27</v>
      </c>
      <c r="F17">
        <f>(C17-MIN(C$2:C$169))/(MAX(C$2:C$169)-MIN(C$2:C$169))</f>
        <v>0.24324324324324326</v>
      </c>
      <c r="G17">
        <f>(D17-MIN(D$2:D$169))/(MAX(D$2:D$169)-MIN(D$2:D$169))</f>
        <v>0.5</v>
      </c>
      <c r="H17">
        <f>(E17-MIN(E$2:E$169))/(MAX(E$2:E$169)-MIN(E$2:E$169))</f>
        <v>0.19565217391304349</v>
      </c>
      <c r="I17" s="9">
        <f>F17+G17+H17</f>
        <v>0.93889541715628666</v>
      </c>
    </row>
    <row r="18" spans="1:9" x14ac:dyDescent="0.25">
      <c r="A18">
        <v>57</v>
      </c>
      <c r="B18" t="str">
        <f>INDEX(Metodo_limpo!A:A, MATCH(A18, Metodo_limpo!D:D, 0))</f>
        <v>botaoNeon(String, String, String)</v>
      </c>
      <c r="C18">
        <f>SUMIFS(Metodo_limpo!C:C, Metodo_limpo!D:D, A18, Metodo_limpo!B:B, "CC")</f>
        <v>1</v>
      </c>
      <c r="D18">
        <f>SUMIFS(Metodo_limpo!C:C, Metodo_limpo!D:D, A18, Metodo_limpo!B:B, "NOPM")</f>
        <v>3</v>
      </c>
      <c r="E18">
        <f>SUMIFS(Metodo_limpo!C:C, Metodo_limpo!D:D, A18, Metodo_limpo!B:B, "LOC")</f>
        <v>18</v>
      </c>
      <c r="F18">
        <f>(C18-MIN(C$2:C$169))/(MAX(C$2:C$169)-MIN(C$2:C$169))</f>
        <v>2.7027027027027029E-2</v>
      </c>
      <c r="G18">
        <f>(D18-MIN(D$2:D$169))/(MAX(D$2:D$169)-MIN(D$2:D$169))</f>
        <v>0.75</v>
      </c>
      <c r="H18">
        <f>(E18-MIN(E$2:E$169))/(MAX(E$2:E$169)-MIN(E$2:E$169))</f>
        <v>0.13043478260869565</v>
      </c>
      <c r="I18" s="9">
        <f>F18+G18+H18</f>
        <v>0.90746180963572265</v>
      </c>
    </row>
    <row r="19" spans="1:9" x14ac:dyDescent="0.25">
      <c r="A19">
        <v>108</v>
      </c>
      <c r="B19" t="str">
        <f>INDEX(Metodo_limpo!A:A, MATCH(A19, Metodo_limpo!D:D, 0))</f>
        <v>Move(int, List&lt;IPosition&gt;, List&lt;ShotResult&gt;)</v>
      </c>
      <c r="C19">
        <f>SUMIFS(Metodo_limpo!C:C, Metodo_limpo!D:D, A19, Metodo_limpo!B:B, "CC")</f>
        <v>1</v>
      </c>
      <c r="D19">
        <f>SUMIFS(Metodo_limpo!C:C, Metodo_limpo!D:D, A19, Metodo_limpo!B:B, "NOPM")</f>
        <v>3</v>
      </c>
      <c r="E19">
        <f>SUMIFS(Metodo_limpo!C:C, Metodo_limpo!D:D, A19, Metodo_limpo!B:B, "LOC")</f>
        <v>18</v>
      </c>
      <c r="F19">
        <f>(C19-MIN(C$2:C$169))/(MAX(C$2:C$169)-MIN(C$2:C$169))</f>
        <v>2.7027027027027029E-2</v>
      </c>
      <c r="G19">
        <f>(D19-MIN(D$2:D$169))/(MAX(D$2:D$169)-MIN(D$2:D$169))</f>
        <v>0.75</v>
      </c>
      <c r="H19">
        <f>(E19-MIN(E$2:E$169))/(MAX(E$2:E$169)-MIN(E$2:E$169))</f>
        <v>0.13043478260869565</v>
      </c>
      <c r="I19" s="9">
        <f>F19+G19+H19</f>
        <v>0.90746180963572265</v>
      </c>
    </row>
    <row r="20" spans="1:9" x14ac:dyDescent="0.25">
      <c r="A20">
        <v>33</v>
      </c>
      <c r="B20" t="str">
        <f>INDEX(Metodo_limpo!A:A, MATCH(A20, Metodo_limpo!D:D, 0))</f>
        <v>fireSingleShot(IPosition, boolean)</v>
      </c>
      <c r="C20">
        <f>SUMIFS(Metodo_limpo!C:C, Metodo_limpo!D:D, A20, Metodo_limpo!B:B, "CC")</f>
        <v>6</v>
      </c>
      <c r="D20">
        <f>SUMIFS(Metodo_limpo!C:C, Metodo_limpo!D:D, A20, Metodo_limpo!B:B, "NOPM")</f>
        <v>2</v>
      </c>
      <c r="E20">
        <f>SUMIFS(Metodo_limpo!C:C, Metodo_limpo!D:D, A20, Metodo_limpo!B:B, "LOC")</f>
        <v>33</v>
      </c>
      <c r="F20">
        <f>(C20-MIN(C$2:C$169))/(MAX(C$2:C$169)-MIN(C$2:C$169))</f>
        <v>0.16216216216216217</v>
      </c>
      <c r="G20">
        <f>(D20-MIN(D$2:D$169))/(MAX(D$2:D$169)-MIN(D$2:D$169))</f>
        <v>0.5</v>
      </c>
      <c r="H20">
        <f>(E20-MIN(E$2:E$169))/(MAX(E$2:E$169)-MIN(E$2:E$169))</f>
        <v>0.2391304347826087</v>
      </c>
      <c r="I20" s="9">
        <f>F20+G20+H20</f>
        <v>0.90129259694477093</v>
      </c>
    </row>
    <row r="21" spans="1:9" x14ac:dyDescent="0.25">
      <c r="A21">
        <v>153</v>
      </c>
      <c r="B21" t="str">
        <f>INDEX(Metodo_limpo!A:A, MATCH(A21, Metodo_limpo!D:D, 0))</f>
        <v>GameSession(String, String, String)</v>
      </c>
      <c r="C21">
        <f>SUMIFS(Metodo_limpo!C:C, Metodo_limpo!D:D, A21, Metodo_limpo!B:B, "CC")</f>
        <v>1</v>
      </c>
      <c r="D21">
        <f>SUMIFS(Metodo_limpo!C:C, Metodo_limpo!D:D, A21, Metodo_limpo!B:B, "NOPM")</f>
        <v>3</v>
      </c>
      <c r="E21">
        <f>SUMIFS(Metodo_limpo!C:C, Metodo_limpo!D:D, A21, Metodo_limpo!B:B, "LOC")</f>
        <v>9</v>
      </c>
      <c r="F21">
        <f>(C21-MIN(C$2:C$169))/(MAX(C$2:C$169)-MIN(C$2:C$169))</f>
        <v>2.7027027027027029E-2</v>
      </c>
      <c r="G21">
        <f>(D21-MIN(D$2:D$169))/(MAX(D$2:D$169)-MIN(D$2:D$169))</f>
        <v>0.75</v>
      </c>
      <c r="H21">
        <f>(E21-MIN(E$2:E$169))/(MAX(E$2:E$169)-MIN(E$2:E$169))</f>
        <v>6.5217391304347824E-2</v>
      </c>
      <c r="I21" s="9">
        <f>F21+G21+H21</f>
        <v>0.84224441833137476</v>
      </c>
    </row>
    <row r="22" spans="1:9" x14ac:dyDescent="0.25">
      <c r="A22">
        <v>145</v>
      </c>
      <c r="B22" t="str">
        <f>INDEX(Metodo_limpo!A:A, MATCH(A22, Metodo_limpo!D:D, 0))</f>
        <v>GameController(GameRegistry, CallbackClient, AiShotStrategy)</v>
      </c>
      <c r="C22">
        <f>SUMIFS(Metodo_limpo!C:C, Metodo_limpo!D:D, A22, Metodo_limpo!B:B, "CC")</f>
        <v>1</v>
      </c>
      <c r="D22">
        <f>SUMIFS(Metodo_limpo!C:C, Metodo_limpo!D:D, A22, Metodo_limpo!B:B, "NOPM")</f>
        <v>3</v>
      </c>
      <c r="E22">
        <f>SUMIFS(Metodo_limpo!C:C, Metodo_limpo!D:D, A22, Metodo_limpo!B:B, "LOC")</f>
        <v>7</v>
      </c>
      <c r="F22">
        <f>(C22-MIN(C$2:C$169))/(MAX(C$2:C$169)-MIN(C$2:C$169))</f>
        <v>2.7027027027027029E-2</v>
      </c>
      <c r="G22">
        <f>(D22-MIN(D$2:D$169))/(MAX(D$2:D$169)-MIN(D$2:D$169))</f>
        <v>0.75</v>
      </c>
      <c r="H22">
        <f>(E22-MIN(E$2:E$169))/(MAX(E$2:E$169)-MIN(E$2:E$169))</f>
        <v>5.0724637681159424E-2</v>
      </c>
      <c r="I22" s="9">
        <f>F22+G22+H22</f>
        <v>0.8277516647081864</v>
      </c>
    </row>
    <row r="23" spans="1:9" x14ac:dyDescent="0.25">
      <c r="A23">
        <v>26</v>
      </c>
      <c r="B23" t="str">
        <f>INDEX(Metodo_limpo!A:A, MATCH(A23, Metodo_limpo!D:D, 0))</f>
        <v>Galleon(Compass, IPosition)</v>
      </c>
      <c r="C23">
        <f>SUMIFS(Metodo_limpo!C:C, Metodo_limpo!D:D, A23, Metodo_limpo!B:B, "CC")</f>
        <v>5</v>
      </c>
      <c r="D23">
        <f>SUMIFS(Metodo_limpo!C:C, Metodo_limpo!D:D, A23, Metodo_limpo!B:B, "NOPM")</f>
        <v>2</v>
      </c>
      <c r="E23">
        <f>SUMIFS(Metodo_limpo!C:C, Metodo_limpo!D:D, A23, Metodo_limpo!B:B, "LOC")</f>
        <v>23</v>
      </c>
      <c r="F23">
        <f>(C23-MIN(C$2:C$169))/(MAX(C$2:C$169)-MIN(C$2:C$169))</f>
        <v>0.13513513513513514</v>
      </c>
      <c r="G23">
        <f>(D23-MIN(D$2:D$169))/(MAX(D$2:D$169)-MIN(D$2:D$169))</f>
        <v>0.5</v>
      </c>
      <c r="H23">
        <f>(E23-MIN(E$2:E$169))/(MAX(E$2:E$169)-MIN(E$2:E$169))</f>
        <v>0.16666666666666666</v>
      </c>
      <c r="I23" s="9">
        <f>F23+G23+H23</f>
        <v>0.80180180180180172</v>
      </c>
    </row>
    <row r="24" spans="1:9" x14ac:dyDescent="0.25">
      <c r="A24">
        <v>139</v>
      </c>
      <c r="B24" t="str">
        <f>INDEX(Metodo_limpo!A:A, MATCH(A24, Metodo_limpo!D:D, 0))</f>
        <v>buildHuntPool(Set&lt;IPosition&gt;, List&lt;IPosition&gt;)</v>
      </c>
      <c r="C24">
        <f>SUMIFS(Metodo_limpo!C:C, Metodo_limpo!D:D, A24, Metodo_limpo!B:B, "CC")</f>
        <v>6</v>
      </c>
      <c r="D24">
        <f>SUMIFS(Metodo_limpo!C:C, Metodo_limpo!D:D, A24, Metodo_limpo!B:B, "NOPM")</f>
        <v>2</v>
      </c>
      <c r="E24">
        <f>SUMIFS(Metodo_limpo!C:C, Metodo_limpo!D:D, A24, Metodo_limpo!B:B, "LOC")</f>
        <v>19</v>
      </c>
      <c r="F24">
        <f>(C24-MIN(C$2:C$169))/(MAX(C$2:C$169)-MIN(C$2:C$169))</f>
        <v>0.16216216216216217</v>
      </c>
      <c r="G24">
        <f>(D24-MIN(D$2:D$169))/(MAX(D$2:D$169)-MIN(D$2:D$169))</f>
        <v>0.5</v>
      </c>
      <c r="H24">
        <f>(E24-MIN(E$2:E$169))/(MAX(E$2:E$169)-MIN(E$2:E$169))</f>
        <v>0.13768115942028986</v>
      </c>
      <c r="I24" s="9">
        <f>F24+G24+H24</f>
        <v>0.79984332158245208</v>
      </c>
    </row>
    <row r="25" spans="1:9" x14ac:dyDescent="0.25">
      <c r="A25">
        <v>48</v>
      </c>
      <c r="B25" t="str">
        <f>INDEX(Metodo_limpo!A:A, MATCH(A25, Metodo_limpo!D:D, 0))</f>
        <v>printBoardShots(List&lt;IMove&gt;, char[][])</v>
      </c>
      <c r="C25">
        <f>SUMIFS(Metodo_limpo!C:C, Metodo_limpo!D:D, A25, Metodo_limpo!B:B, "CC")</f>
        <v>7</v>
      </c>
      <c r="D25">
        <f>SUMIFS(Metodo_limpo!C:C, Metodo_limpo!D:D, A25, Metodo_limpo!B:B, "NOPM")</f>
        <v>2</v>
      </c>
      <c r="E25">
        <f>SUMIFS(Metodo_limpo!C:C, Metodo_limpo!D:D, A25, Metodo_limpo!B:B, "LOC")</f>
        <v>13</v>
      </c>
      <c r="F25">
        <f>(C25-MIN(C$2:C$169))/(MAX(C$2:C$169)-MIN(C$2:C$169))</f>
        <v>0.1891891891891892</v>
      </c>
      <c r="G25">
        <f>(D25-MIN(D$2:D$169))/(MAX(D$2:D$169)-MIN(D$2:D$169))</f>
        <v>0.5</v>
      </c>
      <c r="H25">
        <f>(E25-MIN(E$2:E$169))/(MAX(E$2:E$169)-MIN(E$2:E$169))</f>
        <v>9.420289855072464E-2</v>
      </c>
      <c r="I25" s="9">
        <f>F25+G25+H25</f>
        <v>0.78339208773991387</v>
      </c>
    </row>
    <row r="26" spans="1:9" x14ac:dyDescent="0.25">
      <c r="A26">
        <v>52</v>
      </c>
      <c r="B26" t="str">
        <f>INDEX(Metodo_limpo!A:A, MATCH(A26, Metodo_limpo!D:D, 0))</f>
        <v>readEnemyFire(Scanner)</v>
      </c>
      <c r="C26">
        <f>SUMIFS(Metodo_limpo!C:C, Metodo_limpo!D:D, A26, Metodo_limpo!B:B, "CC")</f>
        <v>6</v>
      </c>
      <c r="D26">
        <f>SUMIFS(Metodo_limpo!C:C, Metodo_limpo!D:D, A26, Metodo_limpo!B:B, "NOPM")</f>
        <v>1</v>
      </c>
      <c r="E26">
        <f>SUMIFS(Metodo_limpo!C:C, Metodo_limpo!D:D, A26, Metodo_limpo!B:B, "LOC")</f>
        <v>42</v>
      </c>
      <c r="F26">
        <f>(C26-MIN(C$2:C$169))/(MAX(C$2:C$169)-MIN(C$2:C$169))</f>
        <v>0.16216216216216217</v>
      </c>
      <c r="G26">
        <f>(D26-MIN(D$2:D$169))/(MAX(D$2:D$169)-MIN(D$2:D$169))</f>
        <v>0.25</v>
      </c>
      <c r="H26">
        <f>(E26-MIN(E$2:E$169))/(MAX(E$2:E$169)-MIN(E$2:E$169))</f>
        <v>0.30434782608695654</v>
      </c>
      <c r="I26" s="9">
        <f>F26+G26+H26</f>
        <v>0.71650998824911871</v>
      </c>
    </row>
    <row r="27" spans="1:9" x14ac:dyDescent="0.25">
      <c r="A27">
        <v>107</v>
      </c>
      <c r="B27" t="str">
        <f>INDEX(Metodo_limpo!A:A, MATCH(A27, Metodo_limpo!D:D, 0))</f>
        <v>main(String[])</v>
      </c>
      <c r="C27">
        <f>SUMIFS(Metodo_limpo!C:C, Metodo_limpo!D:D, A27, Metodo_limpo!B:B, "CC")</f>
        <v>11</v>
      </c>
      <c r="D27">
        <f>SUMIFS(Metodo_limpo!C:C, Metodo_limpo!D:D, A27, Metodo_limpo!B:B, "NOPM")</f>
        <v>0</v>
      </c>
      <c r="E27">
        <f>SUMIFS(Metodo_limpo!C:C, Metodo_limpo!D:D, A27, Metodo_limpo!B:B, "LOC")</f>
        <v>57</v>
      </c>
      <c r="F27">
        <f>(C27-MIN(C$2:C$169))/(MAX(C$2:C$169)-MIN(C$2:C$169))</f>
        <v>0.29729729729729731</v>
      </c>
      <c r="G27">
        <f>(D27-MIN(D$2:D$169))/(MAX(D$2:D$169)-MIN(D$2:D$169))</f>
        <v>0</v>
      </c>
      <c r="H27">
        <f>(E27-MIN(E$2:E$169))/(MAX(E$2:E$169)-MIN(E$2:E$169))</f>
        <v>0.41304347826086957</v>
      </c>
      <c r="I27" s="9">
        <f>F27+G27+H27</f>
        <v>0.71034077555816688</v>
      </c>
    </row>
    <row r="28" spans="1:9" x14ac:dyDescent="0.25">
      <c r="A28">
        <v>50</v>
      </c>
      <c r="B28" t="str">
        <f>INDEX(Metodo_limpo!A:A, MATCH(A28, Metodo_limpo!D:D, 0))</f>
        <v>printShips(IFleet, char[][])</v>
      </c>
      <c r="C28">
        <f>SUMIFS(Metodo_limpo!C:C, Metodo_limpo!D:D, A28, Metodo_limpo!B:B, "CC")</f>
        <v>5</v>
      </c>
      <c r="D28">
        <f>SUMIFS(Metodo_limpo!C:C, Metodo_limpo!D:D, A28, Metodo_limpo!B:B, "NOPM")</f>
        <v>2</v>
      </c>
      <c r="E28">
        <f>SUMIFS(Metodo_limpo!C:C, Metodo_limpo!D:D, A28, Metodo_limpo!B:B, "LOC")</f>
        <v>9</v>
      </c>
      <c r="F28">
        <f>(C28-MIN(C$2:C$169))/(MAX(C$2:C$169)-MIN(C$2:C$169))</f>
        <v>0.13513513513513514</v>
      </c>
      <c r="G28">
        <f>(D28-MIN(D$2:D$169))/(MAX(D$2:D$169)-MIN(D$2:D$169))</f>
        <v>0.5</v>
      </c>
      <c r="H28">
        <f>(E28-MIN(E$2:E$169))/(MAX(E$2:E$169)-MIN(E$2:E$169))</f>
        <v>6.5217391304347824E-2</v>
      </c>
      <c r="I28" s="9">
        <f>F28+G28+H28</f>
        <v>0.70035252643948287</v>
      </c>
    </row>
    <row r="29" spans="1:9" x14ac:dyDescent="0.25">
      <c r="A29">
        <v>136</v>
      </c>
      <c r="B29" t="str">
        <f>INDEX(Metodo_limpo!A:A, MATCH(A29, Metodo_limpo!D:D, 0))</f>
        <v>readClassicPosition(Scanner)</v>
      </c>
      <c r="C29">
        <f>SUMIFS(Metodo_limpo!C:C, Metodo_limpo!D:D, A29, Metodo_limpo!B:B, "CC")</f>
        <v>8</v>
      </c>
      <c r="D29">
        <f>SUMIFS(Metodo_limpo!C:C, Metodo_limpo!D:D, A29, Metodo_limpo!B:B, "NOPM")</f>
        <v>1</v>
      </c>
      <c r="E29">
        <f>SUMIFS(Metodo_limpo!C:C, Metodo_limpo!D:D, A29, Metodo_limpo!B:B, "LOC")</f>
        <v>32</v>
      </c>
      <c r="F29">
        <f>(C29-MIN(C$2:C$169))/(MAX(C$2:C$169)-MIN(C$2:C$169))</f>
        <v>0.21621621621621623</v>
      </c>
      <c r="G29">
        <f>(D29-MIN(D$2:D$169))/(MAX(D$2:D$169)-MIN(D$2:D$169))</f>
        <v>0.25</v>
      </c>
      <c r="H29">
        <f>(E29-MIN(E$2:E$169))/(MAX(E$2:E$169)-MIN(E$2:E$169))</f>
        <v>0.2318840579710145</v>
      </c>
      <c r="I29" s="9">
        <f>F29+G29+H29</f>
        <v>0.69810027418723075</v>
      </c>
    </row>
    <row r="30" spans="1:9" x14ac:dyDescent="0.25">
      <c r="A30">
        <v>118</v>
      </c>
      <c r="B30" t="str">
        <f>INDEX(Metodo_limpo!A:A, MATCH(A30, Metodo_limpo!D:D, 0))</f>
        <v>run(int, GameWindow)</v>
      </c>
      <c r="C30">
        <f>SUMIFS(Metodo_limpo!C:C, Metodo_limpo!D:D, A30, Metodo_limpo!B:B, "CC")</f>
        <v>2</v>
      </c>
      <c r="D30">
        <f>SUMIFS(Metodo_limpo!C:C, Metodo_limpo!D:D, A30, Metodo_limpo!B:B, "NOPM")</f>
        <v>2</v>
      </c>
      <c r="E30">
        <f>SUMIFS(Metodo_limpo!C:C, Metodo_limpo!D:D, A30, Metodo_limpo!B:B, "LOC")</f>
        <v>14</v>
      </c>
      <c r="F30">
        <f>(C30-MIN(C$2:C$169))/(MAX(C$2:C$169)-MIN(C$2:C$169))</f>
        <v>5.4054054054054057E-2</v>
      </c>
      <c r="G30">
        <f>(D30-MIN(D$2:D$169))/(MAX(D$2:D$169)-MIN(D$2:D$169))</f>
        <v>0.5</v>
      </c>
      <c r="H30">
        <f>(E30-MIN(E$2:E$169))/(MAX(E$2:E$169)-MIN(E$2:E$169))</f>
        <v>0.10144927536231885</v>
      </c>
      <c r="I30" s="9">
        <f>F30+G30+H30</f>
        <v>0.6555033294163729</v>
      </c>
    </row>
    <row r="31" spans="1:9" x14ac:dyDescent="0.25">
      <c r="A31">
        <v>77</v>
      </c>
      <c r="B31" t="str">
        <f>INDEX(Metodo_limpo!A:A, MATCH(A31, Metodo_limpo!D:D, 0))</f>
        <v>readMove(int, Scanner)</v>
      </c>
      <c r="C31">
        <f>SUMIFS(Metodo_limpo!C:C, Metodo_limpo!D:D, A31, Metodo_limpo!B:B, "CC")</f>
        <v>2</v>
      </c>
      <c r="D31">
        <f>SUMIFS(Metodo_limpo!C:C, Metodo_limpo!D:D, A31, Metodo_limpo!B:B, "NOPM")</f>
        <v>2</v>
      </c>
      <c r="E31">
        <f>SUMIFS(Metodo_limpo!C:C, Metodo_limpo!D:D, A31, Metodo_limpo!B:B, "LOC")</f>
        <v>10</v>
      </c>
      <c r="F31">
        <f>(C31-MIN(C$2:C$169))/(MAX(C$2:C$169)-MIN(C$2:C$169))</f>
        <v>5.4054054054054057E-2</v>
      </c>
      <c r="G31">
        <f>(D31-MIN(D$2:D$169))/(MAX(D$2:D$169)-MIN(D$2:D$169))</f>
        <v>0.5</v>
      </c>
      <c r="H31">
        <f>(E31-MIN(E$2:E$169))/(MAX(E$2:E$169)-MIN(E$2:E$169))</f>
        <v>7.2463768115942032E-2</v>
      </c>
      <c r="I31" s="9">
        <f>F31+G31+H31</f>
        <v>0.62651782216999607</v>
      </c>
    </row>
    <row r="32" spans="1:9" x14ac:dyDescent="0.25">
      <c r="A32">
        <v>110</v>
      </c>
      <c r="B32" t="str">
        <f>INDEX(Metodo_limpo!A:A, MATCH(A32, Metodo_limpo!D:D, 0))</f>
        <v>Position(char, int)</v>
      </c>
      <c r="C32">
        <f>SUMIFS(Metodo_limpo!C:C, Metodo_limpo!D:D, A32, Metodo_limpo!B:B, "CC")</f>
        <v>1</v>
      </c>
      <c r="D32">
        <f>SUMIFS(Metodo_limpo!C:C, Metodo_limpo!D:D, A32, Metodo_limpo!B:B, "NOPM")</f>
        <v>2</v>
      </c>
      <c r="E32">
        <f>SUMIFS(Metodo_limpo!C:C, Metodo_limpo!D:D, A32, Metodo_limpo!B:B, "LOC")</f>
        <v>13</v>
      </c>
      <c r="F32">
        <f>(C32-MIN(C$2:C$169))/(MAX(C$2:C$169)-MIN(C$2:C$169))</f>
        <v>2.7027027027027029E-2</v>
      </c>
      <c r="G32">
        <f>(D32-MIN(D$2:D$169))/(MAX(D$2:D$169)-MIN(D$2:D$169))</f>
        <v>0.5</v>
      </c>
      <c r="H32">
        <f>(E32-MIN(E$2:E$169))/(MAX(E$2:E$169)-MIN(E$2:E$169))</f>
        <v>9.420289855072464E-2</v>
      </c>
      <c r="I32" s="9">
        <f>F32+G32+H32</f>
        <v>0.62122992557775158</v>
      </c>
    </row>
    <row r="33" spans="1:9" x14ac:dyDescent="0.25">
      <c r="A33">
        <v>111</v>
      </c>
      <c r="B33" t="str">
        <f>INDEX(Metodo_limpo!A:A, MATCH(A33, Metodo_limpo!D:D, 0))</f>
        <v>Position(int, int)</v>
      </c>
      <c r="C33">
        <f>SUMIFS(Metodo_limpo!C:C, Metodo_limpo!D:D, A33, Metodo_limpo!B:B, "CC")</f>
        <v>1</v>
      </c>
      <c r="D33">
        <f>SUMIFS(Metodo_limpo!C:C, Metodo_limpo!D:D, A33, Metodo_limpo!B:B, "NOPM")</f>
        <v>2</v>
      </c>
      <c r="E33">
        <f>SUMIFS(Metodo_limpo!C:C, Metodo_limpo!D:D, A33, Metodo_limpo!B:B, "LOC")</f>
        <v>13</v>
      </c>
      <c r="F33">
        <f>(C33-MIN(C$2:C$169))/(MAX(C$2:C$169)-MIN(C$2:C$169))</f>
        <v>2.7027027027027029E-2</v>
      </c>
      <c r="G33">
        <f>(D33-MIN(D$2:D$169))/(MAX(D$2:D$169)-MIN(D$2:D$169))</f>
        <v>0.5</v>
      </c>
      <c r="H33">
        <f>(E33-MIN(E$2:E$169))/(MAX(E$2:E$169)-MIN(E$2:E$169))</f>
        <v>9.420289855072464E-2</v>
      </c>
      <c r="I33" s="9">
        <f>F33+G33+H33</f>
        <v>0.62122992557775158</v>
      </c>
    </row>
    <row r="34" spans="1:9" x14ac:dyDescent="0.25">
      <c r="A34">
        <v>5</v>
      </c>
      <c r="B34" t="str">
        <f>INDEX(Metodo_limpo!A:A, MATCH(A34, Metodo_limpo!D:D, 0))</f>
        <v>charToCompass(char)</v>
      </c>
      <c r="C34">
        <f>SUMIFS(Metodo_limpo!C:C, Metodo_limpo!D:D, A34, Metodo_limpo!B:B, "CC")</f>
        <v>6</v>
      </c>
      <c r="D34">
        <f>SUMIFS(Metodo_limpo!C:C, Metodo_limpo!D:D, A34, Metodo_limpo!B:B, "NOPM")</f>
        <v>1</v>
      </c>
      <c r="E34">
        <f>SUMIFS(Metodo_limpo!C:C, Metodo_limpo!D:D, A34, Metodo_limpo!B:B, "LOC")</f>
        <v>28</v>
      </c>
      <c r="F34">
        <f>(C34-MIN(C$2:C$169))/(MAX(C$2:C$169)-MIN(C$2:C$169))</f>
        <v>0.16216216216216217</v>
      </c>
      <c r="G34">
        <f>(D34-MIN(D$2:D$169))/(MAX(D$2:D$169)-MIN(D$2:D$169))</f>
        <v>0.25</v>
      </c>
      <c r="H34">
        <f>(E34-MIN(E$2:E$169))/(MAX(E$2:E$169)-MIN(E$2:E$169))</f>
        <v>0.20289855072463769</v>
      </c>
      <c r="I34" s="9">
        <f>F34+G34+H34</f>
        <v>0.61506071288679987</v>
      </c>
    </row>
    <row r="35" spans="1:9" x14ac:dyDescent="0.25">
      <c r="A35">
        <v>51</v>
      </c>
      <c r="B35" t="str">
        <f>INDEX(Metodo_limpo!A:A, MATCH(A35, Metodo_limpo!D:D, 0))</f>
        <v>randomEnemyFire()</v>
      </c>
      <c r="C35">
        <f>SUMIFS(Metodo_limpo!C:C, Metodo_limpo!D:D, A35, Metodo_limpo!B:B, "CC")</f>
        <v>10</v>
      </c>
      <c r="D35">
        <f>SUMIFS(Metodo_limpo!C:C, Metodo_limpo!D:D, A35, Metodo_limpo!B:B, "NOPM")</f>
        <v>0</v>
      </c>
      <c r="E35">
        <f>SUMIFS(Metodo_limpo!C:C, Metodo_limpo!D:D, A35, Metodo_limpo!B:B, "LOC")</f>
        <v>47</v>
      </c>
      <c r="F35">
        <f>(C35-MIN(C$2:C$169))/(MAX(C$2:C$169)-MIN(C$2:C$169))</f>
        <v>0.27027027027027029</v>
      </c>
      <c r="G35">
        <f>(D35-MIN(D$2:D$169))/(MAX(D$2:D$169)-MIN(D$2:D$169))</f>
        <v>0</v>
      </c>
      <c r="H35">
        <f>(E35-MIN(E$2:E$169))/(MAX(E$2:E$169)-MIN(E$2:E$169))</f>
        <v>0.34057971014492755</v>
      </c>
      <c r="I35" s="9">
        <f>F35+G35+H35</f>
        <v>0.61084998041519789</v>
      </c>
    </row>
    <row r="36" spans="1:9" x14ac:dyDescent="0.25">
      <c r="A36">
        <v>1</v>
      </c>
      <c r="B36" t="str">
        <f>INDEX(Metodo_limpo!A:A, MATCH(A36, Metodo_limpo!D:D, 0))</f>
        <v>Barge(Compass, IPosition)</v>
      </c>
      <c r="C36">
        <f>SUMIFS(Metodo_limpo!C:C, Metodo_limpo!D:D, A36, Metodo_limpo!B:B, "CC")</f>
        <v>1</v>
      </c>
      <c r="D36">
        <f>SUMIFS(Metodo_limpo!C:C, Metodo_limpo!D:D, A36, Metodo_limpo!B:B, "NOPM")</f>
        <v>2</v>
      </c>
      <c r="E36">
        <f>SUMIFS(Metodo_limpo!C:C, Metodo_limpo!D:D, A36, Metodo_limpo!B:B, "LOC")</f>
        <v>11</v>
      </c>
      <c r="F36">
        <f>(C36-MIN(C$2:C$169))/(MAX(C$2:C$169)-MIN(C$2:C$169))</f>
        <v>2.7027027027027029E-2</v>
      </c>
      <c r="G36">
        <f>(D36-MIN(D$2:D$169))/(MAX(D$2:D$169)-MIN(D$2:D$169))</f>
        <v>0.5</v>
      </c>
      <c r="H36">
        <f>(E36-MIN(E$2:E$169))/(MAX(E$2:E$169)-MIN(E$2:E$169))</f>
        <v>7.9710144927536225E-2</v>
      </c>
      <c r="I36" s="9">
        <f>F36+G36+H36</f>
        <v>0.60673717195456323</v>
      </c>
    </row>
    <row r="37" spans="1:9" x14ac:dyDescent="0.25">
      <c r="A37">
        <v>43</v>
      </c>
      <c r="B37" t="str">
        <f>INDEX(Metodo_limpo!A:A, MATCH(A37, Metodo_limpo!D:D, 0))</f>
        <v>jsonShots(List&lt;IPosition&gt;)</v>
      </c>
      <c r="C37">
        <f>SUMIFS(Metodo_limpo!C:C, Metodo_limpo!D:D, A37, Metodo_limpo!B:B, "CC")</f>
        <v>3</v>
      </c>
      <c r="D37">
        <f>SUMIFS(Metodo_limpo!C:C, Metodo_limpo!D:D, A37, Metodo_limpo!B:B, "NOPM")</f>
        <v>1</v>
      </c>
      <c r="E37">
        <f>SUMIFS(Metodo_limpo!C:C, Metodo_limpo!D:D, A37, Metodo_limpo!B:B, "LOC")</f>
        <v>38</v>
      </c>
      <c r="F37">
        <f>(C37-MIN(C$2:C$169))/(MAX(C$2:C$169)-MIN(C$2:C$169))</f>
        <v>8.1081081081081086E-2</v>
      </c>
      <c r="G37">
        <f>(D37-MIN(D$2:D$169))/(MAX(D$2:D$169)-MIN(D$2:D$169))</f>
        <v>0.25</v>
      </c>
      <c r="H37">
        <f>(E37-MIN(E$2:E$169))/(MAX(E$2:E$169)-MIN(E$2:E$169))</f>
        <v>0.27536231884057971</v>
      </c>
      <c r="I37" s="9">
        <f>F37+G37+H37</f>
        <v>0.60644339992166074</v>
      </c>
    </row>
    <row r="38" spans="1:9" x14ac:dyDescent="0.25">
      <c r="A38">
        <v>149</v>
      </c>
      <c r="B38" t="str">
        <f>INDEX(Metodo_limpo!A:A, MATCH(A38, Metodo_limpo!D:D, 0))</f>
        <v>register(RegistrationRequest)</v>
      </c>
      <c r="C38">
        <f>SUMIFS(Metodo_limpo!C:C, Metodo_limpo!D:D, A38, Metodo_limpo!B:B, "CC")</f>
        <v>5</v>
      </c>
      <c r="D38">
        <f>SUMIFS(Metodo_limpo!C:C, Metodo_limpo!D:D, A38, Metodo_limpo!B:B, "NOPM")</f>
        <v>1</v>
      </c>
      <c r="E38">
        <f>SUMIFS(Metodo_limpo!C:C, Metodo_limpo!D:D, A38, Metodo_limpo!B:B, "LOC")</f>
        <v>29</v>
      </c>
      <c r="F38">
        <f>(C38-MIN(C$2:C$169))/(MAX(C$2:C$169)-MIN(C$2:C$169))</f>
        <v>0.13513513513513514</v>
      </c>
      <c r="G38">
        <f>(D38-MIN(D$2:D$169))/(MAX(D$2:D$169)-MIN(D$2:D$169))</f>
        <v>0.25</v>
      </c>
      <c r="H38">
        <f>(E38-MIN(E$2:E$169))/(MAX(E$2:E$169)-MIN(E$2:E$169))</f>
        <v>0.21014492753623187</v>
      </c>
      <c r="I38" s="9">
        <f>F38+G38+H38</f>
        <v>0.59528006267136702</v>
      </c>
    </row>
    <row r="39" spans="1:9" x14ac:dyDescent="0.25">
      <c r="A39">
        <v>47</v>
      </c>
      <c r="B39" t="str">
        <f>INDEX(Metodo_limpo!A:A, MATCH(A39, Metodo_limpo!D:D, 0))</f>
        <v>printBoardFrame(char[][])</v>
      </c>
      <c r="C39">
        <f>SUMIFS(Metodo_limpo!C:C, Metodo_limpo!D:D, A39, Metodo_limpo!B:B, "CC")</f>
        <v>6</v>
      </c>
      <c r="D39">
        <f>SUMIFS(Metodo_limpo!C:C, Metodo_limpo!D:D, A39, Metodo_limpo!B:B, "NOPM")</f>
        <v>1</v>
      </c>
      <c r="E39">
        <f>SUMIFS(Metodo_limpo!C:C, Metodo_limpo!D:D, A39, Metodo_limpo!B:B, "LOC")</f>
        <v>25</v>
      </c>
      <c r="F39">
        <f>(C39-MIN(C$2:C$169))/(MAX(C$2:C$169)-MIN(C$2:C$169))</f>
        <v>0.16216216216216217</v>
      </c>
      <c r="G39">
        <f>(D39-MIN(D$2:D$169))/(MAX(D$2:D$169)-MIN(D$2:D$169))</f>
        <v>0.25</v>
      </c>
      <c r="H39">
        <f>(E39-MIN(E$2:E$169))/(MAX(E$2:E$169)-MIN(E$2:E$169))</f>
        <v>0.18115942028985507</v>
      </c>
      <c r="I39" s="9">
        <f>F39+G39+H39</f>
        <v>0.59332158245201727</v>
      </c>
    </row>
    <row r="40" spans="1:9" x14ac:dyDescent="0.25">
      <c r="A40">
        <v>150</v>
      </c>
      <c r="B40" t="str">
        <f>INDEX(Metodo_limpo!A:A, MATCH(A40, Metodo_limpo!D:D, 0))</f>
        <v>createSession(String, String)</v>
      </c>
      <c r="C40">
        <f>SUMIFS(Metodo_limpo!C:C, Metodo_limpo!D:D, A40, Metodo_limpo!B:B, "CC")</f>
        <v>1</v>
      </c>
      <c r="D40">
        <f>SUMIFS(Metodo_limpo!C:C, Metodo_limpo!D:D, A40, Metodo_limpo!B:B, "NOPM")</f>
        <v>2</v>
      </c>
      <c r="E40">
        <f>SUMIFS(Metodo_limpo!C:C, Metodo_limpo!D:D, A40, Metodo_limpo!B:B, "LOC")</f>
        <v>7</v>
      </c>
      <c r="F40">
        <f>(C40-MIN(C$2:C$169))/(MAX(C$2:C$169)-MIN(C$2:C$169))</f>
        <v>2.7027027027027029E-2</v>
      </c>
      <c r="G40">
        <f>(D40-MIN(D$2:D$169))/(MAX(D$2:D$169)-MIN(D$2:D$169))</f>
        <v>0.5</v>
      </c>
      <c r="H40">
        <f>(E40-MIN(E$2:E$169))/(MAX(E$2:E$169)-MIN(E$2:E$169))</f>
        <v>5.0724637681159424E-2</v>
      </c>
      <c r="I40" s="9">
        <f>F40+G40+H40</f>
        <v>0.5777516647081864</v>
      </c>
    </row>
    <row r="41" spans="1:9" x14ac:dyDescent="0.25">
      <c r="A41">
        <v>45</v>
      </c>
      <c r="B41" t="str">
        <f>INDEX(Metodo_limpo!A:A, MATCH(A41, Metodo_limpo!D:D, 0))</f>
        <v>printAlienBoard(boolean, boolean)</v>
      </c>
      <c r="C41">
        <f>SUMIFS(Metodo_limpo!C:C, Metodo_limpo!D:D, A41, Metodo_limpo!B:B, "CC")</f>
        <v>1</v>
      </c>
      <c r="D41">
        <f>SUMIFS(Metodo_limpo!C:C, Metodo_limpo!D:D, A41, Metodo_limpo!B:B, "NOPM")</f>
        <v>2</v>
      </c>
      <c r="E41">
        <f>SUMIFS(Metodo_limpo!C:C, Metodo_limpo!D:D, A41, Metodo_limpo!B:B, "LOC")</f>
        <v>4</v>
      </c>
      <c r="F41">
        <f>(C41-MIN(C$2:C$169))/(MAX(C$2:C$169)-MIN(C$2:C$169))</f>
        <v>2.7027027027027029E-2</v>
      </c>
      <c r="G41">
        <f>(D41-MIN(D$2:D$169))/(MAX(D$2:D$169)-MIN(D$2:D$169))</f>
        <v>0.5</v>
      </c>
      <c r="H41">
        <f>(E41-MIN(E$2:E$169))/(MAX(E$2:E$169)-MIN(E$2:E$169))</f>
        <v>2.8985507246376812E-2</v>
      </c>
      <c r="I41" s="9">
        <f>F41+G41+H41</f>
        <v>0.5560125342734038</v>
      </c>
    </row>
    <row r="42" spans="1:9" x14ac:dyDescent="0.25">
      <c r="A42">
        <v>49</v>
      </c>
      <c r="B42" t="str">
        <f>INDEX(Metodo_limpo!A:A, MATCH(A42, Metodo_limpo!D:D, 0))</f>
        <v>printMyBoard(boolean, boolean)</v>
      </c>
      <c r="C42">
        <f>SUMIFS(Metodo_limpo!C:C, Metodo_limpo!D:D, A42, Metodo_limpo!B:B, "CC")</f>
        <v>1</v>
      </c>
      <c r="D42">
        <f>SUMIFS(Metodo_limpo!C:C, Metodo_limpo!D:D, A42, Metodo_limpo!B:B, "NOPM")</f>
        <v>2</v>
      </c>
      <c r="E42">
        <f>SUMIFS(Metodo_limpo!C:C, Metodo_limpo!D:D, A42, Metodo_limpo!B:B, "LOC")</f>
        <v>4</v>
      </c>
      <c r="F42">
        <f>(C42-MIN(C$2:C$169))/(MAX(C$2:C$169)-MIN(C$2:C$169))</f>
        <v>2.7027027027027029E-2</v>
      </c>
      <c r="G42">
        <f>(D42-MIN(D$2:D$169))/(MAX(D$2:D$169)-MIN(D$2:D$169))</f>
        <v>0.5</v>
      </c>
      <c r="H42">
        <f>(E42-MIN(E$2:E$169))/(MAX(E$2:E$169)-MIN(E$2:E$169))</f>
        <v>2.8985507246376812E-2</v>
      </c>
      <c r="I42" s="9">
        <f>F42+G42+H42</f>
        <v>0.5560125342734038</v>
      </c>
    </row>
    <row r="43" spans="1:9" x14ac:dyDescent="0.25">
      <c r="A43">
        <v>146</v>
      </c>
      <c r="B43" t="str">
        <f>INDEX(Metodo_limpo!A:A, MATCH(A43, Metodo_limpo!D:D, 0))</f>
        <v>error(HttpStatus, String)</v>
      </c>
      <c r="C43">
        <f>SUMIFS(Metodo_limpo!C:C, Metodo_limpo!D:D, A43, Metodo_limpo!B:B, "CC")</f>
        <v>1</v>
      </c>
      <c r="D43">
        <f>SUMIFS(Metodo_limpo!C:C, Metodo_limpo!D:D, A43, Metodo_limpo!B:B, "NOPM")</f>
        <v>2</v>
      </c>
      <c r="E43">
        <f>SUMIFS(Metodo_limpo!C:C, Metodo_limpo!D:D, A43, Metodo_limpo!B:B, "LOC")</f>
        <v>4</v>
      </c>
      <c r="F43">
        <f>(C43-MIN(C$2:C$169))/(MAX(C$2:C$169)-MIN(C$2:C$169))</f>
        <v>2.7027027027027029E-2</v>
      </c>
      <c r="G43">
        <f>(D43-MIN(D$2:D$169))/(MAX(D$2:D$169)-MIN(D$2:D$169))</f>
        <v>0.5</v>
      </c>
      <c r="H43">
        <f>(E43-MIN(E$2:E$169))/(MAX(E$2:E$169)-MIN(E$2:E$169))</f>
        <v>2.8985507246376812E-2</v>
      </c>
      <c r="I43" s="9">
        <f>F43+G43+H43</f>
        <v>0.5560125342734038</v>
      </c>
    </row>
    <row r="44" spans="1:9" x14ac:dyDescent="0.25">
      <c r="A44">
        <v>32</v>
      </c>
      <c r="B44" t="str">
        <f>INDEX(Metodo_limpo!A:A, MATCH(A44, Metodo_limpo!D:D, 0))</f>
        <v>fireShots(List&lt;IPosition&gt;)</v>
      </c>
      <c r="C44">
        <f>SUMIFS(Metodo_limpo!C:C, Metodo_limpo!D:D, A44, Metodo_limpo!B:B, "CC")</f>
        <v>3</v>
      </c>
      <c r="D44">
        <f>SUMIFS(Metodo_limpo!C:C, Metodo_limpo!D:D, A44, Metodo_limpo!B:B, "NOPM")</f>
        <v>1</v>
      </c>
      <c r="E44">
        <f>SUMIFS(Metodo_limpo!C:C, Metodo_limpo!D:D, A44, Metodo_limpo!B:B, "LOC")</f>
        <v>30</v>
      </c>
      <c r="F44">
        <f>(C44-MIN(C$2:C$169))/(MAX(C$2:C$169)-MIN(C$2:C$169))</f>
        <v>8.1081081081081086E-2</v>
      </c>
      <c r="G44">
        <f>(D44-MIN(D$2:D$169))/(MAX(D$2:D$169)-MIN(D$2:D$169))</f>
        <v>0.25</v>
      </c>
      <c r="H44">
        <f>(E44-MIN(E$2:E$169))/(MAX(E$2:E$169)-MIN(E$2:E$169))</f>
        <v>0.21739130434782608</v>
      </c>
      <c r="I44" s="9">
        <f>F44+G44+H44</f>
        <v>0.54847238542890719</v>
      </c>
    </row>
    <row r="45" spans="1:9" x14ac:dyDescent="0.25">
      <c r="A45">
        <v>64</v>
      </c>
      <c r="B45" t="str">
        <f>INDEX(Metodo_limpo!A:A, MATCH(A45, Metodo_limpo!D:D, 0))</f>
        <v>updateBoard()</v>
      </c>
      <c r="C45">
        <f>SUMIFS(Metodo_limpo!C:C, Metodo_limpo!D:D, A45, Metodo_limpo!B:B, "CC")</f>
        <v>7</v>
      </c>
      <c r="D45">
        <f>SUMIFS(Metodo_limpo!C:C, Metodo_limpo!D:D, A45, Metodo_limpo!B:B, "NOPM")</f>
        <v>0</v>
      </c>
      <c r="E45">
        <f>SUMIFS(Metodo_limpo!C:C, Metodo_limpo!D:D, A45, Metodo_limpo!B:B, "LOC")</f>
        <v>49</v>
      </c>
      <c r="F45">
        <f>(C45-MIN(C$2:C$169))/(MAX(C$2:C$169)-MIN(C$2:C$169))</f>
        <v>0.1891891891891892</v>
      </c>
      <c r="G45">
        <f>(D45-MIN(D$2:D$169))/(MAX(D$2:D$169)-MIN(D$2:D$169))</f>
        <v>0</v>
      </c>
      <c r="H45">
        <f>(E45-MIN(E$2:E$169))/(MAX(E$2:E$169)-MIN(E$2:E$169))</f>
        <v>0.35507246376811596</v>
      </c>
      <c r="I45" s="9">
        <f>F45+G45+H45</f>
        <v>0.54426165295730522</v>
      </c>
    </row>
    <row r="46" spans="1:9" x14ac:dyDescent="0.25">
      <c r="A46">
        <v>133</v>
      </c>
      <c r="B46" t="str">
        <f>INDEX(Metodo_limpo!A:A, MATCH(A46, Metodo_limpo!D:D, 0))</f>
        <v>buildFleet(Scanner)</v>
      </c>
      <c r="C46">
        <f>SUMIFS(Metodo_limpo!C:C, Metodo_limpo!D:D, A46, Metodo_limpo!B:B, "CC")</f>
        <v>4</v>
      </c>
      <c r="D46">
        <f>SUMIFS(Metodo_limpo!C:C, Metodo_limpo!D:D, A46, Metodo_limpo!B:B, "NOPM")</f>
        <v>1</v>
      </c>
      <c r="E46">
        <f>SUMIFS(Metodo_limpo!C:C, Metodo_limpo!D:D, A46, Metodo_limpo!B:B, "LOC")</f>
        <v>25</v>
      </c>
      <c r="F46">
        <f>(C46-MIN(C$2:C$169))/(MAX(C$2:C$169)-MIN(C$2:C$169))</f>
        <v>0.10810810810810811</v>
      </c>
      <c r="G46">
        <f>(D46-MIN(D$2:D$169))/(MAX(D$2:D$169)-MIN(D$2:D$169))</f>
        <v>0.25</v>
      </c>
      <c r="H46">
        <f>(E46-MIN(E$2:E$169))/(MAX(E$2:E$169)-MIN(E$2:E$169))</f>
        <v>0.18115942028985507</v>
      </c>
      <c r="I46" s="9">
        <f>F46+G46+H46</f>
        <v>0.53926752839796321</v>
      </c>
    </row>
    <row r="47" spans="1:9" x14ac:dyDescent="0.25">
      <c r="A47">
        <v>12</v>
      </c>
      <c r="B47" t="str">
        <f>INDEX(Metodo_limpo!A:A, MATCH(A47, Metodo_limpo!D:D, 0))</f>
        <v>addShip(IShip)</v>
      </c>
      <c r="C47">
        <f>SUMIFS(Metodo_limpo!C:C, Metodo_limpo!D:D, A47, Metodo_limpo!B:B, "CC")</f>
        <v>4</v>
      </c>
      <c r="D47">
        <f>SUMIFS(Metodo_limpo!C:C, Metodo_limpo!D:D, A47, Metodo_limpo!B:B, "NOPM")</f>
        <v>1</v>
      </c>
      <c r="E47">
        <f>SUMIFS(Metodo_limpo!C:C, Metodo_limpo!D:D, A47, Metodo_limpo!B:B, "LOC")</f>
        <v>23</v>
      </c>
      <c r="F47">
        <f>(C47-MIN(C$2:C$169))/(MAX(C$2:C$169)-MIN(C$2:C$169))</f>
        <v>0.10810810810810811</v>
      </c>
      <c r="G47">
        <f>(D47-MIN(D$2:D$169))/(MAX(D$2:D$169)-MIN(D$2:D$169))</f>
        <v>0.25</v>
      </c>
      <c r="H47">
        <f>(E47-MIN(E$2:E$169))/(MAX(E$2:E$169)-MIN(E$2:E$169))</f>
        <v>0.16666666666666666</v>
      </c>
      <c r="I47" s="9">
        <f>F47+G47+H47</f>
        <v>0.52477477477477474</v>
      </c>
    </row>
    <row r="48" spans="1:9" x14ac:dyDescent="0.25">
      <c r="A48">
        <v>113</v>
      </c>
      <c r="B48" t="str">
        <f>INDEX(Metodo_limpo!A:A, MATCH(A48, Metodo_limpo!D:D, 0))</f>
        <v>equals(Object)</v>
      </c>
      <c r="C48">
        <f>SUMIFS(Metodo_limpo!C:C, Metodo_limpo!D:D, A48, Metodo_limpo!B:B, "CC")</f>
        <v>4</v>
      </c>
      <c r="D48">
        <f>SUMIFS(Metodo_limpo!C:C, Metodo_limpo!D:D, A48, Metodo_limpo!B:B, "NOPM")</f>
        <v>0</v>
      </c>
      <c r="E48">
        <f>SUMIFS(Metodo_limpo!C:C, Metodo_limpo!D:D, A48, Metodo_limpo!B:B, "LOC")</f>
        <v>52</v>
      </c>
      <c r="F48">
        <f>(C48-MIN(C$2:C$169))/(MAX(C$2:C$169)-MIN(C$2:C$169))</f>
        <v>0.10810810810810811</v>
      </c>
      <c r="G48">
        <f>(D48-MIN(D$2:D$169))/(MAX(D$2:D$169)-MIN(D$2:D$169))</f>
        <v>0</v>
      </c>
      <c r="H48">
        <f>(E48-MIN(E$2:E$169))/(MAX(E$2:E$169)-MIN(E$2:E$169))</f>
        <v>0.37681159420289856</v>
      </c>
      <c r="I48" s="9">
        <f>F48+G48+H48</f>
        <v>0.48491970231100667</v>
      </c>
    </row>
    <row r="49" spans="1:9" x14ac:dyDescent="0.25">
      <c r="A49">
        <v>17</v>
      </c>
      <c r="B49" t="str">
        <f>INDEX(Metodo_limpo!A:A, MATCH(A49, Metodo_limpo!D:D, 0))</f>
        <v>getShipsLike(String)</v>
      </c>
      <c r="C49">
        <f>SUMIFS(Metodo_limpo!C:C, Metodo_limpo!D:D, A49, Metodo_limpo!B:B, "CC")</f>
        <v>3</v>
      </c>
      <c r="D49">
        <f>SUMIFS(Metodo_limpo!C:C, Metodo_limpo!D:D, A49, Metodo_limpo!B:B, "NOPM")</f>
        <v>1</v>
      </c>
      <c r="E49">
        <f>SUMIFS(Metodo_limpo!C:C, Metodo_limpo!D:D, A49, Metodo_limpo!B:B, "LOC")</f>
        <v>21</v>
      </c>
      <c r="F49">
        <f>(C49-MIN(C$2:C$169))/(MAX(C$2:C$169)-MIN(C$2:C$169))</f>
        <v>8.1081081081081086E-2</v>
      </c>
      <c r="G49">
        <f>(D49-MIN(D$2:D$169))/(MAX(D$2:D$169)-MIN(D$2:D$169))</f>
        <v>0.25</v>
      </c>
      <c r="H49">
        <f>(E49-MIN(E$2:E$169))/(MAX(E$2:E$169)-MIN(E$2:E$169))</f>
        <v>0.15217391304347827</v>
      </c>
      <c r="I49" s="9">
        <f>F49+G49+H49</f>
        <v>0.48325499412455936</v>
      </c>
    </row>
    <row r="50" spans="1:9" x14ac:dyDescent="0.25">
      <c r="A50">
        <v>24</v>
      </c>
      <c r="B50" t="str">
        <f>INDEX(Metodo_limpo!A:A, MATCH(A50, Metodo_limpo!D:D, 0))</f>
        <v>shipAt(IPosition)</v>
      </c>
      <c r="C50">
        <f>SUMIFS(Metodo_limpo!C:C, Metodo_limpo!D:D, A50, Metodo_limpo!B:B, "CC")</f>
        <v>3</v>
      </c>
      <c r="D50">
        <f>SUMIFS(Metodo_limpo!C:C, Metodo_limpo!D:D, A50, Metodo_limpo!B:B, "NOPM")</f>
        <v>1</v>
      </c>
      <c r="E50">
        <f>SUMIFS(Metodo_limpo!C:C, Metodo_limpo!D:D, A50, Metodo_limpo!B:B, "LOC")</f>
        <v>20</v>
      </c>
      <c r="F50">
        <f>(C50-MIN(C$2:C$169))/(MAX(C$2:C$169)-MIN(C$2:C$169))</f>
        <v>8.1081081081081086E-2</v>
      </c>
      <c r="G50">
        <f>(D50-MIN(D$2:D$169))/(MAX(D$2:D$169)-MIN(D$2:D$169))</f>
        <v>0.25</v>
      </c>
      <c r="H50">
        <f>(E50-MIN(E$2:E$169))/(MAX(E$2:E$169)-MIN(E$2:E$169))</f>
        <v>0.14492753623188406</v>
      </c>
      <c r="I50" s="9">
        <f>F50+G50+H50</f>
        <v>0.47600861731296518</v>
      </c>
    </row>
    <row r="51" spans="1:9" x14ac:dyDescent="0.25">
      <c r="A51">
        <v>13</v>
      </c>
      <c r="B51" t="str">
        <f>INDEX(Metodo_limpo!A:A, MATCH(A51, Metodo_limpo!D:D, 0))</f>
        <v>colisionRisk(IShip)</v>
      </c>
      <c r="C51">
        <f>SUMIFS(Metodo_limpo!C:C, Metodo_limpo!D:D, A51, Metodo_limpo!B:B, "CC")</f>
        <v>3</v>
      </c>
      <c r="D51">
        <f>SUMIFS(Metodo_limpo!C:C, Metodo_limpo!D:D, A51, Metodo_limpo!B:B, "NOPM")</f>
        <v>1</v>
      </c>
      <c r="E51">
        <f>SUMIFS(Metodo_limpo!C:C, Metodo_limpo!D:D, A51, Metodo_limpo!B:B, "LOC")</f>
        <v>16</v>
      </c>
      <c r="F51">
        <f>(C51-MIN(C$2:C$169))/(MAX(C$2:C$169)-MIN(C$2:C$169))</f>
        <v>8.1081081081081086E-2</v>
      </c>
      <c r="G51">
        <f>(D51-MIN(D$2:D$169))/(MAX(D$2:D$169)-MIN(D$2:D$169))</f>
        <v>0.25</v>
      </c>
      <c r="H51">
        <f>(E51-MIN(E$2:E$169))/(MAX(E$2:E$169)-MIN(E$2:E$169))</f>
        <v>0.11594202898550725</v>
      </c>
      <c r="I51" s="9">
        <f>F51+G51+H51</f>
        <v>0.44702311006658835</v>
      </c>
    </row>
    <row r="52" spans="1:9" x14ac:dyDescent="0.25">
      <c r="A52">
        <v>29</v>
      </c>
      <c r="B52" t="str">
        <f>INDEX(Metodo_limpo!A:A, MATCH(A52, Metodo_limpo!D:D, 0))</f>
        <v>fillSouth(IPosition)</v>
      </c>
      <c r="C52">
        <f>SUMIFS(Metodo_limpo!C:C, Metodo_limpo!D:D, A52, Metodo_limpo!B:B, "CC")</f>
        <v>3</v>
      </c>
      <c r="D52">
        <f>SUMIFS(Metodo_limpo!C:C, Metodo_limpo!D:D, A52, Metodo_limpo!B:B, "NOPM")</f>
        <v>1</v>
      </c>
      <c r="E52">
        <f>SUMIFS(Metodo_limpo!C:C, Metodo_limpo!D:D, A52, Metodo_limpo!B:B, "LOC")</f>
        <v>13</v>
      </c>
      <c r="F52">
        <f>(C52-MIN(C$2:C$169))/(MAX(C$2:C$169)-MIN(C$2:C$169))</f>
        <v>8.1081081081081086E-2</v>
      </c>
      <c r="G52">
        <f>(D52-MIN(D$2:D$169))/(MAX(D$2:D$169)-MIN(D$2:D$169))</f>
        <v>0.25</v>
      </c>
      <c r="H52">
        <f>(E52-MIN(E$2:E$169))/(MAX(E$2:E$169)-MIN(E$2:E$169))</f>
        <v>9.420289855072464E-2</v>
      </c>
      <c r="I52" s="9">
        <f>F52+G52+H52</f>
        <v>0.42528397963180575</v>
      </c>
    </row>
    <row r="53" spans="1:9" x14ac:dyDescent="0.25">
      <c r="A53">
        <v>123</v>
      </c>
      <c r="B53" t="str">
        <f>INDEX(Metodo_limpo!A:A, MATCH(A53, Metodo_limpo!D:D, 0))</f>
        <v>getLeftMostPos()</v>
      </c>
      <c r="C53">
        <f>SUMIFS(Metodo_limpo!C:C, Metodo_limpo!D:D, A53, Metodo_limpo!B:B, "CC")</f>
        <v>3</v>
      </c>
      <c r="D53">
        <f>SUMIFS(Metodo_limpo!C:C, Metodo_limpo!D:D, A53, Metodo_limpo!B:B, "NOPM")</f>
        <v>0</v>
      </c>
      <c r="E53">
        <f>SUMIFS(Metodo_limpo!C:C, Metodo_limpo!D:D, A53, Metodo_limpo!B:B, "LOC")</f>
        <v>43</v>
      </c>
      <c r="F53">
        <f>(C53-MIN(C$2:C$169))/(MAX(C$2:C$169)-MIN(C$2:C$169))</f>
        <v>8.1081081081081086E-2</v>
      </c>
      <c r="G53">
        <f>(D53-MIN(D$2:D$169))/(MAX(D$2:D$169)-MIN(D$2:D$169))</f>
        <v>0</v>
      </c>
      <c r="H53">
        <f>(E53-MIN(E$2:E$169))/(MAX(E$2:E$169)-MIN(E$2:E$169))</f>
        <v>0.31159420289855072</v>
      </c>
      <c r="I53" s="9">
        <f>F53+G53+H53</f>
        <v>0.39267528397963181</v>
      </c>
    </row>
    <row r="54" spans="1:9" x14ac:dyDescent="0.25">
      <c r="A54">
        <v>27</v>
      </c>
      <c r="B54" t="str">
        <f>INDEX(Metodo_limpo!A:A, MATCH(A54, Metodo_limpo!D:D, 0))</f>
        <v>fillEast(IPosition)</v>
      </c>
      <c r="C54">
        <f>SUMIFS(Metodo_limpo!C:C, Metodo_limpo!D:D, A54, Metodo_limpo!B:B, "CC")</f>
        <v>2</v>
      </c>
      <c r="D54">
        <f>SUMIFS(Metodo_limpo!C:C, Metodo_limpo!D:D, A54, Metodo_limpo!B:B, "NOPM")</f>
        <v>1</v>
      </c>
      <c r="E54">
        <f>SUMIFS(Metodo_limpo!C:C, Metodo_limpo!D:D, A54, Metodo_limpo!B:B, "LOC")</f>
        <v>12</v>
      </c>
      <c r="F54">
        <f>(C54-MIN(C$2:C$169))/(MAX(C$2:C$169)-MIN(C$2:C$169))</f>
        <v>5.4054054054054057E-2</v>
      </c>
      <c r="G54">
        <f>(D54-MIN(D$2:D$169))/(MAX(D$2:D$169)-MIN(D$2:D$169))</f>
        <v>0.25</v>
      </c>
      <c r="H54">
        <f>(E54-MIN(E$2:E$169))/(MAX(E$2:E$169)-MIN(E$2:E$169))</f>
        <v>8.6956521739130432E-2</v>
      </c>
      <c r="I54" s="9">
        <f>F54+G54+H54</f>
        <v>0.39101057579318449</v>
      </c>
    </row>
    <row r="55" spans="1:9" x14ac:dyDescent="0.25">
      <c r="A55">
        <v>28</v>
      </c>
      <c r="B55" t="str">
        <f>INDEX(Metodo_limpo!A:A, MATCH(A55, Metodo_limpo!D:D, 0))</f>
        <v>fillNorth(IPosition)</v>
      </c>
      <c r="C55">
        <f>SUMIFS(Metodo_limpo!C:C, Metodo_limpo!D:D, A55, Metodo_limpo!B:B, "CC")</f>
        <v>2</v>
      </c>
      <c r="D55">
        <f>SUMIFS(Metodo_limpo!C:C, Metodo_limpo!D:D, A55, Metodo_limpo!B:B, "NOPM")</f>
        <v>1</v>
      </c>
      <c r="E55">
        <f>SUMIFS(Metodo_limpo!C:C, Metodo_limpo!D:D, A55, Metodo_limpo!B:B, "LOC")</f>
        <v>12</v>
      </c>
      <c r="F55">
        <f>(C55-MIN(C$2:C$169))/(MAX(C$2:C$169)-MIN(C$2:C$169))</f>
        <v>5.4054054054054057E-2</v>
      </c>
      <c r="G55">
        <f>(D55-MIN(D$2:D$169))/(MAX(D$2:D$169)-MIN(D$2:D$169))</f>
        <v>0.25</v>
      </c>
      <c r="H55">
        <f>(E55-MIN(E$2:E$169))/(MAX(E$2:E$169)-MIN(E$2:E$169))</f>
        <v>8.6956521739130432E-2</v>
      </c>
      <c r="I55" s="9">
        <f>F55+G55+H55</f>
        <v>0.39101057579318449</v>
      </c>
    </row>
    <row r="56" spans="1:9" x14ac:dyDescent="0.25">
      <c r="A56">
        <v>30</v>
      </c>
      <c r="B56" t="str">
        <f>INDEX(Metodo_limpo!A:A, MATCH(A56, Metodo_limpo!D:D, 0))</f>
        <v>fillWest(IPosition)</v>
      </c>
      <c r="C56">
        <f>SUMIFS(Metodo_limpo!C:C, Metodo_limpo!D:D, A56, Metodo_limpo!B:B, "CC")</f>
        <v>2</v>
      </c>
      <c r="D56">
        <f>SUMIFS(Metodo_limpo!C:C, Metodo_limpo!D:D, A56, Metodo_limpo!B:B, "NOPM")</f>
        <v>1</v>
      </c>
      <c r="E56">
        <f>SUMIFS(Metodo_limpo!C:C, Metodo_limpo!D:D, A56, Metodo_limpo!B:B, "LOC")</f>
        <v>12</v>
      </c>
      <c r="F56">
        <f>(C56-MIN(C$2:C$169))/(MAX(C$2:C$169)-MIN(C$2:C$169))</f>
        <v>5.4054054054054057E-2</v>
      </c>
      <c r="G56">
        <f>(D56-MIN(D$2:D$169))/(MAX(D$2:D$169)-MIN(D$2:D$169))</f>
        <v>0.25</v>
      </c>
      <c r="H56">
        <f>(E56-MIN(E$2:E$169))/(MAX(E$2:E$169)-MIN(E$2:E$169))</f>
        <v>8.6956521739130432E-2</v>
      </c>
      <c r="I56" s="9">
        <f>F56+G56+H56</f>
        <v>0.39101057579318449</v>
      </c>
    </row>
    <row r="57" spans="1:9" x14ac:dyDescent="0.25">
      <c r="A57">
        <v>53</v>
      </c>
      <c r="B57" t="str">
        <f>INDEX(Metodo_limpo!A:A, MATCH(A57, Metodo_limpo!D:D, 0))</f>
        <v>repeatedShot(IPosition)</v>
      </c>
      <c r="C57">
        <f>SUMIFS(Metodo_limpo!C:C, Metodo_limpo!D:D, A57, Metodo_limpo!B:B, "CC")</f>
        <v>3</v>
      </c>
      <c r="D57">
        <f>SUMIFS(Metodo_limpo!C:C, Metodo_limpo!D:D, A57, Metodo_limpo!B:B, "NOPM")</f>
        <v>1</v>
      </c>
      <c r="E57">
        <f>SUMIFS(Metodo_limpo!C:C, Metodo_limpo!D:D, A57, Metodo_limpo!B:B, "LOC")</f>
        <v>8</v>
      </c>
      <c r="F57">
        <f>(C57-MIN(C$2:C$169))/(MAX(C$2:C$169)-MIN(C$2:C$169))</f>
        <v>8.1081081081081086E-2</v>
      </c>
      <c r="G57">
        <f>(D57-MIN(D$2:D$169))/(MAX(D$2:D$169)-MIN(D$2:D$169))</f>
        <v>0.25</v>
      </c>
      <c r="H57">
        <f>(E57-MIN(E$2:E$169))/(MAX(E$2:E$169)-MIN(E$2:E$169))</f>
        <v>5.7971014492753624E-2</v>
      </c>
      <c r="I57" s="9">
        <f>F57+G57+H57</f>
        <v>0.38905209557383469</v>
      </c>
    </row>
    <row r="58" spans="1:9" x14ac:dyDescent="0.25">
      <c r="A58">
        <v>21</v>
      </c>
      <c r="B58" t="str">
        <f>INDEX(Metodo_limpo!A:A, MATCH(A58, Metodo_limpo!D:D, 0))</f>
        <v>printShips(List&lt;IShip&gt;)</v>
      </c>
      <c r="C58">
        <f>SUMIFS(Metodo_limpo!C:C, Metodo_limpo!D:D, A58, Metodo_limpo!B:B, "CC")</f>
        <v>2</v>
      </c>
      <c r="D58">
        <f>SUMIFS(Metodo_limpo!C:C, Metodo_limpo!D:D, A58, Metodo_limpo!B:B, "NOPM")</f>
        <v>1</v>
      </c>
      <c r="E58">
        <f>SUMIFS(Metodo_limpo!C:C, Metodo_limpo!D:D, A58, Metodo_limpo!B:B, "LOC")</f>
        <v>11</v>
      </c>
      <c r="F58">
        <f>(C58-MIN(C$2:C$169))/(MAX(C$2:C$169)-MIN(C$2:C$169))</f>
        <v>5.4054054054054057E-2</v>
      </c>
      <c r="G58">
        <f>(D58-MIN(D$2:D$169))/(MAX(D$2:D$169)-MIN(D$2:D$169))</f>
        <v>0.25</v>
      </c>
      <c r="H58">
        <f>(E58-MIN(E$2:E$169))/(MAX(E$2:E$169)-MIN(E$2:E$169))</f>
        <v>7.9710144927536225E-2</v>
      </c>
      <c r="I58" s="9">
        <f>F58+G58+H58</f>
        <v>0.38376419898159031</v>
      </c>
    </row>
    <row r="59" spans="1:9" x14ac:dyDescent="0.25">
      <c r="A59">
        <v>121</v>
      </c>
      <c r="B59" t="str">
        <f>INDEX(Metodo_limpo!A:A, MATCH(A59, Metodo_limpo!D:D, 0))</f>
        <v>getAdjacentPositions()</v>
      </c>
      <c r="C59">
        <f>SUMIFS(Metodo_limpo!C:C, Metodo_limpo!D:D, A59, Metodo_limpo!B:B, "CC")</f>
        <v>5</v>
      </c>
      <c r="D59">
        <f>SUMIFS(Metodo_limpo!C:C, Metodo_limpo!D:D, A59, Metodo_limpo!B:B, "NOPM")</f>
        <v>0</v>
      </c>
      <c r="E59">
        <f>SUMIFS(Metodo_limpo!C:C, Metodo_limpo!D:D, A59, Metodo_limpo!B:B, "LOC")</f>
        <v>34</v>
      </c>
      <c r="F59">
        <f>(C59-MIN(C$2:C$169))/(MAX(C$2:C$169)-MIN(C$2:C$169))</f>
        <v>0.13513513513513514</v>
      </c>
      <c r="G59">
        <f>(D59-MIN(D$2:D$169))/(MAX(D$2:D$169)-MIN(D$2:D$169))</f>
        <v>0</v>
      </c>
      <c r="H59">
        <f>(E59-MIN(E$2:E$169))/(MAX(E$2:E$169)-MIN(E$2:E$169))</f>
        <v>0.24637681159420291</v>
      </c>
      <c r="I59" s="9">
        <f>F59+G59+H59</f>
        <v>0.38151194672933808</v>
      </c>
    </row>
    <row r="60" spans="1:9" x14ac:dyDescent="0.25">
      <c r="A60">
        <v>138</v>
      </c>
      <c r="B60" t="str">
        <f>INDEX(Metodo_limpo!A:A, MATCH(A60, Metodo_limpo!D:D, 0))</f>
        <v>readShip(Scanner)</v>
      </c>
      <c r="C60">
        <f>SUMIFS(Metodo_limpo!C:C, Metodo_limpo!D:D, A60, Metodo_limpo!B:B, "CC")</f>
        <v>1</v>
      </c>
      <c r="D60">
        <f>SUMIFS(Metodo_limpo!C:C, Metodo_limpo!D:D, A60, Metodo_limpo!B:B, "NOPM")</f>
        <v>1</v>
      </c>
      <c r="E60">
        <f>SUMIFS(Metodo_limpo!C:C, Metodo_limpo!D:D, A60, Metodo_limpo!B:B, "LOC")</f>
        <v>14</v>
      </c>
      <c r="F60">
        <f>(C60-MIN(C$2:C$169))/(MAX(C$2:C$169)-MIN(C$2:C$169))</f>
        <v>2.7027027027027029E-2</v>
      </c>
      <c r="G60">
        <f>(D60-MIN(D$2:D$169))/(MAX(D$2:D$169)-MIN(D$2:D$169))</f>
        <v>0.25</v>
      </c>
      <c r="H60">
        <f>(E60-MIN(E$2:E$169))/(MAX(E$2:E$169)-MIN(E$2:E$169))</f>
        <v>0.10144927536231885</v>
      </c>
      <c r="I60" s="9">
        <f>F60+G60+H60</f>
        <v>0.37847630238934588</v>
      </c>
    </row>
    <row r="61" spans="1:9" x14ac:dyDescent="0.25">
      <c r="A61">
        <v>31</v>
      </c>
      <c r="B61" t="str">
        <f>INDEX(Metodo_limpo!A:A, MATCH(A61, Metodo_limpo!D:D, 0))</f>
        <v>Game(IFleet)</v>
      </c>
      <c r="C61">
        <f>SUMIFS(Metodo_limpo!C:C, Metodo_limpo!D:D, A61, Metodo_limpo!B:B, "CC")</f>
        <v>1</v>
      </c>
      <c r="D61">
        <f>SUMIFS(Metodo_limpo!C:C, Metodo_limpo!D:D, A61, Metodo_limpo!B:B, "NOPM")</f>
        <v>1</v>
      </c>
      <c r="E61">
        <f>SUMIFS(Metodo_limpo!C:C, Metodo_limpo!D:D, A61, Metodo_limpo!B:B, "LOC")</f>
        <v>13</v>
      </c>
      <c r="F61">
        <f>(C61-MIN(C$2:C$169))/(MAX(C$2:C$169)-MIN(C$2:C$169))</f>
        <v>2.7027027027027029E-2</v>
      </c>
      <c r="G61">
        <f>(D61-MIN(D$2:D$169))/(MAX(D$2:D$169)-MIN(D$2:D$169))</f>
        <v>0.25</v>
      </c>
      <c r="H61">
        <f>(E61-MIN(E$2:E$169))/(MAX(E$2:E$169)-MIN(E$2:E$169))</f>
        <v>9.420289855072464E-2</v>
      </c>
      <c r="I61" s="9">
        <f>F61+G61+H61</f>
        <v>0.3712299255777517</v>
      </c>
    </row>
    <row r="62" spans="1:9" x14ac:dyDescent="0.25">
      <c r="A62">
        <v>125</v>
      </c>
      <c r="B62" t="str">
        <f>INDEX(Metodo_limpo!A:A, MATCH(A62, Metodo_limpo!D:D, 0))</f>
        <v>getTopMostPos()</v>
      </c>
      <c r="C62">
        <f>SUMIFS(Metodo_limpo!C:C, Metodo_limpo!D:D, A62, Metodo_limpo!B:B, "CC")</f>
        <v>7</v>
      </c>
      <c r="D62">
        <f>SUMIFS(Metodo_limpo!C:C, Metodo_limpo!D:D, A62, Metodo_limpo!B:B, "NOPM")</f>
        <v>0</v>
      </c>
      <c r="E62">
        <f>SUMIFS(Metodo_limpo!C:C, Metodo_limpo!D:D, A62, Metodo_limpo!B:B, "LOC")</f>
        <v>25</v>
      </c>
      <c r="F62">
        <f>(C62-MIN(C$2:C$169))/(MAX(C$2:C$169)-MIN(C$2:C$169))</f>
        <v>0.1891891891891892</v>
      </c>
      <c r="G62">
        <f>(D62-MIN(D$2:D$169))/(MAX(D$2:D$169)-MIN(D$2:D$169))</f>
        <v>0</v>
      </c>
      <c r="H62">
        <f>(E62-MIN(E$2:E$169))/(MAX(E$2:E$169)-MIN(E$2:E$169))</f>
        <v>0.18115942028985507</v>
      </c>
      <c r="I62" s="9">
        <f>F62+G62+H62</f>
        <v>0.37034860947904424</v>
      </c>
    </row>
    <row r="63" spans="1:9" x14ac:dyDescent="0.25">
      <c r="A63">
        <v>137</v>
      </c>
      <c r="B63" t="str">
        <f>INDEX(Metodo_limpo!A:A, MATCH(A63, Metodo_limpo!D:D, 0))</f>
        <v>readPosition(Scanner)</v>
      </c>
      <c r="C63">
        <f>SUMIFS(Metodo_limpo!C:C, Metodo_limpo!D:D, A63, Metodo_limpo!B:B, "CC")</f>
        <v>1</v>
      </c>
      <c r="D63">
        <f>SUMIFS(Metodo_limpo!C:C, Metodo_limpo!D:D, A63, Metodo_limpo!B:B, "NOPM")</f>
        <v>1</v>
      </c>
      <c r="E63">
        <f>SUMIFS(Metodo_limpo!C:C, Metodo_limpo!D:D, A63, Metodo_limpo!B:B, "LOC")</f>
        <v>12</v>
      </c>
      <c r="F63">
        <f>(C63-MIN(C$2:C$169))/(MAX(C$2:C$169)-MIN(C$2:C$169))</f>
        <v>2.7027027027027029E-2</v>
      </c>
      <c r="G63">
        <f>(D63-MIN(D$2:D$169))/(MAX(D$2:D$169)-MIN(D$2:D$169))</f>
        <v>0.25</v>
      </c>
      <c r="H63">
        <f>(E63-MIN(E$2:E$169))/(MAX(E$2:E$169)-MIN(E$2:E$169))</f>
        <v>8.6956521739130432E-2</v>
      </c>
      <c r="I63" s="9">
        <f>F63+G63+H63</f>
        <v>0.36398354876615746</v>
      </c>
    </row>
    <row r="64" spans="1:9" x14ac:dyDescent="0.25">
      <c r="A64">
        <v>22</v>
      </c>
      <c r="B64" t="str">
        <f>INDEX(Metodo_limpo!A:A, MATCH(A64, Metodo_limpo!D:D, 0))</f>
        <v>printShipsByCategory(String)</v>
      </c>
      <c r="C64">
        <f>SUMIFS(Metodo_limpo!C:C, Metodo_limpo!D:D, A64, Metodo_limpo!B:B, "CC")</f>
        <v>1</v>
      </c>
      <c r="D64">
        <f>SUMIFS(Metodo_limpo!C:C, Metodo_limpo!D:D, A64, Metodo_limpo!B:B, "NOPM")</f>
        <v>1</v>
      </c>
      <c r="E64">
        <f>SUMIFS(Metodo_limpo!C:C, Metodo_limpo!D:D, A64, Metodo_limpo!B:B, "LOC")</f>
        <v>11</v>
      </c>
      <c r="F64">
        <f>(C64-MIN(C$2:C$169))/(MAX(C$2:C$169)-MIN(C$2:C$169))</f>
        <v>2.7027027027027029E-2</v>
      </c>
      <c r="G64">
        <f>(D64-MIN(D$2:D$169))/(MAX(D$2:D$169)-MIN(D$2:D$169))</f>
        <v>0.25</v>
      </c>
      <c r="H64">
        <f>(E64-MIN(E$2:E$169))/(MAX(E$2:E$169)-MIN(E$2:E$169))</f>
        <v>7.9710144927536225E-2</v>
      </c>
      <c r="I64" s="9">
        <f>F64+G64+H64</f>
        <v>0.35673717195456323</v>
      </c>
    </row>
    <row r="65" spans="1:9" x14ac:dyDescent="0.25">
      <c r="A65">
        <v>4</v>
      </c>
      <c r="B65" t="str">
        <f>INDEX(Metodo_limpo!A:A, MATCH(A65, Metodo_limpo!D:D, 0))</f>
        <v>Compass(char)</v>
      </c>
      <c r="C65">
        <f>SUMIFS(Metodo_limpo!C:C, Metodo_limpo!D:D, A65, Metodo_limpo!B:B, "CC")</f>
        <v>1</v>
      </c>
      <c r="D65">
        <f>SUMIFS(Metodo_limpo!C:C, Metodo_limpo!D:D, A65, Metodo_limpo!B:B, "NOPM")</f>
        <v>1</v>
      </c>
      <c r="E65">
        <f>SUMIFS(Metodo_limpo!C:C, Metodo_limpo!D:D, A65, Metodo_limpo!B:B, "LOC")</f>
        <v>9</v>
      </c>
      <c r="F65">
        <f>(C65-MIN(C$2:C$169))/(MAX(C$2:C$169)-MIN(C$2:C$169))</f>
        <v>2.7027027027027029E-2</v>
      </c>
      <c r="G65">
        <f>(D65-MIN(D$2:D$169))/(MAX(D$2:D$169)-MIN(D$2:D$169))</f>
        <v>0.25</v>
      </c>
      <c r="H65">
        <f>(E65-MIN(E$2:E$169))/(MAX(E$2:E$169)-MIN(E$2:E$169))</f>
        <v>6.5217391304347824E-2</v>
      </c>
      <c r="I65" s="9">
        <f>F65+G65+H65</f>
        <v>0.34224441833137487</v>
      </c>
    </row>
    <row r="66" spans="1:9" x14ac:dyDescent="0.25">
      <c r="A66">
        <v>122</v>
      </c>
      <c r="B66" t="str">
        <f>INDEX(Metodo_limpo!A:A, MATCH(A66, Metodo_limpo!D:D, 0))</f>
        <v>getBottomMostPos()</v>
      </c>
      <c r="C66">
        <f>SUMIFS(Metodo_limpo!C:C, Metodo_limpo!D:D, A66, Metodo_limpo!B:B, "CC")</f>
        <v>3</v>
      </c>
      <c r="D66">
        <f>SUMIFS(Metodo_limpo!C:C, Metodo_limpo!D:D, A66, Metodo_limpo!B:B, "NOPM")</f>
        <v>0</v>
      </c>
      <c r="E66">
        <f>SUMIFS(Metodo_limpo!C:C, Metodo_limpo!D:D, A66, Metodo_limpo!B:B, "LOC")</f>
        <v>34</v>
      </c>
      <c r="F66">
        <f>(C66-MIN(C$2:C$169))/(MAX(C$2:C$169)-MIN(C$2:C$169))</f>
        <v>8.1081081081081086E-2</v>
      </c>
      <c r="G66">
        <f>(D66-MIN(D$2:D$169))/(MAX(D$2:D$169)-MIN(D$2:D$169))</f>
        <v>0</v>
      </c>
      <c r="H66">
        <f>(E66-MIN(E$2:E$169))/(MAX(E$2:E$169)-MIN(E$2:E$169))</f>
        <v>0.24637681159420291</v>
      </c>
      <c r="I66" s="9">
        <f>F66+G66+H66</f>
        <v>0.32745789267528402</v>
      </c>
    </row>
    <row r="67" spans="1:9" x14ac:dyDescent="0.25">
      <c r="A67">
        <v>61</v>
      </c>
      <c r="B67" t="str">
        <f>INDEX(Metodo_limpo!A:A, MATCH(A67, Metodo_limpo!D:D, 0))</f>
        <v>main(String[])</v>
      </c>
      <c r="C67">
        <f>SUMIFS(Metodo_limpo!C:C, Metodo_limpo!D:D, A67, Metodo_limpo!B:B, "CC")</f>
        <v>1</v>
      </c>
      <c r="D67">
        <f>SUMIFS(Metodo_limpo!C:C, Metodo_limpo!D:D, A67, Metodo_limpo!B:B, "NOPM")</f>
        <v>1</v>
      </c>
      <c r="E67">
        <f>SUMIFS(Metodo_limpo!C:C, Metodo_limpo!D:D, A67, Metodo_limpo!B:B, "LOC")</f>
        <v>4</v>
      </c>
      <c r="F67">
        <f>(C67-MIN(C$2:C$169))/(MAX(C$2:C$169)-MIN(C$2:C$169))</f>
        <v>2.7027027027027029E-2</v>
      </c>
      <c r="G67">
        <f>(D67-MIN(D$2:D$169))/(MAX(D$2:D$169)-MIN(D$2:D$169))</f>
        <v>0.25</v>
      </c>
      <c r="H67">
        <f>(E67-MIN(E$2:E$169))/(MAX(E$2:E$169)-MIN(E$2:E$169))</f>
        <v>2.8985507246376812E-2</v>
      </c>
      <c r="I67" s="9">
        <f>F67+G67+H67</f>
        <v>0.30601253427340386</v>
      </c>
    </row>
    <row r="68" spans="1:9" x14ac:dyDescent="0.25">
      <c r="A68">
        <v>151</v>
      </c>
      <c r="B68" t="str">
        <f>INDEX(Metodo_limpo!A:A, MATCH(A68, Metodo_limpo!D:D, 0))</f>
        <v>getSession(String)</v>
      </c>
      <c r="C68">
        <f>SUMIFS(Metodo_limpo!C:C, Metodo_limpo!D:D, A68, Metodo_limpo!B:B, "CC")</f>
        <v>1</v>
      </c>
      <c r="D68">
        <f>SUMIFS(Metodo_limpo!C:C, Metodo_limpo!D:D, A68, Metodo_limpo!B:B, "NOPM")</f>
        <v>1</v>
      </c>
      <c r="E68">
        <f>SUMIFS(Metodo_limpo!C:C, Metodo_limpo!D:D, A68, Metodo_limpo!B:B, "LOC")</f>
        <v>4</v>
      </c>
      <c r="F68">
        <f>(C68-MIN(C$2:C$169))/(MAX(C$2:C$169)-MIN(C$2:C$169))</f>
        <v>2.7027027027027029E-2</v>
      </c>
      <c r="G68">
        <f>(D68-MIN(D$2:D$169))/(MAX(D$2:D$169)-MIN(D$2:D$169))</f>
        <v>0.25</v>
      </c>
      <c r="H68">
        <f>(E68-MIN(E$2:E$169))/(MAX(E$2:E$169)-MIN(E$2:E$169))</f>
        <v>2.8985507246376812E-2</v>
      </c>
      <c r="I68" s="9">
        <f>F68+G68+H68</f>
        <v>0.30601253427340386</v>
      </c>
    </row>
    <row r="69" spans="1:9" x14ac:dyDescent="0.25">
      <c r="A69">
        <v>152</v>
      </c>
      <c r="B69" t="str">
        <f>INDEX(Metodo_limpo!A:A, MATCH(A69, Metodo_limpo!D:D, 0))</f>
        <v>removeSession(String)</v>
      </c>
      <c r="C69">
        <f>SUMIFS(Metodo_limpo!C:C, Metodo_limpo!D:D, A69, Metodo_limpo!B:B, "CC")</f>
        <v>1</v>
      </c>
      <c r="D69">
        <f>SUMIFS(Metodo_limpo!C:C, Metodo_limpo!D:D, A69, Metodo_limpo!B:B, "NOPM")</f>
        <v>1</v>
      </c>
      <c r="E69">
        <f>SUMIFS(Metodo_limpo!C:C, Metodo_limpo!D:D, A69, Metodo_limpo!B:B, "LOC")</f>
        <v>4</v>
      </c>
      <c r="F69">
        <f>(C69-MIN(C$2:C$169))/(MAX(C$2:C$169)-MIN(C$2:C$169))</f>
        <v>2.7027027027027029E-2</v>
      </c>
      <c r="G69">
        <f>(D69-MIN(D$2:D$169))/(MAX(D$2:D$169)-MIN(D$2:D$169))</f>
        <v>0.25</v>
      </c>
      <c r="H69">
        <f>(E69-MIN(E$2:E$169))/(MAX(E$2:E$169)-MIN(E$2:E$169))</f>
        <v>2.8985507246376812E-2</v>
      </c>
      <c r="I69" s="9">
        <f>F69+G69+H69</f>
        <v>0.30601253427340386</v>
      </c>
    </row>
    <row r="70" spans="1:9" x14ac:dyDescent="0.25">
      <c r="A70">
        <v>14</v>
      </c>
      <c r="B70" t="str">
        <f>INDEX(Metodo_limpo!A:A, MATCH(A70, Metodo_limpo!D:D, 0))</f>
        <v>createRandom()</v>
      </c>
      <c r="C70">
        <f>SUMIFS(Metodo_limpo!C:C, Metodo_limpo!D:D, A70, Metodo_limpo!B:B, "CC")</f>
        <v>4</v>
      </c>
      <c r="D70">
        <f>SUMIFS(Metodo_limpo!C:C, Metodo_limpo!D:D, A70, Metodo_limpo!B:B, "NOPM")</f>
        <v>0</v>
      </c>
      <c r="E70">
        <f>SUMIFS(Metodo_limpo!C:C, Metodo_limpo!D:D, A70, Metodo_limpo!B:B, "LOC")</f>
        <v>27</v>
      </c>
      <c r="F70">
        <f>(C70-MIN(C$2:C$169))/(MAX(C$2:C$169)-MIN(C$2:C$169))</f>
        <v>0.10810810810810811</v>
      </c>
      <c r="G70">
        <f>(D70-MIN(D$2:D$169))/(MAX(D$2:D$169)-MIN(D$2:D$169))</f>
        <v>0</v>
      </c>
      <c r="H70">
        <f>(E70-MIN(E$2:E$169))/(MAX(E$2:E$169)-MIN(E$2:E$169))</f>
        <v>0.19565217391304349</v>
      </c>
      <c r="I70" s="9">
        <f>F70+G70+H70</f>
        <v>0.30376028202115157</v>
      </c>
    </row>
    <row r="71" spans="1:9" x14ac:dyDescent="0.25">
      <c r="A71">
        <v>116</v>
      </c>
      <c r="B71" t="str">
        <f>INDEX(Metodo_limpo!A:A, MATCH(A71, Metodo_limpo!D:D, 0))</f>
        <v>isInside()</v>
      </c>
      <c r="C71">
        <f>SUMIFS(Metodo_limpo!C:C, Metodo_limpo!D:D, A71, Metodo_limpo!B:B, "CC")</f>
        <v>4</v>
      </c>
      <c r="D71">
        <f>SUMIFS(Metodo_limpo!C:C, Metodo_limpo!D:D, A71, Metodo_limpo!B:B, "NOPM")</f>
        <v>0</v>
      </c>
      <c r="E71">
        <f>SUMIFS(Metodo_limpo!C:C, Metodo_limpo!D:D, A71, Metodo_limpo!B:B, "LOC")</f>
        <v>26</v>
      </c>
      <c r="F71">
        <f>(C71-MIN(C$2:C$169))/(MAX(C$2:C$169)-MIN(C$2:C$169))</f>
        <v>0.10810810810810811</v>
      </c>
      <c r="G71">
        <f>(D71-MIN(D$2:D$169))/(MAX(D$2:D$169)-MIN(D$2:D$169))</f>
        <v>0</v>
      </c>
      <c r="H71">
        <f>(E71-MIN(E$2:E$169))/(MAX(E$2:E$169)-MIN(E$2:E$169))</f>
        <v>0.18840579710144928</v>
      </c>
      <c r="I71" s="9">
        <f>F71+G71+H71</f>
        <v>0.29651390520955739</v>
      </c>
    </row>
    <row r="72" spans="1:9" x14ac:dyDescent="0.25">
      <c r="A72">
        <v>112</v>
      </c>
      <c r="B72" t="str">
        <f>INDEX(Metodo_limpo!A:A, MATCH(A72, Metodo_limpo!D:D, 0))</f>
        <v>adjacentPositions()</v>
      </c>
      <c r="C72">
        <f>SUMIFS(Metodo_limpo!C:C, Metodo_limpo!D:D, A72, Metodo_limpo!B:B, "CC")</f>
        <v>3</v>
      </c>
      <c r="D72">
        <f>SUMIFS(Metodo_limpo!C:C, Metodo_limpo!D:D, A72, Metodo_limpo!B:B, "NOPM")</f>
        <v>0</v>
      </c>
      <c r="E72">
        <f>SUMIFS(Metodo_limpo!C:C, Metodo_limpo!D:D, A72, Metodo_limpo!B:B, "LOC")</f>
        <v>29</v>
      </c>
      <c r="F72">
        <f>(C72-MIN(C$2:C$169))/(MAX(C$2:C$169)-MIN(C$2:C$169))</f>
        <v>8.1081081081081086E-2</v>
      </c>
      <c r="G72">
        <f>(D72-MIN(D$2:D$169))/(MAX(D$2:D$169)-MIN(D$2:D$169))</f>
        <v>0</v>
      </c>
      <c r="H72">
        <f>(E72-MIN(E$2:E$169))/(MAX(E$2:E$169)-MIN(E$2:E$169))</f>
        <v>0.21014492753623187</v>
      </c>
      <c r="I72" s="9">
        <f>F72+G72+H72</f>
        <v>0.29122600861731296</v>
      </c>
    </row>
    <row r="73" spans="1:9" x14ac:dyDescent="0.25">
      <c r="A73">
        <v>168</v>
      </c>
      <c r="B73" t="str">
        <f>INDEX(Metodo_limpo!A:A, MATCH(A73, Metodo_limpo!D:D, 0))</f>
        <v>ErrorResponse(String)</v>
      </c>
      <c r="C73">
        <f>SUMIFS(Metodo_limpo!C:C, Metodo_limpo!D:D, A73, Metodo_limpo!B:B, "CC")</f>
        <v>1</v>
      </c>
      <c r="D73">
        <f>SUMIFS(Metodo_limpo!C:C, Metodo_limpo!D:D, A73, Metodo_limpo!B:B, "NOPM")</f>
        <v>1</v>
      </c>
      <c r="E73">
        <f>SUMIFS(Metodo_limpo!C:C, Metodo_limpo!D:D, A73, Metodo_limpo!B:B, "LOC")</f>
        <v>1</v>
      </c>
      <c r="F73">
        <f>(C73-MIN(C$2:C$169))/(MAX(C$2:C$169)-MIN(C$2:C$169))</f>
        <v>2.7027027027027029E-2</v>
      </c>
      <c r="G73">
        <f>(D73-MIN(D$2:D$169))/(MAX(D$2:D$169)-MIN(D$2:D$169))</f>
        <v>0.25</v>
      </c>
      <c r="H73">
        <f>(E73-MIN(E$2:E$169))/(MAX(E$2:E$169)-MIN(E$2:E$169))</f>
        <v>7.246376811594203E-3</v>
      </c>
      <c r="I73" s="9">
        <f>F73+G73+H73</f>
        <v>0.28427340383862121</v>
      </c>
    </row>
    <row r="74" spans="1:9" x14ac:dyDescent="0.25">
      <c r="A74">
        <v>124</v>
      </c>
      <c r="B74" t="str">
        <f>INDEX(Metodo_limpo!A:A, MATCH(A74, Metodo_limpo!D:D, 0))</f>
        <v>getRightMostPos()</v>
      </c>
      <c r="C74">
        <f>SUMIFS(Metodo_limpo!C:C, Metodo_limpo!D:D, A74, Metodo_limpo!B:B, "CC")</f>
        <v>3</v>
      </c>
      <c r="D74">
        <f>SUMIFS(Metodo_limpo!C:C, Metodo_limpo!D:D, A74, Metodo_limpo!B:B, "NOPM")</f>
        <v>0</v>
      </c>
      <c r="E74">
        <f>SUMIFS(Metodo_limpo!C:C, Metodo_limpo!D:D, A74, Metodo_limpo!B:B, "LOC")</f>
        <v>28</v>
      </c>
      <c r="F74">
        <f>(C74-MIN(C$2:C$169))/(MAX(C$2:C$169)-MIN(C$2:C$169))</f>
        <v>8.1081081081081086E-2</v>
      </c>
      <c r="G74">
        <f>(D74-MIN(D$2:D$169))/(MAX(D$2:D$169)-MIN(D$2:D$169))</f>
        <v>0</v>
      </c>
      <c r="H74">
        <f>(E74-MIN(E$2:E$169))/(MAX(E$2:E$169)-MIN(E$2:E$169))</f>
        <v>0.20289855072463769</v>
      </c>
      <c r="I74" s="9">
        <f>F74+G74+H74</f>
        <v>0.28397963180571878</v>
      </c>
    </row>
    <row r="75" spans="1:9" x14ac:dyDescent="0.25">
      <c r="A75">
        <v>58</v>
      </c>
      <c r="B75" t="str">
        <f>INDEX(Metodo_limpo!A:A, MATCH(A75, Metodo_limpo!D:D, 0))</f>
        <v>checkwin()</v>
      </c>
      <c r="C75">
        <f>SUMIFS(Metodo_limpo!C:C, Metodo_limpo!D:D, A75, Metodo_limpo!B:B, "CC")</f>
        <v>5</v>
      </c>
      <c r="D75">
        <f>SUMIFS(Metodo_limpo!C:C, Metodo_limpo!D:D, A75, Metodo_limpo!B:B, "NOPM")</f>
        <v>0</v>
      </c>
      <c r="E75">
        <f>SUMIFS(Metodo_limpo!C:C, Metodo_limpo!D:D, A75, Metodo_limpo!B:B, "LOC")</f>
        <v>20</v>
      </c>
      <c r="F75">
        <f>(C75-MIN(C$2:C$169))/(MAX(C$2:C$169)-MIN(C$2:C$169))</f>
        <v>0.13513513513513514</v>
      </c>
      <c r="G75">
        <f>(D75-MIN(D$2:D$169))/(MAX(D$2:D$169)-MIN(D$2:D$169))</f>
        <v>0</v>
      </c>
      <c r="H75">
        <f>(E75-MIN(E$2:E$169))/(MAX(E$2:E$169)-MIN(E$2:E$169))</f>
        <v>0.14492753623188406</v>
      </c>
      <c r="I75" s="9">
        <f>F75+G75+H75</f>
        <v>0.28006267136701923</v>
      </c>
    </row>
    <row r="76" spans="1:9" x14ac:dyDescent="0.25">
      <c r="A76">
        <v>9</v>
      </c>
      <c r="B76" t="str">
        <f>INDEX(Metodo_limpo!A:A, MATCH(A76, Metodo_limpo!D:D, 0))</f>
        <v>valueOf(String)</v>
      </c>
      <c r="C76">
        <f>SUMIFS(Metodo_limpo!C:C, Metodo_limpo!D:D, A76, Metodo_limpo!B:B, "CC")</f>
        <v>1</v>
      </c>
      <c r="D76">
        <f>SUMIFS(Metodo_limpo!C:C, Metodo_limpo!D:D, A76, Metodo_limpo!B:B, "NOPM")</f>
        <v>1</v>
      </c>
      <c r="E76">
        <f>SUMIFS(Metodo_limpo!C:C, Metodo_limpo!D:D, A76, Metodo_limpo!B:B, "LOC")</f>
        <v>0</v>
      </c>
      <c r="F76">
        <f>(C76-MIN(C$2:C$169))/(MAX(C$2:C$169)-MIN(C$2:C$169))</f>
        <v>2.7027027027027029E-2</v>
      </c>
      <c r="G76">
        <f>(D76-MIN(D$2:D$169))/(MAX(D$2:D$169)-MIN(D$2:D$169))</f>
        <v>0.25</v>
      </c>
      <c r="H76">
        <f>(E76-MIN(E$2:E$169))/(MAX(E$2:E$169)-MIN(E$2:E$169))</f>
        <v>0</v>
      </c>
      <c r="I76" s="9">
        <f>F76+G76+H76</f>
        <v>0.27702702702702703</v>
      </c>
    </row>
    <row r="77" spans="1:9" x14ac:dyDescent="0.25">
      <c r="A77">
        <v>76</v>
      </c>
      <c r="B77" t="str">
        <f>INDEX(Metodo_limpo!A:A, MATCH(A77, Metodo_limpo!D:D, 0))</f>
        <v>processEnemyFire(boolean)</v>
      </c>
      <c r="C77">
        <f>SUMIFS(Metodo_limpo!C:C, Metodo_limpo!D:D, A77, Metodo_limpo!B:B, "CC")</f>
        <v>1</v>
      </c>
      <c r="D77">
        <f>SUMIFS(Metodo_limpo!C:C, Metodo_limpo!D:D, A77, Metodo_limpo!B:B, "NOPM")</f>
        <v>1</v>
      </c>
      <c r="E77">
        <f>SUMIFS(Metodo_limpo!C:C, Metodo_limpo!D:D, A77, Metodo_limpo!B:B, "LOC")</f>
        <v>0</v>
      </c>
      <c r="F77">
        <f>(C77-MIN(C$2:C$169))/(MAX(C$2:C$169)-MIN(C$2:C$169))</f>
        <v>2.7027027027027029E-2</v>
      </c>
      <c r="G77">
        <f>(D77-MIN(D$2:D$169))/(MAX(D$2:D$169)-MIN(D$2:D$169))</f>
        <v>0.25</v>
      </c>
      <c r="H77">
        <f>(E77-MIN(E$2:E$169))/(MAX(E$2:E$169)-MIN(E$2:E$169))</f>
        <v>0</v>
      </c>
      <c r="I77" s="9">
        <f>F77+G77+H77</f>
        <v>0.27702702702702703</v>
      </c>
    </row>
    <row r="78" spans="1:9" x14ac:dyDescent="0.25">
      <c r="A78">
        <v>79</v>
      </c>
      <c r="B78" t="str">
        <f>INDEX(Metodo_limpo!A:A, MATCH(A78, Metodo_limpo!D:D, 0))</f>
        <v>equals(Object)</v>
      </c>
      <c r="C78">
        <f>SUMIFS(Metodo_limpo!C:C, Metodo_limpo!D:D, A78, Metodo_limpo!B:B, "CC")</f>
        <v>1</v>
      </c>
      <c r="D78">
        <f>SUMIFS(Metodo_limpo!C:C, Metodo_limpo!D:D, A78, Metodo_limpo!B:B, "NOPM")</f>
        <v>1</v>
      </c>
      <c r="E78">
        <f>SUMIFS(Metodo_limpo!C:C, Metodo_limpo!D:D, A78, Metodo_limpo!B:B, "LOC")</f>
        <v>0</v>
      </c>
      <c r="F78">
        <f>(C78-MIN(C$2:C$169))/(MAX(C$2:C$169)-MIN(C$2:C$169))</f>
        <v>2.7027027027027029E-2</v>
      </c>
      <c r="G78">
        <f>(D78-MIN(D$2:D$169))/(MAX(D$2:D$169)-MIN(D$2:D$169))</f>
        <v>0.25</v>
      </c>
      <c r="H78">
        <f>(E78-MIN(E$2:E$169))/(MAX(E$2:E$169)-MIN(E$2:E$169))</f>
        <v>0</v>
      </c>
      <c r="I78" s="9">
        <f>F78+G78+H78</f>
        <v>0.27702702702702703</v>
      </c>
    </row>
    <row r="79" spans="1:9" x14ac:dyDescent="0.25">
      <c r="A79">
        <v>84</v>
      </c>
      <c r="B79" t="str">
        <f>INDEX(Metodo_limpo!A:A, MATCH(A79, Metodo_limpo!D:D, 0))</f>
        <v>isAdjacentTo(IPosition)</v>
      </c>
      <c r="C79">
        <f>SUMIFS(Metodo_limpo!C:C, Metodo_limpo!D:D, A79, Metodo_limpo!B:B, "CC")</f>
        <v>1</v>
      </c>
      <c r="D79">
        <f>SUMIFS(Metodo_limpo!C:C, Metodo_limpo!D:D, A79, Metodo_limpo!B:B, "NOPM")</f>
        <v>1</v>
      </c>
      <c r="E79">
        <f>SUMIFS(Metodo_limpo!C:C, Metodo_limpo!D:D, A79, Metodo_limpo!B:B, "LOC")</f>
        <v>0</v>
      </c>
      <c r="F79">
        <f>(C79-MIN(C$2:C$169))/(MAX(C$2:C$169)-MIN(C$2:C$169))</f>
        <v>2.7027027027027029E-2</v>
      </c>
      <c r="G79">
        <f>(D79-MIN(D$2:D$169))/(MAX(D$2:D$169)-MIN(D$2:D$169))</f>
        <v>0.25</v>
      </c>
      <c r="H79">
        <f>(E79-MIN(E$2:E$169))/(MAX(E$2:E$169)-MIN(E$2:E$169))</f>
        <v>0</v>
      </c>
      <c r="I79" s="9">
        <f>F79+G79+H79</f>
        <v>0.27702702702702703</v>
      </c>
    </row>
    <row r="80" spans="1:9" x14ac:dyDescent="0.25">
      <c r="A80">
        <v>101</v>
      </c>
      <c r="B80" t="str">
        <f>INDEX(Metodo_limpo!A:A, MATCH(A80, Metodo_limpo!D:D, 0))</f>
        <v>occupies(IPosition)</v>
      </c>
      <c r="C80">
        <f>SUMIFS(Metodo_limpo!C:C, Metodo_limpo!D:D, A80, Metodo_limpo!B:B, "CC")</f>
        <v>1</v>
      </c>
      <c r="D80">
        <f>SUMIFS(Metodo_limpo!C:C, Metodo_limpo!D:D, A80, Metodo_limpo!B:B, "NOPM")</f>
        <v>1</v>
      </c>
      <c r="E80">
        <f>SUMIFS(Metodo_limpo!C:C, Metodo_limpo!D:D, A80, Metodo_limpo!B:B, "LOC")</f>
        <v>0</v>
      </c>
      <c r="F80">
        <f>(C80-MIN(C$2:C$169))/(MAX(C$2:C$169)-MIN(C$2:C$169))</f>
        <v>2.7027027027027029E-2</v>
      </c>
      <c r="G80">
        <f>(D80-MIN(D$2:D$169))/(MAX(D$2:D$169)-MIN(D$2:D$169))</f>
        <v>0.25</v>
      </c>
      <c r="H80">
        <f>(E80-MIN(E$2:E$169))/(MAX(E$2:E$169)-MIN(E$2:E$169))</f>
        <v>0</v>
      </c>
      <c r="I80" s="9">
        <f>F80+G80+H80</f>
        <v>0.27702702702702703</v>
      </c>
    </row>
    <row r="81" spans="1:9" x14ac:dyDescent="0.25">
      <c r="A81">
        <v>102</v>
      </c>
      <c r="B81" t="str">
        <f>INDEX(Metodo_limpo!A:A, MATCH(A81, Metodo_limpo!D:D, 0))</f>
        <v>shoot(IPosition)</v>
      </c>
      <c r="C81">
        <f>SUMIFS(Metodo_limpo!C:C, Metodo_limpo!D:D, A81, Metodo_limpo!B:B, "CC")</f>
        <v>1</v>
      </c>
      <c r="D81">
        <f>SUMIFS(Metodo_limpo!C:C, Metodo_limpo!D:D, A81, Metodo_limpo!B:B, "NOPM")</f>
        <v>1</v>
      </c>
      <c r="E81">
        <f>SUMIFS(Metodo_limpo!C:C, Metodo_limpo!D:D, A81, Metodo_limpo!B:B, "LOC")</f>
        <v>0</v>
      </c>
      <c r="F81">
        <f>(C81-MIN(C$2:C$169))/(MAX(C$2:C$169)-MIN(C$2:C$169))</f>
        <v>2.7027027027027029E-2</v>
      </c>
      <c r="G81">
        <f>(D81-MIN(D$2:D$169))/(MAX(D$2:D$169)-MIN(D$2:D$169))</f>
        <v>0.25</v>
      </c>
      <c r="H81">
        <f>(E81-MIN(E$2:E$169))/(MAX(E$2:E$169)-MIN(E$2:E$169))</f>
        <v>0</v>
      </c>
      <c r="I81" s="9">
        <f>F81+G81+H81</f>
        <v>0.27702702702702703</v>
      </c>
    </row>
    <row r="82" spans="1:9" x14ac:dyDescent="0.25">
      <c r="A82">
        <v>105</v>
      </c>
      <c r="B82" t="str">
        <f>INDEX(Metodo_limpo!A:A, MATCH(A82, Metodo_limpo!D:D, 0))</f>
        <v>tooCloseTo(IPosition)</v>
      </c>
      <c r="C82">
        <f>SUMIFS(Metodo_limpo!C:C, Metodo_limpo!D:D, A82, Metodo_limpo!B:B, "CC")</f>
        <v>1</v>
      </c>
      <c r="D82">
        <f>SUMIFS(Metodo_limpo!C:C, Metodo_limpo!D:D, A82, Metodo_limpo!B:B, "NOPM")</f>
        <v>1</v>
      </c>
      <c r="E82">
        <f>SUMIFS(Metodo_limpo!C:C, Metodo_limpo!D:D, A82, Metodo_limpo!B:B, "LOC")</f>
        <v>0</v>
      </c>
      <c r="F82">
        <f>(C82-MIN(C$2:C$169))/(MAX(C$2:C$169)-MIN(C$2:C$169))</f>
        <v>2.7027027027027029E-2</v>
      </c>
      <c r="G82">
        <f>(D82-MIN(D$2:D$169))/(MAX(D$2:D$169)-MIN(D$2:D$169))</f>
        <v>0.25</v>
      </c>
      <c r="H82">
        <f>(E82-MIN(E$2:E$169))/(MAX(E$2:E$169)-MIN(E$2:E$169))</f>
        <v>0</v>
      </c>
      <c r="I82" s="9">
        <f>F82+G82+H82</f>
        <v>0.27702702702702703</v>
      </c>
    </row>
    <row r="83" spans="1:9" x14ac:dyDescent="0.25">
      <c r="A83">
        <v>106</v>
      </c>
      <c r="B83" t="str">
        <f>INDEX(Metodo_limpo!A:A, MATCH(A83, Metodo_limpo!D:D, 0))</f>
        <v>tooCloseTo(IShip)</v>
      </c>
      <c r="C83">
        <f>SUMIFS(Metodo_limpo!C:C, Metodo_limpo!D:D, A83, Metodo_limpo!B:B, "CC")</f>
        <v>1</v>
      </c>
      <c r="D83">
        <f>SUMIFS(Metodo_limpo!C:C, Metodo_limpo!D:D, A83, Metodo_limpo!B:B, "NOPM")</f>
        <v>1</v>
      </c>
      <c r="E83">
        <f>SUMIFS(Metodo_limpo!C:C, Metodo_limpo!D:D, A83, Metodo_limpo!B:B, "LOC")</f>
        <v>0</v>
      </c>
      <c r="F83">
        <f>(C83-MIN(C$2:C$169))/(MAX(C$2:C$169)-MIN(C$2:C$169))</f>
        <v>2.7027027027027029E-2</v>
      </c>
      <c r="G83">
        <f>(D83-MIN(D$2:D$169))/(MAX(D$2:D$169)-MIN(D$2:D$169))</f>
        <v>0.25</v>
      </c>
      <c r="H83">
        <f>(E83-MIN(E$2:E$169))/(MAX(E$2:E$169)-MIN(E$2:E$169))</f>
        <v>0</v>
      </c>
      <c r="I83" s="9">
        <f>F83+G83+H83</f>
        <v>0.27702702702702703</v>
      </c>
    </row>
    <row r="84" spans="1:9" x14ac:dyDescent="0.25">
      <c r="A84">
        <v>128</v>
      </c>
      <c r="B84" t="str">
        <f>INDEX(Metodo_limpo!A:A, MATCH(A84, Metodo_limpo!D:D, 0))</f>
        <v>shoot(IPosition)</v>
      </c>
      <c r="C84">
        <f>SUMIFS(Metodo_limpo!C:C, Metodo_limpo!D:D, A84, Metodo_limpo!B:B, "CC")</f>
        <v>3</v>
      </c>
      <c r="D84">
        <f>SUMIFS(Metodo_limpo!C:C, Metodo_limpo!D:D, A84, Metodo_limpo!B:B, "NOPM")</f>
        <v>0</v>
      </c>
      <c r="E84">
        <f>SUMIFS(Metodo_limpo!C:C, Metodo_limpo!D:D, A84, Metodo_limpo!B:B, "LOC")</f>
        <v>21</v>
      </c>
      <c r="F84">
        <f>(C84-MIN(C$2:C$169))/(MAX(C$2:C$169)-MIN(C$2:C$169))</f>
        <v>8.1081081081081086E-2</v>
      </c>
      <c r="G84">
        <f>(D84-MIN(D$2:D$169))/(MAX(D$2:D$169)-MIN(D$2:D$169))</f>
        <v>0</v>
      </c>
      <c r="H84">
        <f>(E84-MIN(E$2:E$169))/(MAX(E$2:E$169)-MIN(E$2:E$169))</f>
        <v>0.15217391304347827</v>
      </c>
      <c r="I84" s="9">
        <f>F84+G84+H84</f>
        <v>0.23325499412455936</v>
      </c>
    </row>
    <row r="85" spans="1:9" x14ac:dyDescent="0.25">
      <c r="A85">
        <v>132</v>
      </c>
      <c r="B85" t="str">
        <f>INDEX(Metodo_limpo!A:A, MATCH(A85, Metodo_limpo!D:D, 0))</f>
        <v>tooCloseTo(IShip)</v>
      </c>
      <c r="C85">
        <f>SUMIFS(Metodo_limpo!C:C, Metodo_limpo!D:D, A85, Metodo_limpo!B:B, "CC")</f>
        <v>3</v>
      </c>
      <c r="D85">
        <f>SUMIFS(Metodo_limpo!C:C, Metodo_limpo!D:D, A85, Metodo_limpo!B:B, "NOPM")</f>
        <v>0</v>
      </c>
      <c r="E85">
        <f>SUMIFS(Metodo_limpo!C:C, Metodo_limpo!D:D, A85, Metodo_limpo!B:B, "LOC")</f>
        <v>21</v>
      </c>
      <c r="F85">
        <f>(C85-MIN(C$2:C$169))/(MAX(C$2:C$169)-MIN(C$2:C$169))</f>
        <v>8.1081081081081086E-2</v>
      </c>
      <c r="G85">
        <f>(D85-MIN(D$2:D$169))/(MAX(D$2:D$169)-MIN(D$2:D$169))</f>
        <v>0</v>
      </c>
      <c r="H85">
        <f>(E85-MIN(E$2:E$169))/(MAX(E$2:E$169)-MIN(E$2:E$169))</f>
        <v>0.15217391304347827</v>
      </c>
      <c r="I85" s="9">
        <f>F85+G85+H85</f>
        <v>0.23325499412455936</v>
      </c>
    </row>
    <row r="86" spans="1:9" x14ac:dyDescent="0.25">
      <c r="A86">
        <v>127</v>
      </c>
      <c r="B86" t="str">
        <f>INDEX(Metodo_limpo!A:A, MATCH(A86, Metodo_limpo!D:D, 0))</f>
        <v>occupies(IPosition)</v>
      </c>
      <c r="C86">
        <f>SUMIFS(Metodo_limpo!C:C, Metodo_limpo!D:D, A86, Metodo_limpo!B:B, "CC")</f>
        <v>3</v>
      </c>
      <c r="D86">
        <f>SUMIFS(Metodo_limpo!C:C, Metodo_limpo!D:D, A86, Metodo_limpo!B:B, "NOPM")</f>
        <v>0</v>
      </c>
      <c r="E86">
        <f>SUMIFS(Metodo_limpo!C:C, Metodo_limpo!D:D, A86, Metodo_limpo!B:B, "LOC")</f>
        <v>20</v>
      </c>
      <c r="F86">
        <f>(C86-MIN(C$2:C$169))/(MAX(C$2:C$169)-MIN(C$2:C$169))</f>
        <v>8.1081081081081086E-2</v>
      </c>
      <c r="G86">
        <f>(D86-MIN(D$2:D$169))/(MAX(D$2:D$169)-MIN(D$2:D$169))</f>
        <v>0</v>
      </c>
      <c r="H86">
        <f>(E86-MIN(E$2:E$169))/(MAX(E$2:E$169)-MIN(E$2:E$169))</f>
        <v>0.14492753623188406</v>
      </c>
      <c r="I86" s="9">
        <f>F86+G86+H86</f>
        <v>0.22600861731296515</v>
      </c>
    </row>
    <row r="87" spans="1:9" x14ac:dyDescent="0.25">
      <c r="A87">
        <v>131</v>
      </c>
      <c r="B87" t="str">
        <f>INDEX(Metodo_limpo!A:A, MATCH(A87, Metodo_limpo!D:D, 0))</f>
        <v>tooCloseTo(IPosition)</v>
      </c>
      <c r="C87">
        <f>SUMIFS(Metodo_limpo!C:C, Metodo_limpo!D:D, A87, Metodo_limpo!B:B, "CC")</f>
        <v>3</v>
      </c>
      <c r="D87">
        <f>SUMIFS(Metodo_limpo!C:C, Metodo_limpo!D:D, A87, Metodo_limpo!B:B, "NOPM")</f>
        <v>0</v>
      </c>
      <c r="E87">
        <f>SUMIFS(Metodo_limpo!C:C, Metodo_limpo!D:D, A87, Metodo_limpo!B:B, "LOC")</f>
        <v>20</v>
      </c>
      <c r="F87">
        <f>(C87-MIN(C$2:C$169))/(MAX(C$2:C$169)-MIN(C$2:C$169))</f>
        <v>8.1081081081081086E-2</v>
      </c>
      <c r="G87">
        <f>(D87-MIN(D$2:D$169))/(MAX(D$2:D$169)-MIN(D$2:D$169))</f>
        <v>0</v>
      </c>
      <c r="H87">
        <f>(E87-MIN(E$2:E$169))/(MAX(E$2:E$169)-MIN(E$2:E$169))</f>
        <v>0.14492753623188406</v>
      </c>
      <c r="I87" s="9">
        <f>F87+G87+H87</f>
        <v>0.22600861731296515</v>
      </c>
    </row>
    <row r="88" spans="1:9" x14ac:dyDescent="0.25">
      <c r="A88">
        <v>15</v>
      </c>
      <c r="B88" t="str">
        <f>INDEX(Metodo_limpo!A:A, MATCH(A88, Metodo_limpo!D:D, 0))</f>
        <v>getFloatingShips()</v>
      </c>
      <c r="C88">
        <f>SUMIFS(Metodo_limpo!C:C, Metodo_limpo!D:D, A88, Metodo_limpo!B:B, "CC")</f>
        <v>3</v>
      </c>
      <c r="D88">
        <f>SUMIFS(Metodo_limpo!C:C, Metodo_limpo!D:D, A88, Metodo_limpo!B:B, "NOPM")</f>
        <v>0</v>
      </c>
      <c r="E88">
        <f>SUMIFS(Metodo_limpo!C:C, Metodo_limpo!D:D, A88, Metodo_limpo!B:B, "LOC")</f>
        <v>19</v>
      </c>
      <c r="F88">
        <f>(C88-MIN(C$2:C$169))/(MAX(C$2:C$169)-MIN(C$2:C$169))</f>
        <v>8.1081081081081086E-2</v>
      </c>
      <c r="G88">
        <f>(D88-MIN(D$2:D$169))/(MAX(D$2:D$169)-MIN(D$2:D$169))</f>
        <v>0</v>
      </c>
      <c r="H88">
        <f>(E88-MIN(E$2:E$169))/(MAX(E$2:E$169)-MIN(E$2:E$169))</f>
        <v>0.13768115942028986</v>
      </c>
      <c r="I88" s="9">
        <f>F88+G88+H88</f>
        <v>0.21876224050137094</v>
      </c>
    </row>
    <row r="89" spans="1:9" x14ac:dyDescent="0.25">
      <c r="A89">
        <v>18</v>
      </c>
      <c r="B89" t="str">
        <f>INDEX(Metodo_limpo!A:A, MATCH(A89, Metodo_limpo!D:D, 0))</f>
        <v>getSunkShips()</v>
      </c>
      <c r="C89">
        <f>SUMIFS(Metodo_limpo!C:C, Metodo_limpo!D:D, A89, Metodo_limpo!B:B, "CC")</f>
        <v>3</v>
      </c>
      <c r="D89">
        <f>SUMIFS(Metodo_limpo!C:C, Metodo_limpo!D:D, A89, Metodo_limpo!B:B, "NOPM")</f>
        <v>0</v>
      </c>
      <c r="E89">
        <f>SUMIFS(Metodo_limpo!C:C, Metodo_limpo!D:D, A89, Metodo_limpo!B:B, "LOC")</f>
        <v>19</v>
      </c>
      <c r="F89">
        <f>(C89-MIN(C$2:C$169))/(MAX(C$2:C$169)-MIN(C$2:C$169))</f>
        <v>8.1081081081081086E-2</v>
      </c>
      <c r="G89">
        <f>(D89-MIN(D$2:D$169))/(MAX(D$2:D$169)-MIN(D$2:D$169))</f>
        <v>0</v>
      </c>
      <c r="H89">
        <f>(E89-MIN(E$2:E$169))/(MAX(E$2:E$169)-MIN(E$2:E$169))</f>
        <v>0.13768115942028986</v>
      </c>
      <c r="I89" s="9">
        <f>F89+G89+H89</f>
        <v>0.21876224050137094</v>
      </c>
    </row>
    <row r="90" spans="1:9" x14ac:dyDescent="0.25">
      <c r="A90">
        <v>130</v>
      </c>
      <c r="B90" t="str">
        <f>INDEX(Metodo_limpo!A:A, MATCH(A90, Metodo_limpo!D:D, 0))</f>
        <v>stillFloating()</v>
      </c>
      <c r="C90">
        <f>SUMIFS(Metodo_limpo!C:C, Metodo_limpo!D:D, A90, Metodo_limpo!B:B, "CC")</f>
        <v>3</v>
      </c>
      <c r="D90">
        <f>SUMIFS(Metodo_limpo!C:C, Metodo_limpo!D:D, A90, Metodo_limpo!B:B, "NOPM")</f>
        <v>0</v>
      </c>
      <c r="E90">
        <f>SUMIFS(Metodo_limpo!C:C, Metodo_limpo!D:D, A90, Metodo_limpo!B:B, "LOC")</f>
        <v>18</v>
      </c>
      <c r="F90">
        <f>(C90-MIN(C$2:C$169))/(MAX(C$2:C$169)-MIN(C$2:C$169))</f>
        <v>8.1081081081081086E-2</v>
      </c>
      <c r="G90">
        <f>(D90-MIN(D$2:D$169))/(MAX(D$2:D$169)-MIN(D$2:D$169))</f>
        <v>0</v>
      </c>
      <c r="H90">
        <f>(E90-MIN(E$2:E$169))/(MAX(E$2:E$169)-MIN(E$2:E$169))</f>
        <v>0.13043478260869565</v>
      </c>
      <c r="I90" s="9">
        <f>F90+G90+H90</f>
        <v>0.21151586368977673</v>
      </c>
    </row>
    <row r="91" spans="1:9" x14ac:dyDescent="0.25">
      <c r="A91">
        <v>117</v>
      </c>
      <c r="B91" t="str">
        <f>INDEX(Metodo_limpo!A:A, MATCH(A91, Metodo_limpo!D:D, 0))</f>
        <v>randomPosition()</v>
      </c>
      <c r="C91">
        <f>SUMIFS(Metodo_limpo!C:C, Metodo_limpo!D:D, A91, Metodo_limpo!B:B, "CC")</f>
        <v>1</v>
      </c>
      <c r="D91">
        <f>SUMIFS(Metodo_limpo!C:C, Metodo_limpo!D:D, A91, Metodo_limpo!B:B, "NOPM")</f>
        <v>0</v>
      </c>
      <c r="E91">
        <f>SUMIFS(Metodo_limpo!C:C, Metodo_limpo!D:D, A91, Metodo_limpo!B:B, "LOC")</f>
        <v>25</v>
      </c>
      <c r="F91">
        <f>(C91-MIN(C$2:C$169))/(MAX(C$2:C$169)-MIN(C$2:C$169))</f>
        <v>2.7027027027027029E-2</v>
      </c>
      <c r="G91">
        <f>(D91-MIN(D$2:D$169))/(MAX(D$2:D$169)-MIN(D$2:D$169))</f>
        <v>0</v>
      </c>
      <c r="H91">
        <f>(E91-MIN(E$2:E$169))/(MAX(E$2:E$169)-MIN(E$2:E$169))</f>
        <v>0.18115942028985507</v>
      </c>
      <c r="I91" s="9">
        <f>F91+G91+H91</f>
        <v>0.2081864473168821</v>
      </c>
    </row>
    <row r="92" spans="1:9" x14ac:dyDescent="0.25">
      <c r="A92">
        <v>54</v>
      </c>
      <c r="B92" t="str">
        <f>INDEX(Metodo_limpo!A:A, MATCH(A92, Metodo_limpo!D:D, 0))</f>
        <v>GameWindow()</v>
      </c>
      <c r="C92">
        <f>SUMIFS(Metodo_limpo!C:C, Metodo_limpo!D:D, A92, Metodo_limpo!B:B, "CC")</f>
        <v>1</v>
      </c>
      <c r="D92">
        <f>SUMIFS(Metodo_limpo!C:C, Metodo_limpo!D:D, A92, Metodo_limpo!B:B, "NOPM")</f>
        <v>0</v>
      </c>
      <c r="E92">
        <f>SUMIFS(Metodo_limpo!C:C, Metodo_limpo!D:D, A92, Metodo_limpo!B:B, "LOC")</f>
        <v>24</v>
      </c>
      <c r="F92">
        <f>(C92-MIN(C$2:C$169))/(MAX(C$2:C$169)-MIN(C$2:C$169))</f>
        <v>2.7027027027027029E-2</v>
      </c>
      <c r="G92">
        <f>(D92-MIN(D$2:D$169))/(MAX(D$2:D$169)-MIN(D$2:D$169))</f>
        <v>0</v>
      </c>
      <c r="H92">
        <f>(E92-MIN(E$2:E$169))/(MAX(E$2:E$169)-MIN(E$2:E$169))</f>
        <v>0.17391304347826086</v>
      </c>
      <c r="I92" s="9">
        <f>F92+G92+H92</f>
        <v>0.20094007050528789</v>
      </c>
    </row>
    <row r="93" spans="1:9" x14ac:dyDescent="0.25">
      <c r="A93">
        <v>115</v>
      </c>
      <c r="B93" t="str">
        <f>INDEX(Metodo_limpo!A:A, MATCH(A93, Metodo_limpo!D:D, 0))</f>
        <v>isAdjacentTo(IPosition)</v>
      </c>
      <c r="C93">
        <f>SUMIFS(Metodo_limpo!C:C, Metodo_limpo!D:D, A93, Metodo_limpo!B:B, "CC")</f>
        <v>2</v>
      </c>
      <c r="D93">
        <f>SUMIFS(Metodo_limpo!C:C, Metodo_limpo!D:D, A93, Metodo_limpo!B:B, "NOPM")</f>
        <v>0</v>
      </c>
      <c r="E93">
        <f>SUMIFS(Metodo_limpo!C:C, Metodo_limpo!D:D, A93, Metodo_limpo!B:B, "LOC")</f>
        <v>20</v>
      </c>
      <c r="F93">
        <f>(C93-MIN(C$2:C$169))/(MAX(C$2:C$169)-MIN(C$2:C$169))</f>
        <v>5.4054054054054057E-2</v>
      </c>
      <c r="G93">
        <f>(D93-MIN(D$2:D$169))/(MAX(D$2:D$169)-MIN(D$2:D$169))</f>
        <v>0</v>
      </c>
      <c r="H93">
        <f>(E93-MIN(E$2:E$169))/(MAX(E$2:E$169)-MIN(E$2:E$169))</f>
        <v>0.14492753623188406</v>
      </c>
      <c r="I93" s="9">
        <f>F93+G93+H93</f>
        <v>0.19898159028593812</v>
      </c>
    </row>
    <row r="94" spans="1:9" x14ac:dyDescent="0.25">
      <c r="A94">
        <v>62</v>
      </c>
      <c r="B94" t="str">
        <f>INDEX(Metodo_limpo!A:A, MATCH(A94, Metodo_limpo!D:D, 0))</f>
        <v>shotsResult()</v>
      </c>
      <c r="C94">
        <f>SUMIFS(Metodo_limpo!C:C, Metodo_limpo!D:D, A94, Metodo_limpo!B:B, "CC")</f>
        <v>3</v>
      </c>
      <c r="D94">
        <f>SUMIFS(Metodo_limpo!C:C, Metodo_limpo!D:D, A94, Metodo_limpo!B:B, "NOPM")</f>
        <v>0</v>
      </c>
      <c r="E94">
        <f>SUMIFS(Metodo_limpo!C:C, Metodo_limpo!D:D, A94, Metodo_limpo!B:B, "LOC")</f>
        <v>16</v>
      </c>
      <c r="F94">
        <f>(C94-MIN(C$2:C$169))/(MAX(C$2:C$169)-MIN(C$2:C$169))</f>
        <v>8.1081081081081086E-2</v>
      </c>
      <c r="G94">
        <f>(D94-MIN(D$2:D$169))/(MAX(D$2:D$169)-MIN(D$2:D$169))</f>
        <v>0</v>
      </c>
      <c r="H94">
        <f>(E94-MIN(E$2:E$169))/(MAX(E$2:E$169)-MIN(E$2:E$169))</f>
        <v>0.11594202898550725</v>
      </c>
      <c r="I94" s="9">
        <f>F94+G94+H94</f>
        <v>0.19702311006658835</v>
      </c>
    </row>
    <row r="95" spans="1:9" x14ac:dyDescent="0.25">
      <c r="A95">
        <v>129</v>
      </c>
      <c r="B95" t="str">
        <f>INDEX(Metodo_limpo!A:A, MATCH(A95, Metodo_limpo!D:D, 0))</f>
        <v>sink()</v>
      </c>
      <c r="C95">
        <f>SUMIFS(Metodo_limpo!C:C, Metodo_limpo!D:D, A95, Metodo_limpo!B:B, "CC")</f>
        <v>2</v>
      </c>
      <c r="D95">
        <f>SUMIFS(Metodo_limpo!C:C, Metodo_limpo!D:D, A95, Metodo_limpo!B:B, "NOPM")</f>
        <v>0</v>
      </c>
      <c r="E95">
        <f>SUMIFS(Metodo_limpo!C:C, Metodo_limpo!D:D, A95, Metodo_limpo!B:B, "LOC")</f>
        <v>13</v>
      </c>
      <c r="F95">
        <f>(C95-MIN(C$2:C$169))/(MAX(C$2:C$169)-MIN(C$2:C$169))</f>
        <v>5.4054054054054057E-2</v>
      </c>
      <c r="G95">
        <f>(D95-MIN(D$2:D$169))/(MAX(D$2:D$169)-MIN(D$2:D$169))</f>
        <v>0</v>
      </c>
      <c r="H95">
        <f>(E95-MIN(E$2:E$169))/(MAX(E$2:E$169)-MIN(E$2:E$169))</f>
        <v>9.420289855072464E-2</v>
      </c>
      <c r="I95" s="9">
        <f>F95+G95+H95</f>
        <v>0.1482569526047787</v>
      </c>
    </row>
    <row r="96" spans="1:9" x14ac:dyDescent="0.25">
      <c r="A96">
        <v>135</v>
      </c>
      <c r="B96" t="str">
        <f>INDEX(Metodo_limpo!A:A, MATCH(A96, Metodo_limpo!D:D, 0))</f>
        <v>menuHelp()</v>
      </c>
      <c r="C96">
        <f>SUMIFS(Metodo_limpo!C:C, Metodo_limpo!D:D, A96, Metodo_limpo!B:B, "CC")</f>
        <v>1</v>
      </c>
      <c r="D96">
        <f>SUMIFS(Metodo_limpo!C:C, Metodo_limpo!D:D, A96, Metodo_limpo!B:B, "NOPM")</f>
        <v>0</v>
      </c>
      <c r="E96">
        <f>SUMIFS(Metodo_limpo!C:C, Metodo_limpo!D:D, A96, Metodo_limpo!B:B, "LOC")</f>
        <v>16</v>
      </c>
      <c r="F96">
        <f>(C96-MIN(C$2:C$169))/(MAX(C$2:C$169)-MIN(C$2:C$169))</f>
        <v>2.7027027027027029E-2</v>
      </c>
      <c r="G96">
        <f>(D96-MIN(D$2:D$169))/(MAX(D$2:D$169)-MIN(D$2:D$169))</f>
        <v>0</v>
      </c>
      <c r="H96">
        <f>(E96-MIN(E$2:E$169))/(MAX(E$2:E$169)-MIN(E$2:E$169))</f>
        <v>0.11594202898550725</v>
      </c>
      <c r="I96" s="9">
        <f>F96+G96+H96</f>
        <v>0.14296905601253429</v>
      </c>
    </row>
    <row r="97" spans="1:9" x14ac:dyDescent="0.25">
      <c r="A97">
        <v>23</v>
      </c>
      <c r="B97" t="str">
        <f>INDEX(Metodo_limpo!A:A, MATCH(A97, Metodo_limpo!D:D, 0))</f>
        <v>printStatus()</v>
      </c>
      <c r="C97">
        <f>SUMIFS(Metodo_limpo!C:C, Metodo_limpo!D:D, A97, Metodo_limpo!B:B, "CC")</f>
        <v>1</v>
      </c>
      <c r="D97">
        <f>SUMIFS(Metodo_limpo!C:C, Metodo_limpo!D:D, A97, Metodo_limpo!B:B, "NOPM")</f>
        <v>0</v>
      </c>
      <c r="E97">
        <f>SUMIFS(Metodo_limpo!C:C, Metodo_limpo!D:D, A97, Metodo_limpo!B:B, "LOC")</f>
        <v>14</v>
      </c>
      <c r="F97">
        <f>(C97-MIN(C$2:C$169))/(MAX(C$2:C$169)-MIN(C$2:C$169))</f>
        <v>2.7027027027027029E-2</v>
      </c>
      <c r="G97">
        <f>(D97-MIN(D$2:D$169))/(MAX(D$2:D$169)-MIN(D$2:D$169))</f>
        <v>0</v>
      </c>
      <c r="H97">
        <f>(E97-MIN(E$2:E$169))/(MAX(E$2:E$169)-MIN(E$2:E$169))</f>
        <v>0.10144927536231885</v>
      </c>
      <c r="I97" s="9">
        <f>F97+G97+H97</f>
        <v>0.12847630238934588</v>
      </c>
    </row>
    <row r="98" spans="1:9" x14ac:dyDescent="0.25">
      <c r="A98">
        <v>56</v>
      </c>
      <c r="B98" t="str">
        <f>INDEX(Metodo_limpo!A:A, MATCH(A98, Metodo_limpo!D:D, 0))</f>
        <v>addComponentsTabuleiro()</v>
      </c>
      <c r="C98">
        <f>SUMIFS(Metodo_limpo!C:C, Metodo_limpo!D:D, A98, Metodo_limpo!B:B, "CC")</f>
        <v>2</v>
      </c>
      <c r="D98">
        <f>SUMIFS(Metodo_limpo!C:C, Metodo_limpo!D:D, A98, Metodo_limpo!B:B, "NOPM")</f>
        <v>0</v>
      </c>
      <c r="E98">
        <f>SUMIFS(Metodo_limpo!C:C, Metodo_limpo!D:D, A98, Metodo_limpo!B:B, "LOC")</f>
        <v>9</v>
      </c>
      <c r="F98">
        <f>(C98-MIN(C$2:C$169))/(MAX(C$2:C$169)-MIN(C$2:C$169))</f>
        <v>5.4054054054054057E-2</v>
      </c>
      <c r="G98">
        <f>(D98-MIN(D$2:D$169))/(MAX(D$2:D$169)-MIN(D$2:D$169))</f>
        <v>0</v>
      </c>
      <c r="H98">
        <f>(E98-MIN(E$2:E$169))/(MAX(E$2:E$169)-MIN(E$2:E$169))</f>
        <v>6.5217391304347824E-2</v>
      </c>
      <c r="I98" s="9">
        <f>F98+G98+H98</f>
        <v>0.11927144535840188</v>
      </c>
    </row>
    <row r="99" spans="1:9" x14ac:dyDescent="0.25">
      <c r="A99">
        <v>7</v>
      </c>
      <c r="B99" t="str">
        <f>INDEX(Metodo_limpo!A:A, MATCH(A99, Metodo_limpo!D:D, 0))</f>
        <v>randomBearing()</v>
      </c>
      <c r="C99">
        <f>SUMIFS(Metodo_limpo!C:C, Metodo_limpo!D:D, A99, Metodo_limpo!B:B, "CC")</f>
        <v>1</v>
      </c>
      <c r="D99">
        <f>SUMIFS(Metodo_limpo!C:C, Metodo_limpo!D:D, A99, Metodo_limpo!B:B, "NOPM")</f>
        <v>0</v>
      </c>
      <c r="E99">
        <f>SUMIFS(Metodo_limpo!C:C, Metodo_limpo!D:D, A99, Metodo_limpo!B:B, "LOC")</f>
        <v>10</v>
      </c>
      <c r="F99">
        <f>(C99-MIN(C$2:C$169))/(MAX(C$2:C$169)-MIN(C$2:C$169))</f>
        <v>2.7027027027027029E-2</v>
      </c>
      <c r="G99">
        <f>(D99-MIN(D$2:D$169))/(MAX(D$2:D$169)-MIN(D$2:D$169))</f>
        <v>0</v>
      </c>
      <c r="H99">
        <f>(E99-MIN(E$2:E$169))/(MAX(E$2:E$169)-MIN(E$2:E$169))</f>
        <v>7.2463768115942032E-2</v>
      </c>
      <c r="I99" s="9">
        <f>F99+G99+H99</f>
        <v>9.949079514296906E-2</v>
      </c>
    </row>
    <row r="100" spans="1:9" x14ac:dyDescent="0.25">
      <c r="A100">
        <v>8</v>
      </c>
      <c r="B100" t="str">
        <f>INDEX(Metodo_limpo!A:A, MATCH(A100, Metodo_limpo!D:D, 0))</f>
        <v>toString()</v>
      </c>
      <c r="C100">
        <f>SUMIFS(Metodo_limpo!C:C, Metodo_limpo!D:D, A100, Metodo_limpo!B:B, "CC")</f>
        <v>1</v>
      </c>
      <c r="D100">
        <f>SUMIFS(Metodo_limpo!C:C, Metodo_limpo!D:D, A100, Metodo_limpo!B:B, "NOPM")</f>
        <v>0</v>
      </c>
      <c r="E100">
        <f>SUMIFS(Metodo_limpo!C:C, Metodo_limpo!D:D, A100, Metodo_limpo!B:B, "LOC")</f>
        <v>10</v>
      </c>
      <c r="F100">
        <f>(C100-MIN(C$2:C$169))/(MAX(C$2:C$169)-MIN(C$2:C$169))</f>
        <v>2.7027027027027029E-2</v>
      </c>
      <c r="G100">
        <f>(D100-MIN(D$2:D$169))/(MAX(D$2:D$169)-MIN(D$2:D$169))</f>
        <v>0</v>
      </c>
      <c r="H100">
        <f>(E100-MIN(E$2:E$169))/(MAX(E$2:E$169)-MIN(E$2:E$169))</f>
        <v>7.2463768115942032E-2</v>
      </c>
      <c r="I100" s="9">
        <f>F100+G100+H100</f>
        <v>9.949079514296906E-2</v>
      </c>
    </row>
    <row r="101" spans="1:9" x14ac:dyDescent="0.25">
      <c r="A101">
        <v>16</v>
      </c>
      <c r="B101" t="str">
        <f>INDEX(Metodo_limpo!A:A, MATCH(A101, Metodo_limpo!D:D, 0))</f>
        <v>getShips()</v>
      </c>
      <c r="C101">
        <f>SUMIFS(Metodo_limpo!C:C, Metodo_limpo!D:D, A101, Metodo_limpo!B:B, "CC")</f>
        <v>1</v>
      </c>
      <c r="D101">
        <f>SUMIFS(Metodo_limpo!C:C, Metodo_limpo!D:D, A101, Metodo_limpo!B:B, "NOPM")</f>
        <v>0</v>
      </c>
      <c r="E101">
        <f>SUMIFS(Metodo_limpo!C:C, Metodo_limpo!D:D, A101, Metodo_limpo!B:B, "LOC")</f>
        <v>10</v>
      </c>
      <c r="F101">
        <f>(C101-MIN(C$2:C$169))/(MAX(C$2:C$169)-MIN(C$2:C$169))</f>
        <v>2.7027027027027029E-2</v>
      </c>
      <c r="G101">
        <f>(D101-MIN(D$2:D$169))/(MAX(D$2:D$169)-MIN(D$2:D$169))</f>
        <v>0</v>
      </c>
      <c r="H101">
        <f>(E101-MIN(E$2:E$169))/(MAX(E$2:E$169)-MIN(E$2:E$169))</f>
        <v>7.2463768115942032E-2</v>
      </c>
      <c r="I101" s="9">
        <f>F101+G101+H101</f>
        <v>9.949079514296906E-2</v>
      </c>
    </row>
    <row r="102" spans="1:9" x14ac:dyDescent="0.25">
      <c r="A102">
        <v>6</v>
      </c>
      <c r="B102" t="str">
        <f>INDEX(Metodo_limpo!A:A, MATCH(A102, Metodo_limpo!D:D, 0))</f>
        <v>getDirection()</v>
      </c>
      <c r="C102">
        <f>SUMIFS(Metodo_limpo!C:C, Metodo_limpo!D:D, A102, Metodo_limpo!B:B, "CC")</f>
        <v>1</v>
      </c>
      <c r="D102">
        <f>SUMIFS(Metodo_limpo!C:C, Metodo_limpo!D:D, A102, Metodo_limpo!B:B, "NOPM")</f>
        <v>0</v>
      </c>
      <c r="E102">
        <f>SUMIFS(Metodo_limpo!C:C, Metodo_limpo!D:D, A102, Metodo_limpo!B:B, "LOC")</f>
        <v>9</v>
      </c>
      <c r="F102">
        <f>(C102-MIN(C$2:C$169))/(MAX(C$2:C$169)-MIN(C$2:C$169))</f>
        <v>2.7027027027027029E-2</v>
      </c>
      <c r="G102">
        <f>(D102-MIN(D$2:D$169))/(MAX(D$2:D$169)-MIN(D$2:D$169))</f>
        <v>0</v>
      </c>
      <c r="H102">
        <f>(E102-MIN(E$2:E$169))/(MAX(E$2:E$169)-MIN(E$2:E$169))</f>
        <v>6.5217391304347824E-2</v>
      </c>
      <c r="I102" s="9">
        <f>F102+G102+H102</f>
        <v>9.2244418331374853E-2</v>
      </c>
    </row>
    <row r="103" spans="1:9" x14ac:dyDescent="0.25">
      <c r="A103">
        <v>114</v>
      </c>
      <c r="B103" t="str">
        <f>INDEX(Metodo_limpo!A:A, MATCH(A103, Metodo_limpo!D:D, 0))</f>
        <v>hashCode()</v>
      </c>
      <c r="C103">
        <f>SUMIFS(Metodo_limpo!C:C, Metodo_limpo!D:D, A103, Metodo_limpo!B:B, "CC")</f>
        <v>1</v>
      </c>
      <c r="D103">
        <f>SUMIFS(Metodo_limpo!C:C, Metodo_limpo!D:D, A103, Metodo_limpo!B:B, "NOPM")</f>
        <v>0</v>
      </c>
      <c r="E103">
        <f>SUMIFS(Metodo_limpo!C:C, Metodo_limpo!D:D, A103, Metodo_limpo!B:B, "LOC")</f>
        <v>9</v>
      </c>
      <c r="F103">
        <f>(C103-MIN(C$2:C$169))/(MAX(C$2:C$169)-MIN(C$2:C$169))</f>
        <v>2.7027027027027029E-2</v>
      </c>
      <c r="G103">
        <f>(D103-MIN(D$2:D$169))/(MAX(D$2:D$169)-MIN(D$2:D$169))</f>
        <v>0</v>
      </c>
      <c r="H103">
        <f>(E103-MIN(E$2:E$169))/(MAX(E$2:E$169)-MIN(E$2:E$169))</f>
        <v>6.5217391304347824E-2</v>
      </c>
      <c r="I103" s="9">
        <f>F103+G103+H103</f>
        <v>9.2244418331374853E-2</v>
      </c>
    </row>
    <row r="104" spans="1:9" x14ac:dyDescent="0.25">
      <c r="A104">
        <v>11</v>
      </c>
      <c r="B104" t="str">
        <f>INDEX(Metodo_limpo!A:A, MATCH(A104, Metodo_limpo!D:D, 0))</f>
        <v>Fleet()</v>
      </c>
      <c r="C104">
        <f>SUMIFS(Metodo_limpo!C:C, Metodo_limpo!D:D, A104, Metodo_limpo!B:B, "CC")</f>
        <v>1</v>
      </c>
      <c r="D104">
        <f>SUMIFS(Metodo_limpo!C:C, Metodo_limpo!D:D, A104, Metodo_limpo!B:B, "NOPM")</f>
        <v>0</v>
      </c>
      <c r="E104">
        <f>SUMIFS(Metodo_limpo!C:C, Metodo_limpo!D:D, A104, Metodo_limpo!B:B, "LOC")</f>
        <v>7</v>
      </c>
      <c r="F104">
        <f>(C104-MIN(C$2:C$169))/(MAX(C$2:C$169)-MIN(C$2:C$169))</f>
        <v>2.7027027027027029E-2</v>
      </c>
      <c r="G104">
        <f>(D104-MIN(D$2:D$169))/(MAX(D$2:D$169)-MIN(D$2:D$169))</f>
        <v>0</v>
      </c>
      <c r="H104">
        <f>(E104-MIN(E$2:E$169))/(MAX(E$2:E$169)-MIN(E$2:E$169))</f>
        <v>5.0724637681159424E-2</v>
      </c>
      <c r="I104" s="9">
        <f>F104+G104+H104</f>
        <v>7.7751664708186452E-2</v>
      </c>
    </row>
    <row r="105" spans="1:9" x14ac:dyDescent="0.25">
      <c r="A105">
        <v>19</v>
      </c>
      <c r="B105" t="str">
        <f>INDEX(Metodo_limpo!A:A, MATCH(A105, Metodo_limpo!D:D, 0))</f>
        <v>printAllShips()</v>
      </c>
      <c r="C105">
        <f>SUMIFS(Metodo_limpo!C:C, Metodo_limpo!D:D, A105, Metodo_limpo!B:B, "CC")</f>
        <v>1</v>
      </c>
      <c r="D105">
        <f>SUMIFS(Metodo_limpo!C:C, Metodo_limpo!D:D, A105, Metodo_limpo!B:B, "NOPM")</f>
        <v>0</v>
      </c>
      <c r="E105">
        <f>SUMIFS(Metodo_limpo!C:C, Metodo_limpo!D:D, A105, Metodo_limpo!B:B, "LOC")</f>
        <v>7</v>
      </c>
      <c r="F105">
        <f>(C105-MIN(C$2:C$169))/(MAX(C$2:C$169)-MIN(C$2:C$169))</f>
        <v>2.7027027027027029E-2</v>
      </c>
      <c r="G105">
        <f>(D105-MIN(D$2:D$169))/(MAX(D$2:D$169)-MIN(D$2:D$169))</f>
        <v>0</v>
      </c>
      <c r="H105">
        <f>(E105-MIN(E$2:E$169))/(MAX(E$2:E$169)-MIN(E$2:E$169))</f>
        <v>5.0724637681159424E-2</v>
      </c>
      <c r="I105" s="9">
        <f>F105+G105+H105</f>
        <v>7.7751664708186452E-2</v>
      </c>
    </row>
    <row r="106" spans="1:9" x14ac:dyDescent="0.25">
      <c r="A106">
        <v>20</v>
      </c>
      <c r="B106" t="str">
        <f>INDEX(Metodo_limpo!A:A, MATCH(A106, Metodo_limpo!D:D, 0))</f>
        <v>printFloatingShips()</v>
      </c>
      <c r="C106">
        <f>SUMIFS(Metodo_limpo!C:C, Metodo_limpo!D:D, A106, Metodo_limpo!B:B, "CC")</f>
        <v>1</v>
      </c>
      <c r="D106">
        <f>SUMIFS(Metodo_limpo!C:C, Metodo_limpo!D:D, A106, Metodo_limpo!B:B, "NOPM")</f>
        <v>0</v>
      </c>
      <c r="E106">
        <f>SUMIFS(Metodo_limpo!C:C, Metodo_limpo!D:D, A106, Metodo_limpo!B:B, "LOC")</f>
        <v>7</v>
      </c>
      <c r="F106">
        <f>(C106-MIN(C$2:C$169))/(MAX(C$2:C$169)-MIN(C$2:C$169))</f>
        <v>2.7027027027027029E-2</v>
      </c>
      <c r="G106">
        <f>(D106-MIN(D$2:D$169))/(MAX(D$2:D$169)-MIN(D$2:D$169))</f>
        <v>0</v>
      </c>
      <c r="H106">
        <f>(E106-MIN(E$2:E$169))/(MAX(E$2:E$169)-MIN(E$2:E$169))</f>
        <v>5.0724637681159424E-2</v>
      </c>
      <c r="I106" s="9">
        <f>F106+G106+H106</f>
        <v>7.7751664708186452E-2</v>
      </c>
    </row>
    <row r="107" spans="1:9" x14ac:dyDescent="0.25">
      <c r="A107">
        <v>40</v>
      </c>
      <c r="B107" t="str">
        <f>INDEX(Metodo_limpo!A:A, MATCH(A107, Metodo_limpo!D:D, 0))</f>
        <v>getRemainingShips()</v>
      </c>
      <c r="C107">
        <f>SUMIFS(Metodo_limpo!C:C, Metodo_limpo!D:D, A107, Metodo_limpo!B:B, "CC")</f>
        <v>1</v>
      </c>
      <c r="D107">
        <f>SUMIFS(Metodo_limpo!C:C, Metodo_limpo!D:D, A107, Metodo_limpo!B:B, "NOPM")</f>
        <v>0</v>
      </c>
      <c r="E107">
        <f>SUMIFS(Metodo_limpo!C:C, Metodo_limpo!D:D, A107, Metodo_limpo!B:B, "LOC")</f>
        <v>6</v>
      </c>
      <c r="F107">
        <f>(C107-MIN(C$2:C$169))/(MAX(C$2:C$169)-MIN(C$2:C$169))</f>
        <v>2.7027027027027029E-2</v>
      </c>
      <c r="G107">
        <f>(D107-MIN(D$2:D$169))/(MAX(D$2:D$169)-MIN(D$2:D$169))</f>
        <v>0</v>
      </c>
      <c r="H107">
        <f>(E107-MIN(E$2:E$169))/(MAX(E$2:E$169)-MIN(E$2:E$169))</f>
        <v>4.3478260869565216E-2</v>
      </c>
      <c r="I107" s="9">
        <f>F107+G107+H107</f>
        <v>7.0505287896592245E-2</v>
      </c>
    </row>
    <row r="108" spans="1:9" x14ac:dyDescent="0.25">
      <c r="A108">
        <v>44</v>
      </c>
      <c r="B108" t="str">
        <f>INDEX(Metodo_limpo!A:A, MATCH(A108, Metodo_limpo!D:D, 0))</f>
        <v>over()</v>
      </c>
      <c r="C108">
        <f>SUMIFS(Metodo_limpo!C:C, Metodo_limpo!D:D, A108, Metodo_limpo!B:B, "CC")</f>
        <v>1</v>
      </c>
      <c r="D108">
        <f>SUMIFS(Metodo_limpo!C:C, Metodo_limpo!D:D, A108, Metodo_limpo!B:B, "NOPM")</f>
        <v>0</v>
      </c>
      <c r="E108">
        <f>SUMIFS(Metodo_limpo!C:C, Metodo_limpo!D:D, A108, Metodo_limpo!B:B, "LOC")</f>
        <v>6</v>
      </c>
      <c r="F108">
        <f>(C108-MIN(C$2:C$169))/(MAX(C$2:C$169)-MIN(C$2:C$169))</f>
        <v>2.7027027027027029E-2</v>
      </c>
      <c r="G108">
        <f>(D108-MIN(D$2:D$169))/(MAX(D$2:D$169)-MIN(D$2:D$169))</f>
        <v>0</v>
      </c>
      <c r="H108">
        <f>(E108-MIN(E$2:E$169))/(MAX(E$2:E$169)-MIN(E$2:E$169))</f>
        <v>4.3478260869565216E-2</v>
      </c>
      <c r="I108" s="9">
        <f>F108+G108+H108</f>
        <v>7.0505287896592245E-2</v>
      </c>
    </row>
    <row r="109" spans="1:9" x14ac:dyDescent="0.25">
      <c r="A109">
        <v>142</v>
      </c>
      <c r="B109" t="str">
        <f>INDEX(Metodo_limpo!A:A, MATCH(A109, Metodo_limpo!D:D, 0))</f>
        <v>CallbackClient()</v>
      </c>
      <c r="C109">
        <f>SUMIFS(Metodo_limpo!C:C, Metodo_limpo!D:D, A109, Metodo_limpo!B:B, "CC")</f>
        <v>1</v>
      </c>
      <c r="D109">
        <f>SUMIFS(Metodo_limpo!C:C, Metodo_limpo!D:D, A109, Metodo_limpo!B:B, "NOPM")</f>
        <v>0</v>
      </c>
      <c r="E109">
        <f>SUMIFS(Metodo_limpo!C:C, Metodo_limpo!D:D, A109, Metodo_limpo!B:B, "LOC")</f>
        <v>6</v>
      </c>
      <c r="F109">
        <f>(C109-MIN(C$2:C$169))/(MAX(C$2:C$169)-MIN(C$2:C$169))</f>
        <v>2.7027027027027029E-2</v>
      </c>
      <c r="G109">
        <f>(D109-MIN(D$2:D$169))/(MAX(D$2:D$169)-MIN(D$2:D$169))</f>
        <v>0</v>
      </c>
      <c r="H109">
        <f>(E109-MIN(E$2:E$169))/(MAX(E$2:E$169)-MIN(E$2:E$169))</f>
        <v>4.3478260869565216E-2</v>
      </c>
      <c r="I109" s="9">
        <f>F109+G109+H109</f>
        <v>7.0505287896592245E-2</v>
      </c>
    </row>
    <row r="110" spans="1:9" x14ac:dyDescent="0.25">
      <c r="A110">
        <v>34</v>
      </c>
      <c r="B110" t="str">
        <f>INDEX(Metodo_limpo!A:A, MATCH(A110, Metodo_limpo!D:D, 0))</f>
        <v>getAlienFleet()</v>
      </c>
      <c r="C110">
        <f>SUMIFS(Metodo_limpo!C:C, Metodo_limpo!D:D, A110, Metodo_limpo!B:B, "CC")</f>
        <v>1</v>
      </c>
      <c r="D110">
        <f>SUMIFS(Metodo_limpo!C:C, Metodo_limpo!D:D, A110, Metodo_limpo!B:B, "NOPM")</f>
        <v>0</v>
      </c>
      <c r="E110">
        <f>SUMIFS(Metodo_limpo!C:C, Metodo_limpo!D:D, A110, Metodo_limpo!B:B, "LOC")</f>
        <v>5</v>
      </c>
      <c r="F110">
        <f>(C110-MIN(C$2:C$169))/(MAX(C$2:C$169)-MIN(C$2:C$169))</f>
        <v>2.7027027027027029E-2</v>
      </c>
      <c r="G110">
        <f>(D110-MIN(D$2:D$169))/(MAX(D$2:D$169)-MIN(D$2:D$169))</f>
        <v>0</v>
      </c>
      <c r="H110">
        <f>(E110-MIN(E$2:E$169))/(MAX(E$2:E$169)-MIN(E$2:E$169))</f>
        <v>3.6231884057971016E-2</v>
      </c>
      <c r="I110" s="9">
        <f>F110+G110+H110</f>
        <v>6.3258911084998037E-2</v>
      </c>
    </row>
    <row r="111" spans="1:9" x14ac:dyDescent="0.25">
      <c r="A111">
        <v>35</v>
      </c>
      <c r="B111" t="str">
        <f>INDEX(Metodo_limpo!A:A, MATCH(A111, Metodo_limpo!D:D, 0))</f>
        <v>getAlienMoves()</v>
      </c>
      <c r="C111">
        <f>SUMIFS(Metodo_limpo!C:C, Metodo_limpo!D:D, A111, Metodo_limpo!B:B, "CC")</f>
        <v>1</v>
      </c>
      <c r="D111">
        <f>SUMIFS(Metodo_limpo!C:C, Metodo_limpo!D:D, A111, Metodo_limpo!B:B, "NOPM")</f>
        <v>0</v>
      </c>
      <c r="E111">
        <f>SUMIFS(Metodo_limpo!C:C, Metodo_limpo!D:D, A111, Metodo_limpo!B:B, "LOC")</f>
        <v>5</v>
      </c>
      <c r="F111">
        <f>(C111-MIN(C$2:C$169))/(MAX(C$2:C$169)-MIN(C$2:C$169))</f>
        <v>2.7027027027027029E-2</v>
      </c>
      <c r="G111">
        <f>(D111-MIN(D$2:D$169))/(MAX(D$2:D$169)-MIN(D$2:D$169))</f>
        <v>0</v>
      </c>
      <c r="H111">
        <f>(E111-MIN(E$2:E$169))/(MAX(E$2:E$169)-MIN(E$2:E$169))</f>
        <v>3.6231884057971016E-2</v>
      </c>
      <c r="I111" s="9">
        <f>F111+G111+H111</f>
        <v>6.3258911084998037E-2</v>
      </c>
    </row>
    <row r="112" spans="1:9" x14ac:dyDescent="0.25">
      <c r="A112">
        <v>36</v>
      </c>
      <c r="B112" t="str">
        <f>INDEX(Metodo_limpo!A:A, MATCH(A112, Metodo_limpo!D:D, 0))</f>
        <v>getHits()</v>
      </c>
      <c r="C112">
        <f>SUMIFS(Metodo_limpo!C:C, Metodo_limpo!D:D, A112, Metodo_limpo!B:B, "CC")</f>
        <v>1</v>
      </c>
      <c r="D112">
        <f>SUMIFS(Metodo_limpo!C:C, Metodo_limpo!D:D, A112, Metodo_limpo!B:B, "NOPM")</f>
        <v>0</v>
      </c>
      <c r="E112">
        <f>SUMIFS(Metodo_limpo!C:C, Metodo_limpo!D:D, A112, Metodo_limpo!B:B, "LOC")</f>
        <v>5</v>
      </c>
      <c r="F112">
        <f>(C112-MIN(C$2:C$169))/(MAX(C$2:C$169)-MIN(C$2:C$169))</f>
        <v>2.7027027027027029E-2</v>
      </c>
      <c r="G112">
        <f>(D112-MIN(D$2:D$169))/(MAX(D$2:D$169)-MIN(D$2:D$169))</f>
        <v>0</v>
      </c>
      <c r="H112">
        <f>(E112-MIN(E$2:E$169))/(MAX(E$2:E$169)-MIN(E$2:E$169))</f>
        <v>3.6231884057971016E-2</v>
      </c>
      <c r="I112" s="9">
        <f>F112+G112+H112</f>
        <v>6.3258911084998037E-2</v>
      </c>
    </row>
    <row r="113" spans="1:9" x14ac:dyDescent="0.25">
      <c r="A113">
        <v>37</v>
      </c>
      <c r="B113" t="str">
        <f>INDEX(Metodo_limpo!A:A, MATCH(A113, Metodo_limpo!D:D, 0))</f>
        <v>getInvalidShots()</v>
      </c>
      <c r="C113">
        <f>SUMIFS(Metodo_limpo!C:C, Metodo_limpo!D:D, A113, Metodo_limpo!B:B, "CC")</f>
        <v>1</v>
      </c>
      <c r="D113">
        <f>SUMIFS(Metodo_limpo!C:C, Metodo_limpo!D:D, A113, Metodo_limpo!B:B, "NOPM")</f>
        <v>0</v>
      </c>
      <c r="E113">
        <f>SUMIFS(Metodo_limpo!C:C, Metodo_limpo!D:D, A113, Metodo_limpo!B:B, "LOC")</f>
        <v>5</v>
      </c>
      <c r="F113">
        <f>(C113-MIN(C$2:C$169))/(MAX(C$2:C$169)-MIN(C$2:C$169))</f>
        <v>2.7027027027027029E-2</v>
      </c>
      <c r="G113">
        <f>(D113-MIN(D$2:D$169))/(MAX(D$2:D$169)-MIN(D$2:D$169))</f>
        <v>0</v>
      </c>
      <c r="H113">
        <f>(E113-MIN(E$2:E$169))/(MAX(E$2:E$169)-MIN(E$2:E$169))</f>
        <v>3.6231884057971016E-2</v>
      </c>
      <c r="I113" s="9">
        <f>F113+G113+H113</f>
        <v>6.3258911084998037E-2</v>
      </c>
    </row>
    <row r="114" spans="1:9" x14ac:dyDescent="0.25">
      <c r="A114">
        <v>38</v>
      </c>
      <c r="B114" t="str">
        <f>INDEX(Metodo_limpo!A:A, MATCH(A114, Metodo_limpo!D:D, 0))</f>
        <v>getMyFleet()</v>
      </c>
      <c r="C114">
        <f>SUMIFS(Metodo_limpo!C:C, Metodo_limpo!D:D, A114, Metodo_limpo!B:B, "CC")</f>
        <v>1</v>
      </c>
      <c r="D114">
        <f>SUMIFS(Metodo_limpo!C:C, Metodo_limpo!D:D, A114, Metodo_limpo!B:B, "NOPM")</f>
        <v>0</v>
      </c>
      <c r="E114">
        <f>SUMIFS(Metodo_limpo!C:C, Metodo_limpo!D:D, A114, Metodo_limpo!B:B, "LOC")</f>
        <v>5</v>
      </c>
      <c r="F114">
        <f>(C114-MIN(C$2:C$169))/(MAX(C$2:C$169)-MIN(C$2:C$169))</f>
        <v>2.7027027027027029E-2</v>
      </c>
      <c r="G114">
        <f>(D114-MIN(D$2:D$169))/(MAX(D$2:D$169)-MIN(D$2:D$169))</f>
        <v>0</v>
      </c>
      <c r="H114">
        <f>(E114-MIN(E$2:E$169))/(MAX(E$2:E$169)-MIN(E$2:E$169))</f>
        <v>3.6231884057971016E-2</v>
      </c>
      <c r="I114" s="9">
        <f>F114+G114+H114</f>
        <v>6.3258911084998037E-2</v>
      </c>
    </row>
    <row r="115" spans="1:9" x14ac:dyDescent="0.25">
      <c r="A115">
        <v>39</v>
      </c>
      <c r="B115" t="str">
        <f>INDEX(Metodo_limpo!A:A, MATCH(A115, Metodo_limpo!D:D, 0))</f>
        <v>getMyMoves()</v>
      </c>
      <c r="C115">
        <f>SUMIFS(Metodo_limpo!C:C, Metodo_limpo!D:D, A115, Metodo_limpo!B:B, "CC")</f>
        <v>1</v>
      </c>
      <c r="D115">
        <f>SUMIFS(Metodo_limpo!C:C, Metodo_limpo!D:D, A115, Metodo_limpo!B:B, "NOPM")</f>
        <v>0</v>
      </c>
      <c r="E115">
        <f>SUMIFS(Metodo_limpo!C:C, Metodo_limpo!D:D, A115, Metodo_limpo!B:B, "LOC")</f>
        <v>5</v>
      </c>
      <c r="F115">
        <f>(C115-MIN(C$2:C$169))/(MAX(C$2:C$169)-MIN(C$2:C$169))</f>
        <v>2.7027027027027029E-2</v>
      </c>
      <c r="G115">
        <f>(D115-MIN(D$2:D$169))/(MAX(D$2:D$169)-MIN(D$2:D$169))</f>
        <v>0</v>
      </c>
      <c r="H115">
        <f>(E115-MIN(E$2:E$169))/(MAX(E$2:E$169)-MIN(E$2:E$169))</f>
        <v>3.6231884057971016E-2</v>
      </c>
      <c r="I115" s="9">
        <f>F115+G115+H115</f>
        <v>6.3258911084998037E-2</v>
      </c>
    </row>
    <row r="116" spans="1:9" x14ac:dyDescent="0.25">
      <c r="A116">
        <v>41</v>
      </c>
      <c r="B116" t="str">
        <f>INDEX(Metodo_limpo!A:A, MATCH(A116, Metodo_limpo!D:D, 0))</f>
        <v>getRepeatedShots()</v>
      </c>
      <c r="C116">
        <f>SUMIFS(Metodo_limpo!C:C, Metodo_limpo!D:D, A116, Metodo_limpo!B:B, "CC")</f>
        <v>1</v>
      </c>
      <c r="D116">
        <f>SUMIFS(Metodo_limpo!C:C, Metodo_limpo!D:D, A116, Metodo_limpo!B:B, "NOPM")</f>
        <v>0</v>
      </c>
      <c r="E116">
        <f>SUMIFS(Metodo_limpo!C:C, Metodo_limpo!D:D, A116, Metodo_limpo!B:B, "LOC")</f>
        <v>5</v>
      </c>
      <c r="F116">
        <f>(C116-MIN(C$2:C$169))/(MAX(C$2:C$169)-MIN(C$2:C$169))</f>
        <v>2.7027027027027029E-2</v>
      </c>
      <c r="G116">
        <f>(D116-MIN(D$2:D$169))/(MAX(D$2:D$169)-MIN(D$2:D$169))</f>
        <v>0</v>
      </c>
      <c r="H116">
        <f>(E116-MIN(E$2:E$169))/(MAX(E$2:E$169)-MIN(E$2:E$169))</f>
        <v>3.6231884057971016E-2</v>
      </c>
      <c r="I116" s="9">
        <f>F116+G116+H116</f>
        <v>6.3258911084998037E-2</v>
      </c>
    </row>
    <row r="117" spans="1:9" x14ac:dyDescent="0.25">
      <c r="A117">
        <v>42</v>
      </c>
      <c r="B117" t="str">
        <f>INDEX(Metodo_limpo!A:A, MATCH(A117, Metodo_limpo!D:D, 0))</f>
        <v>getSunkShips()</v>
      </c>
      <c r="C117">
        <f>SUMIFS(Metodo_limpo!C:C, Metodo_limpo!D:D, A117, Metodo_limpo!B:B, "CC")</f>
        <v>1</v>
      </c>
      <c r="D117">
        <f>SUMIFS(Metodo_limpo!C:C, Metodo_limpo!D:D, A117, Metodo_limpo!B:B, "NOPM")</f>
        <v>0</v>
      </c>
      <c r="E117">
        <f>SUMIFS(Metodo_limpo!C:C, Metodo_limpo!D:D, A117, Metodo_limpo!B:B, "LOC")</f>
        <v>5</v>
      </c>
      <c r="F117">
        <f>(C117-MIN(C$2:C$169))/(MAX(C$2:C$169)-MIN(C$2:C$169))</f>
        <v>2.7027027027027029E-2</v>
      </c>
      <c r="G117">
        <f>(D117-MIN(D$2:D$169))/(MAX(D$2:D$169)-MIN(D$2:D$169))</f>
        <v>0</v>
      </c>
      <c r="H117">
        <f>(E117-MIN(E$2:E$169))/(MAX(E$2:E$169)-MIN(E$2:E$169))</f>
        <v>3.6231884057971016E-2</v>
      </c>
      <c r="I117" s="9">
        <f>F117+G117+H117</f>
        <v>6.3258911084998037E-2</v>
      </c>
    </row>
    <row r="118" spans="1:9" x14ac:dyDescent="0.25">
      <c r="A118">
        <v>63</v>
      </c>
      <c r="B118" t="str">
        <f>INDEX(Metodo_limpo!A:A, MATCH(A118, Metodo_limpo!D:D, 0))</f>
        <v>start()</v>
      </c>
      <c r="C118">
        <f>SUMIFS(Metodo_limpo!C:C, Metodo_limpo!D:D, A118, Metodo_limpo!B:B, "CC")</f>
        <v>1</v>
      </c>
      <c r="D118">
        <f>SUMIFS(Metodo_limpo!C:C, Metodo_limpo!D:D, A118, Metodo_limpo!B:B, "NOPM")</f>
        <v>0</v>
      </c>
      <c r="E118">
        <f>SUMIFS(Metodo_limpo!C:C, Metodo_limpo!D:D, A118, Metodo_limpo!B:B, "LOC")</f>
        <v>4</v>
      </c>
      <c r="F118">
        <f>(C118-MIN(C$2:C$169))/(MAX(C$2:C$169)-MIN(C$2:C$169))</f>
        <v>2.7027027027027029E-2</v>
      </c>
      <c r="G118">
        <f>(D118-MIN(D$2:D$169))/(MAX(D$2:D$169)-MIN(D$2:D$169))</f>
        <v>0</v>
      </c>
      <c r="H118">
        <f>(E118-MIN(E$2:E$169))/(MAX(E$2:E$169)-MIN(E$2:E$169))</f>
        <v>2.8985507246376812E-2</v>
      </c>
      <c r="I118" s="9">
        <f>F118+G118+H118</f>
        <v>5.6012534273403844E-2</v>
      </c>
    </row>
    <row r="119" spans="1:9" x14ac:dyDescent="0.25">
      <c r="A119">
        <v>161</v>
      </c>
      <c r="B119" t="str">
        <f>INDEX(Metodo_limpo!A:A, MATCH(A119, Metodo_limpo!D:D, 0))</f>
        <v>markAiWins()</v>
      </c>
      <c r="C119">
        <f>SUMIFS(Metodo_limpo!C:C, Metodo_limpo!D:D, A119, Metodo_limpo!B:B, "CC")</f>
        <v>1</v>
      </c>
      <c r="D119">
        <f>SUMIFS(Metodo_limpo!C:C, Metodo_limpo!D:D, A119, Metodo_limpo!B:B, "NOPM")</f>
        <v>0</v>
      </c>
      <c r="E119">
        <f>SUMIFS(Metodo_limpo!C:C, Metodo_limpo!D:D, A119, Metodo_limpo!B:B, "LOC")</f>
        <v>4</v>
      </c>
      <c r="F119">
        <f>(C119-MIN(C$2:C$169))/(MAX(C$2:C$169)-MIN(C$2:C$169))</f>
        <v>2.7027027027027029E-2</v>
      </c>
      <c r="G119">
        <f>(D119-MIN(D$2:D$169))/(MAX(D$2:D$169)-MIN(D$2:D$169))</f>
        <v>0</v>
      </c>
      <c r="H119">
        <f>(E119-MIN(E$2:E$169))/(MAX(E$2:E$169)-MIN(E$2:E$169))</f>
        <v>2.8985507246376812E-2</v>
      </c>
      <c r="I119" s="9">
        <f>F119+G119+H119</f>
        <v>5.6012534273403844E-2</v>
      </c>
    </row>
    <row r="120" spans="1:9" x14ac:dyDescent="0.25">
      <c r="A120">
        <v>162</v>
      </c>
      <c r="B120" t="str">
        <f>INDEX(Metodo_limpo!A:A, MATCH(A120, Metodo_limpo!D:D, 0))</f>
        <v>markStudentWins()</v>
      </c>
      <c r="C120">
        <f>SUMIFS(Metodo_limpo!C:C, Metodo_limpo!D:D, A120, Metodo_limpo!B:B, "CC")</f>
        <v>1</v>
      </c>
      <c r="D120">
        <f>SUMIFS(Metodo_limpo!C:C, Metodo_limpo!D:D, A120, Metodo_limpo!B:B, "NOPM")</f>
        <v>0</v>
      </c>
      <c r="E120">
        <f>SUMIFS(Metodo_limpo!C:C, Metodo_limpo!D:D, A120, Metodo_limpo!B:B, "LOC")</f>
        <v>4</v>
      </c>
      <c r="F120">
        <f>(C120-MIN(C$2:C$169))/(MAX(C$2:C$169)-MIN(C$2:C$169))</f>
        <v>2.7027027027027029E-2</v>
      </c>
      <c r="G120">
        <f>(D120-MIN(D$2:D$169))/(MAX(D$2:D$169)-MIN(D$2:D$169))</f>
        <v>0</v>
      </c>
      <c r="H120">
        <f>(E120-MIN(E$2:E$169))/(MAX(E$2:E$169)-MIN(E$2:E$169))</f>
        <v>2.8985507246376812E-2</v>
      </c>
      <c r="I120" s="9">
        <f>F120+G120+H120</f>
        <v>5.6012534273403844E-2</v>
      </c>
    </row>
    <row r="121" spans="1:9" x14ac:dyDescent="0.25">
      <c r="A121">
        <v>59</v>
      </c>
      <c r="B121" t="str">
        <f>INDEX(Metodo_limpo!A:A, MATCH(A121, Metodo_limpo!D:D, 0))</f>
        <v>getFieldRajada()</v>
      </c>
      <c r="C121">
        <f>SUMIFS(Metodo_limpo!C:C, Metodo_limpo!D:D, A121, Metodo_limpo!B:B, "CC")</f>
        <v>1</v>
      </c>
      <c r="D121">
        <f>SUMIFS(Metodo_limpo!C:C, Metodo_limpo!D:D, A121, Metodo_limpo!B:B, "NOPM")</f>
        <v>0</v>
      </c>
      <c r="E121">
        <f>SUMIFS(Metodo_limpo!C:C, Metodo_limpo!D:D, A121, Metodo_limpo!B:B, "LOC")</f>
        <v>3</v>
      </c>
      <c r="F121">
        <f>(C121-MIN(C$2:C$169))/(MAX(C$2:C$169)-MIN(C$2:C$169))</f>
        <v>2.7027027027027029E-2</v>
      </c>
      <c r="G121">
        <f>(D121-MIN(D$2:D$169))/(MAX(D$2:D$169)-MIN(D$2:D$169))</f>
        <v>0</v>
      </c>
      <c r="H121">
        <f>(E121-MIN(E$2:E$169))/(MAX(E$2:E$169)-MIN(E$2:E$169))</f>
        <v>2.1739130434782608E-2</v>
      </c>
      <c r="I121" s="9">
        <f>F121+G121+H121</f>
        <v>4.8766157461809637E-2</v>
      </c>
    </row>
    <row r="122" spans="1:9" x14ac:dyDescent="0.25">
      <c r="A122">
        <v>60</v>
      </c>
      <c r="B122" t="str">
        <f>INDEX(Metodo_limpo!A:A, MATCH(A122, Metodo_limpo!D:D, 0))</f>
        <v>getRajada()</v>
      </c>
      <c r="C122">
        <f>SUMIFS(Metodo_limpo!C:C, Metodo_limpo!D:D, A122, Metodo_limpo!B:B, "CC")</f>
        <v>1</v>
      </c>
      <c r="D122">
        <f>SUMIFS(Metodo_limpo!C:C, Metodo_limpo!D:D, A122, Metodo_limpo!B:B, "NOPM")</f>
        <v>0</v>
      </c>
      <c r="E122">
        <f>SUMIFS(Metodo_limpo!C:C, Metodo_limpo!D:D, A122, Metodo_limpo!B:B, "LOC")</f>
        <v>3</v>
      </c>
      <c r="F122">
        <f>(C122-MIN(C$2:C$169))/(MAX(C$2:C$169)-MIN(C$2:C$169))</f>
        <v>2.7027027027027029E-2</v>
      </c>
      <c r="G122">
        <f>(D122-MIN(D$2:D$169))/(MAX(D$2:D$169)-MIN(D$2:D$169))</f>
        <v>0</v>
      </c>
      <c r="H122">
        <f>(E122-MIN(E$2:E$169))/(MAX(E$2:E$169)-MIN(E$2:E$169))</f>
        <v>2.1739130434782608E-2</v>
      </c>
      <c r="I122" s="9">
        <f>F122+G122+H122</f>
        <v>4.8766157461809637E-2</v>
      </c>
    </row>
    <row r="123" spans="1:9" x14ac:dyDescent="0.25">
      <c r="A123">
        <v>154</v>
      </c>
      <c r="B123" t="str">
        <f>INDEX(Metodo_limpo!A:A, MATCH(A123, Metodo_limpo!D:D, 0))</f>
        <v>getCallbackUrl()</v>
      </c>
      <c r="C123">
        <f>SUMIFS(Metodo_limpo!C:C, Metodo_limpo!D:D, A123, Metodo_limpo!B:B, "CC")</f>
        <v>1</v>
      </c>
      <c r="D123">
        <f>SUMIFS(Metodo_limpo!C:C, Metodo_limpo!D:D, A123, Metodo_limpo!B:B, "NOPM")</f>
        <v>0</v>
      </c>
      <c r="E123">
        <f>SUMIFS(Metodo_limpo!C:C, Metodo_limpo!D:D, A123, Metodo_limpo!B:B, "LOC")</f>
        <v>1</v>
      </c>
      <c r="F123">
        <f>(C123-MIN(C$2:C$169))/(MAX(C$2:C$169)-MIN(C$2:C$169))</f>
        <v>2.7027027027027029E-2</v>
      </c>
      <c r="G123">
        <f>(D123-MIN(D$2:D$169))/(MAX(D$2:D$169)-MIN(D$2:D$169))</f>
        <v>0</v>
      </c>
      <c r="H123">
        <f>(E123-MIN(E$2:E$169))/(MAX(E$2:E$169)-MIN(E$2:E$169))</f>
        <v>7.246376811594203E-3</v>
      </c>
      <c r="I123" s="9">
        <f>F123+G123+H123</f>
        <v>3.4273403838621229E-2</v>
      </c>
    </row>
    <row r="124" spans="1:9" x14ac:dyDescent="0.25">
      <c r="A124">
        <v>155</v>
      </c>
      <c r="B124" t="str">
        <f>INDEX(Metodo_limpo!A:A, MATCH(A124, Metodo_limpo!D:D, 0))</f>
        <v>getGame()</v>
      </c>
      <c r="C124">
        <f>SUMIFS(Metodo_limpo!C:C, Metodo_limpo!D:D, A124, Metodo_limpo!B:B, "CC")</f>
        <v>1</v>
      </c>
      <c r="D124">
        <f>SUMIFS(Metodo_limpo!C:C, Metodo_limpo!D:D, A124, Metodo_limpo!B:B, "NOPM")</f>
        <v>0</v>
      </c>
      <c r="E124">
        <f>SUMIFS(Metodo_limpo!C:C, Metodo_limpo!D:D, A124, Metodo_limpo!B:B, "LOC")</f>
        <v>1</v>
      </c>
      <c r="F124">
        <f>(C124-MIN(C$2:C$169))/(MAX(C$2:C$169)-MIN(C$2:C$169))</f>
        <v>2.7027027027027029E-2</v>
      </c>
      <c r="G124">
        <f>(D124-MIN(D$2:D$169))/(MAX(D$2:D$169)-MIN(D$2:D$169))</f>
        <v>0</v>
      </c>
      <c r="H124">
        <f>(E124-MIN(E$2:E$169))/(MAX(E$2:E$169)-MIN(E$2:E$169))</f>
        <v>7.246376811594203E-3</v>
      </c>
      <c r="I124" s="9">
        <f>F124+G124+H124</f>
        <v>3.4273403838621229E-2</v>
      </c>
    </row>
    <row r="125" spans="1:9" x14ac:dyDescent="0.25">
      <c r="A125">
        <v>156</v>
      </c>
      <c r="B125" t="str">
        <f>INDEX(Metodo_limpo!A:A, MATCH(A125, Metodo_limpo!D:D, 0))</f>
        <v>getGameId()</v>
      </c>
      <c r="C125">
        <f>SUMIFS(Metodo_limpo!C:C, Metodo_limpo!D:D, A125, Metodo_limpo!B:B, "CC")</f>
        <v>1</v>
      </c>
      <c r="D125">
        <f>SUMIFS(Metodo_limpo!C:C, Metodo_limpo!D:D, A125, Metodo_limpo!B:B, "NOPM")</f>
        <v>0</v>
      </c>
      <c r="E125">
        <f>SUMIFS(Metodo_limpo!C:C, Metodo_limpo!D:D, A125, Metodo_limpo!B:B, "LOC")</f>
        <v>1</v>
      </c>
      <c r="F125">
        <f>(C125-MIN(C$2:C$169))/(MAX(C$2:C$169)-MIN(C$2:C$169))</f>
        <v>2.7027027027027029E-2</v>
      </c>
      <c r="G125">
        <f>(D125-MIN(D$2:D$169))/(MAX(D$2:D$169)-MIN(D$2:D$169))</f>
        <v>0</v>
      </c>
      <c r="H125">
        <f>(E125-MIN(E$2:E$169))/(MAX(E$2:E$169)-MIN(E$2:E$169))</f>
        <v>7.246376811594203E-3</v>
      </c>
      <c r="I125" s="9">
        <f>F125+G125+H125</f>
        <v>3.4273403838621229E-2</v>
      </c>
    </row>
    <row r="126" spans="1:9" x14ac:dyDescent="0.25">
      <c r="A126">
        <v>157</v>
      </c>
      <c r="B126" t="str">
        <f>INDEX(Metodo_limpo!A:A, MATCH(A126, Metodo_limpo!D:D, 0))</f>
        <v>getPlayerName()</v>
      </c>
      <c r="C126">
        <f>SUMIFS(Metodo_limpo!C:C, Metodo_limpo!D:D, A126, Metodo_limpo!B:B, "CC")</f>
        <v>1</v>
      </c>
      <c r="D126">
        <f>SUMIFS(Metodo_limpo!C:C, Metodo_limpo!D:D, A126, Metodo_limpo!B:B, "NOPM")</f>
        <v>0</v>
      </c>
      <c r="E126">
        <f>SUMIFS(Metodo_limpo!C:C, Metodo_limpo!D:D, A126, Metodo_limpo!B:B, "LOC")</f>
        <v>1</v>
      </c>
      <c r="F126">
        <f>(C126-MIN(C$2:C$169))/(MAX(C$2:C$169)-MIN(C$2:C$169))</f>
        <v>2.7027027027027029E-2</v>
      </c>
      <c r="G126">
        <f>(D126-MIN(D$2:D$169))/(MAX(D$2:D$169)-MIN(D$2:D$169))</f>
        <v>0</v>
      </c>
      <c r="H126">
        <f>(E126-MIN(E$2:E$169))/(MAX(E$2:E$169)-MIN(E$2:E$169))</f>
        <v>7.246376811594203E-3</v>
      </c>
      <c r="I126" s="9">
        <f>F126+G126+H126</f>
        <v>3.4273403838621229E-2</v>
      </c>
    </row>
    <row r="127" spans="1:9" x14ac:dyDescent="0.25">
      <c r="A127">
        <v>158</v>
      </c>
      <c r="B127" t="str">
        <f>INDEX(Metodo_limpo!A:A, MATCH(A127, Metodo_limpo!D:D, 0))</f>
        <v>getShotsPerTurn()</v>
      </c>
      <c r="C127">
        <f>SUMIFS(Metodo_limpo!C:C, Metodo_limpo!D:D, A127, Metodo_limpo!B:B, "CC")</f>
        <v>1</v>
      </c>
      <c r="D127">
        <f>SUMIFS(Metodo_limpo!C:C, Metodo_limpo!D:D, A127, Metodo_limpo!B:B, "NOPM")</f>
        <v>0</v>
      </c>
      <c r="E127">
        <f>SUMIFS(Metodo_limpo!C:C, Metodo_limpo!D:D, A127, Metodo_limpo!B:B, "LOC")</f>
        <v>1</v>
      </c>
      <c r="F127">
        <f>(C127-MIN(C$2:C$169))/(MAX(C$2:C$169)-MIN(C$2:C$169))</f>
        <v>2.7027027027027029E-2</v>
      </c>
      <c r="G127">
        <f>(D127-MIN(D$2:D$169))/(MAX(D$2:D$169)-MIN(D$2:D$169))</f>
        <v>0</v>
      </c>
      <c r="H127">
        <f>(E127-MIN(E$2:E$169))/(MAX(E$2:E$169)-MIN(E$2:E$169))</f>
        <v>7.246376811594203E-3</v>
      </c>
      <c r="I127" s="9">
        <f>F127+G127+H127</f>
        <v>3.4273403838621229E-2</v>
      </c>
    </row>
    <row r="128" spans="1:9" x14ac:dyDescent="0.25">
      <c r="A128">
        <v>159</v>
      </c>
      <c r="B128" t="str">
        <f>INDEX(Metodo_limpo!A:A, MATCH(A128, Metodo_limpo!D:D, 0))</f>
        <v>getWinner()</v>
      </c>
      <c r="C128">
        <f>SUMIFS(Metodo_limpo!C:C, Metodo_limpo!D:D, A128, Metodo_limpo!B:B, "CC")</f>
        <v>1</v>
      </c>
      <c r="D128">
        <f>SUMIFS(Metodo_limpo!C:C, Metodo_limpo!D:D, A128, Metodo_limpo!B:B, "NOPM")</f>
        <v>0</v>
      </c>
      <c r="E128">
        <f>SUMIFS(Metodo_limpo!C:C, Metodo_limpo!D:D, A128, Metodo_limpo!B:B, "LOC")</f>
        <v>1</v>
      </c>
      <c r="F128">
        <f>(C128-MIN(C$2:C$169))/(MAX(C$2:C$169)-MIN(C$2:C$169))</f>
        <v>2.7027027027027029E-2</v>
      </c>
      <c r="G128">
        <f>(D128-MIN(D$2:D$169))/(MAX(D$2:D$169)-MIN(D$2:D$169))</f>
        <v>0</v>
      </c>
      <c r="H128">
        <f>(E128-MIN(E$2:E$169))/(MAX(E$2:E$169)-MIN(E$2:E$169))</f>
        <v>7.246376811594203E-3</v>
      </c>
      <c r="I128" s="9">
        <f>F128+G128+H128</f>
        <v>3.4273403838621229E-2</v>
      </c>
    </row>
    <row r="129" spans="1:9" x14ac:dyDescent="0.25">
      <c r="A129">
        <v>160</v>
      </c>
      <c r="B129" t="str">
        <f>INDEX(Metodo_limpo!A:A, MATCH(A129, Metodo_limpo!D:D, 0))</f>
        <v>isGameOver()</v>
      </c>
      <c r="C129">
        <f>SUMIFS(Metodo_limpo!C:C, Metodo_limpo!D:D, A129, Metodo_limpo!B:B, "CC")</f>
        <v>1</v>
      </c>
      <c r="D129">
        <f>SUMIFS(Metodo_limpo!C:C, Metodo_limpo!D:D, A129, Metodo_limpo!B:B, "NOPM")</f>
        <v>0</v>
      </c>
      <c r="E129">
        <f>SUMIFS(Metodo_limpo!C:C, Metodo_limpo!D:D, A129, Metodo_limpo!B:B, "LOC")</f>
        <v>1</v>
      </c>
      <c r="F129">
        <f>(C129-MIN(C$2:C$169))/(MAX(C$2:C$169)-MIN(C$2:C$169))</f>
        <v>2.7027027027027029E-2</v>
      </c>
      <c r="G129">
        <f>(D129-MIN(D$2:D$169))/(MAX(D$2:D$169)-MIN(D$2:D$169))</f>
        <v>0</v>
      </c>
      <c r="H129">
        <f>(E129-MIN(E$2:E$169))/(MAX(E$2:E$169)-MIN(E$2:E$169))</f>
        <v>7.246376811594203E-3</v>
      </c>
      <c r="I129" s="9">
        <f>F129+G129+H129</f>
        <v>3.4273403838621229E-2</v>
      </c>
    </row>
    <row r="130" spans="1:9" x14ac:dyDescent="0.25">
      <c r="A130">
        <v>164</v>
      </c>
      <c r="B130" t="str">
        <f>INDEX(Metodo_limpo!A:A, MATCH(A130, Metodo_limpo!D:D, 0))</f>
        <v>repeated()</v>
      </c>
      <c r="C130">
        <f>SUMIFS(Metodo_limpo!C:C, Metodo_limpo!D:D, A130, Metodo_limpo!B:B, "CC")</f>
        <v>1</v>
      </c>
      <c r="D130">
        <f>SUMIFS(Metodo_limpo!C:C, Metodo_limpo!D:D, A130, Metodo_limpo!B:B, "NOPM")</f>
        <v>0</v>
      </c>
      <c r="E130">
        <f>SUMIFS(Metodo_limpo!C:C, Metodo_limpo!D:D, A130, Metodo_limpo!B:B, "LOC")</f>
        <v>1</v>
      </c>
      <c r="F130">
        <f>(C130-MIN(C$2:C$169))/(MAX(C$2:C$169)-MIN(C$2:C$169))</f>
        <v>2.7027027027027029E-2</v>
      </c>
      <c r="G130">
        <f>(D130-MIN(D$2:D$169))/(MAX(D$2:D$169)-MIN(D$2:D$169))</f>
        <v>0</v>
      </c>
      <c r="H130">
        <f>(E130-MIN(E$2:E$169))/(MAX(E$2:E$169)-MIN(E$2:E$169))</f>
        <v>7.246376811594203E-3</v>
      </c>
      <c r="I130" s="9">
        <f>F130+G130+H130</f>
        <v>3.4273403838621229E-2</v>
      </c>
    </row>
    <row r="131" spans="1:9" x14ac:dyDescent="0.25">
      <c r="A131">
        <v>165</v>
      </c>
      <c r="B131" t="str">
        <f>INDEX(Metodo_limpo!A:A, MATCH(A131, Metodo_limpo!D:D, 0))</f>
        <v>ship()</v>
      </c>
      <c r="C131">
        <f>SUMIFS(Metodo_limpo!C:C, Metodo_limpo!D:D, A131, Metodo_limpo!B:B, "CC")</f>
        <v>1</v>
      </c>
      <c r="D131">
        <f>SUMIFS(Metodo_limpo!C:C, Metodo_limpo!D:D, A131, Metodo_limpo!B:B, "NOPM")</f>
        <v>0</v>
      </c>
      <c r="E131">
        <f>SUMIFS(Metodo_limpo!C:C, Metodo_limpo!D:D, A131, Metodo_limpo!B:B, "LOC")</f>
        <v>1</v>
      </c>
      <c r="F131">
        <f>(C131-MIN(C$2:C$169))/(MAX(C$2:C$169)-MIN(C$2:C$169))</f>
        <v>2.7027027027027029E-2</v>
      </c>
      <c r="G131">
        <f>(D131-MIN(D$2:D$169))/(MAX(D$2:D$169)-MIN(D$2:D$169))</f>
        <v>0</v>
      </c>
      <c r="H131">
        <f>(E131-MIN(E$2:E$169))/(MAX(E$2:E$169)-MIN(E$2:E$169))</f>
        <v>7.246376811594203E-3</v>
      </c>
      <c r="I131" s="9">
        <f>F131+G131+H131</f>
        <v>3.4273403838621229E-2</v>
      </c>
    </row>
    <row r="132" spans="1:9" x14ac:dyDescent="0.25">
      <c r="A132">
        <v>166</v>
      </c>
      <c r="B132" t="str">
        <f>INDEX(Metodo_limpo!A:A, MATCH(A132, Metodo_limpo!D:D, 0))</f>
        <v>sunk()</v>
      </c>
      <c r="C132">
        <f>SUMIFS(Metodo_limpo!C:C, Metodo_limpo!D:D, A132, Metodo_limpo!B:B, "CC")</f>
        <v>1</v>
      </c>
      <c r="D132">
        <f>SUMIFS(Metodo_limpo!C:C, Metodo_limpo!D:D, A132, Metodo_limpo!B:B, "NOPM")</f>
        <v>0</v>
      </c>
      <c r="E132">
        <f>SUMIFS(Metodo_limpo!C:C, Metodo_limpo!D:D, A132, Metodo_limpo!B:B, "LOC")</f>
        <v>1</v>
      </c>
      <c r="F132">
        <f>(C132-MIN(C$2:C$169))/(MAX(C$2:C$169)-MIN(C$2:C$169))</f>
        <v>2.7027027027027029E-2</v>
      </c>
      <c r="G132">
        <f>(D132-MIN(D$2:D$169))/(MAX(D$2:D$169)-MIN(D$2:D$169))</f>
        <v>0</v>
      </c>
      <c r="H132">
        <f>(E132-MIN(E$2:E$169))/(MAX(E$2:E$169)-MIN(E$2:E$169))</f>
        <v>7.246376811594203E-3</v>
      </c>
      <c r="I132" s="9">
        <f>F132+G132+H132</f>
        <v>3.4273403838621229E-2</v>
      </c>
    </row>
    <row r="133" spans="1:9" x14ac:dyDescent="0.25">
      <c r="A133">
        <v>167</v>
      </c>
      <c r="B133" t="str">
        <f>INDEX(Metodo_limpo!A:A, MATCH(A133, Metodo_limpo!D:D, 0))</f>
        <v>valid()</v>
      </c>
      <c r="C133">
        <f>SUMIFS(Metodo_limpo!C:C, Metodo_limpo!D:D, A133, Metodo_limpo!B:B, "CC")</f>
        <v>1</v>
      </c>
      <c r="D133">
        <f>SUMIFS(Metodo_limpo!C:C, Metodo_limpo!D:D, A133, Metodo_limpo!B:B, "NOPM")</f>
        <v>0</v>
      </c>
      <c r="E133">
        <f>SUMIFS(Metodo_limpo!C:C, Metodo_limpo!D:D, A133, Metodo_limpo!B:B, "LOC")</f>
        <v>1</v>
      </c>
      <c r="F133">
        <f>(C133-MIN(C$2:C$169))/(MAX(C$2:C$169)-MIN(C$2:C$169))</f>
        <v>2.7027027027027029E-2</v>
      </c>
      <c r="G133">
        <f>(D133-MIN(D$2:D$169))/(MAX(D$2:D$169)-MIN(D$2:D$169))</f>
        <v>0</v>
      </c>
      <c r="H133">
        <f>(E133-MIN(E$2:E$169))/(MAX(E$2:E$169)-MIN(E$2:E$169))</f>
        <v>7.246376811594203E-3</v>
      </c>
      <c r="I133" s="9">
        <f>F133+G133+H133</f>
        <v>3.4273403838621229E-2</v>
      </c>
    </row>
    <row r="134" spans="1:9" x14ac:dyDescent="0.25">
      <c r="A134">
        <v>10</v>
      </c>
      <c r="B134" t="str">
        <f>INDEX(Metodo_limpo!A:A, MATCH(A134, Metodo_limpo!D:D, 0))</f>
        <v>values()</v>
      </c>
      <c r="C134">
        <f>SUMIFS(Metodo_limpo!C:C, Metodo_limpo!D:D, A134, Metodo_limpo!B:B, "CC")</f>
        <v>1</v>
      </c>
      <c r="D134">
        <f>SUMIFS(Metodo_limpo!C:C, Metodo_limpo!D:D, A134, Metodo_limpo!B:B, "NOPM")</f>
        <v>0</v>
      </c>
      <c r="E134">
        <f>SUMIFS(Metodo_limpo!C:C, Metodo_limpo!D:D, A134, Metodo_limpo!B:B, "LOC")</f>
        <v>0</v>
      </c>
      <c r="F134">
        <f>(C134-MIN(C$2:C$169))/(MAX(C$2:C$169)-MIN(C$2:C$169))</f>
        <v>2.7027027027027029E-2</v>
      </c>
      <c r="G134">
        <f>(D134-MIN(D$2:D$169))/(MAX(D$2:D$169)-MIN(D$2:D$169))</f>
        <v>0</v>
      </c>
      <c r="H134">
        <f>(E134-MIN(E$2:E$169))/(MAX(E$2:E$169)-MIN(E$2:E$169))</f>
        <v>0</v>
      </c>
      <c r="I134" s="9">
        <f>F134+G134+H134</f>
        <v>2.7027027027027029E-2</v>
      </c>
    </row>
    <row r="135" spans="1:9" x14ac:dyDescent="0.25">
      <c r="A135">
        <v>65</v>
      </c>
      <c r="B135" t="str">
        <f>INDEX(Metodo_limpo!A:A, MATCH(A135, Metodo_limpo!D:D, 0))</f>
        <v>addShip(IShip)</v>
      </c>
      <c r="C135">
        <f>SUMIFS(Metodo_limpo!C:C, Metodo_limpo!D:D, A135, Metodo_limpo!B:B, "CC")</f>
        <v>1</v>
      </c>
      <c r="D135">
        <f>SUMIFS(Metodo_limpo!C:C, Metodo_limpo!D:D, A135, Metodo_limpo!B:B, "NOPM")</f>
        <v>0</v>
      </c>
      <c r="E135">
        <f>SUMIFS(Metodo_limpo!C:C, Metodo_limpo!D:D, A135, Metodo_limpo!B:B, "LOC")</f>
        <v>0</v>
      </c>
      <c r="F135">
        <f>(C135-MIN(C$2:C$169))/(MAX(C$2:C$169)-MIN(C$2:C$169))</f>
        <v>2.7027027027027029E-2</v>
      </c>
      <c r="G135">
        <f>(D135-MIN(D$2:D$169))/(MAX(D$2:D$169)-MIN(D$2:D$169))</f>
        <v>0</v>
      </c>
      <c r="H135">
        <f>(E135-MIN(E$2:E$169))/(MAX(E$2:E$169)-MIN(E$2:E$169))</f>
        <v>0</v>
      </c>
      <c r="I135" s="9">
        <f>F135+G135+H135</f>
        <v>2.7027027027027029E-2</v>
      </c>
    </row>
    <row r="136" spans="1:9" x14ac:dyDescent="0.25">
      <c r="A136">
        <v>66</v>
      </c>
      <c r="B136" t="str">
        <f>INDEX(Metodo_limpo!A:A, MATCH(A136, Metodo_limpo!D:D, 0))</f>
        <v>getFloatingShips()</v>
      </c>
      <c r="C136">
        <f>SUMIFS(Metodo_limpo!C:C, Metodo_limpo!D:D, A136, Metodo_limpo!B:B, "CC")</f>
        <v>1</v>
      </c>
      <c r="D136">
        <f>SUMIFS(Metodo_limpo!C:C, Metodo_limpo!D:D, A136, Metodo_limpo!B:B, "NOPM")</f>
        <v>0</v>
      </c>
      <c r="E136">
        <f>SUMIFS(Metodo_limpo!C:C, Metodo_limpo!D:D, A136, Metodo_limpo!B:B, "LOC")</f>
        <v>0</v>
      </c>
      <c r="F136">
        <f>(C136-MIN(C$2:C$169))/(MAX(C$2:C$169)-MIN(C$2:C$169))</f>
        <v>2.7027027027027029E-2</v>
      </c>
      <c r="G136">
        <f>(D136-MIN(D$2:D$169))/(MAX(D$2:D$169)-MIN(D$2:D$169))</f>
        <v>0</v>
      </c>
      <c r="H136">
        <f>(E136-MIN(E$2:E$169))/(MAX(E$2:E$169)-MIN(E$2:E$169))</f>
        <v>0</v>
      </c>
      <c r="I136" s="9">
        <f>F136+G136+H136</f>
        <v>2.7027027027027029E-2</v>
      </c>
    </row>
    <row r="137" spans="1:9" x14ac:dyDescent="0.25">
      <c r="A137">
        <v>67</v>
      </c>
      <c r="B137" t="str">
        <f>INDEX(Metodo_limpo!A:A, MATCH(A137, Metodo_limpo!D:D, 0))</f>
        <v>getShipsLike(String)</v>
      </c>
      <c r="C137">
        <f>SUMIFS(Metodo_limpo!C:C, Metodo_limpo!D:D, A137, Metodo_limpo!B:B, "CC")</f>
        <v>1</v>
      </c>
      <c r="D137">
        <f>SUMIFS(Metodo_limpo!C:C, Metodo_limpo!D:D, A137, Metodo_limpo!B:B, "NOPM")</f>
        <v>0</v>
      </c>
      <c r="E137">
        <f>SUMIFS(Metodo_limpo!C:C, Metodo_limpo!D:D, A137, Metodo_limpo!B:B, "LOC")</f>
        <v>0</v>
      </c>
      <c r="F137">
        <f>(C137-MIN(C$2:C$169))/(MAX(C$2:C$169)-MIN(C$2:C$169))</f>
        <v>2.7027027027027029E-2</v>
      </c>
      <c r="G137">
        <f>(D137-MIN(D$2:D$169))/(MAX(D$2:D$169)-MIN(D$2:D$169))</f>
        <v>0</v>
      </c>
      <c r="H137">
        <f>(E137-MIN(E$2:E$169))/(MAX(E$2:E$169)-MIN(E$2:E$169))</f>
        <v>0</v>
      </c>
      <c r="I137" s="9">
        <f>F137+G137+H137</f>
        <v>2.7027027027027029E-2</v>
      </c>
    </row>
    <row r="138" spans="1:9" x14ac:dyDescent="0.25">
      <c r="A138">
        <v>68</v>
      </c>
      <c r="B138" t="str">
        <f>INDEX(Metodo_limpo!A:A, MATCH(A138, Metodo_limpo!D:D, 0))</f>
        <v>shipAt(IPosition)</v>
      </c>
      <c r="C138">
        <f>SUMIFS(Metodo_limpo!C:C, Metodo_limpo!D:D, A138, Metodo_limpo!B:B, "CC")</f>
        <v>1</v>
      </c>
      <c r="D138">
        <f>SUMIFS(Metodo_limpo!C:C, Metodo_limpo!D:D, A138, Metodo_limpo!B:B, "NOPM")</f>
        <v>0</v>
      </c>
      <c r="E138">
        <f>SUMIFS(Metodo_limpo!C:C, Metodo_limpo!D:D, A138, Metodo_limpo!B:B, "LOC")</f>
        <v>0</v>
      </c>
      <c r="F138">
        <f>(C138-MIN(C$2:C$169))/(MAX(C$2:C$169)-MIN(C$2:C$169))</f>
        <v>2.7027027027027029E-2</v>
      </c>
      <c r="G138">
        <f>(D138-MIN(D$2:D$169))/(MAX(D$2:D$169)-MIN(D$2:D$169))</f>
        <v>0</v>
      </c>
      <c r="H138">
        <f>(E138-MIN(E$2:E$169))/(MAX(E$2:E$169)-MIN(E$2:E$169))</f>
        <v>0</v>
      </c>
      <c r="I138" s="9">
        <f>F138+G138+H138</f>
        <v>2.7027027027027029E-2</v>
      </c>
    </row>
    <row r="139" spans="1:9" x14ac:dyDescent="0.25">
      <c r="A139">
        <v>69</v>
      </c>
      <c r="B139" t="str">
        <f>INDEX(Metodo_limpo!A:A, MATCH(A139, Metodo_limpo!D:D, 0))</f>
        <v>fireShots(List&lt;IPosition&gt;)</v>
      </c>
      <c r="C139">
        <f>SUMIFS(Metodo_limpo!C:C, Metodo_limpo!D:D, A139, Metodo_limpo!B:B, "CC")</f>
        <v>1</v>
      </c>
      <c r="D139">
        <f>SUMIFS(Metodo_limpo!C:C, Metodo_limpo!D:D, A139, Metodo_limpo!B:B, "NOPM")</f>
        <v>0</v>
      </c>
      <c r="E139">
        <f>SUMIFS(Metodo_limpo!C:C, Metodo_limpo!D:D, A139, Metodo_limpo!B:B, "LOC")</f>
        <v>0</v>
      </c>
      <c r="F139">
        <f>(C139-MIN(C$2:C$169))/(MAX(C$2:C$169)-MIN(C$2:C$169))</f>
        <v>2.7027027027027029E-2</v>
      </c>
      <c r="G139">
        <f>(D139-MIN(D$2:D$169))/(MAX(D$2:D$169)-MIN(D$2:D$169))</f>
        <v>0</v>
      </c>
      <c r="H139">
        <f>(E139-MIN(E$2:E$169))/(MAX(E$2:E$169)-MIN(E$2:E$169))</f>
        <v>0</v>
      </c>
      <c r="I139" s="9">
        <f>F139+G139+H139</f>
        <v>2.7027027027027029E-2</v>
      </c>
    </row>
    <row r="140" spans="1:9" x14ac:dyDescent="0.25">
      <c r="A140">
        <v>70</v>
      </c>
      <c r="B140" t="str">
        <f>INDEX(Metodo_limpo!A:A, MATCH(A140, Metodo_limpo!D:D, 0))</f>
        <v>fireSingleShot(IPosition, boolean)</v>
      </c>
      <c r="C140">
        <f>SUMIFS(Metodo_limpo!C:C, Metodo_limpo!D:D, A140, Metodo_limpo!B:B, "CC")</f>
        <v>1</v>
      </c>
      <c r="D140">
        <f>SUMIFS(Metodo_limpo!C:C, Metodo_limpo!D:D, A140, Metodo_limpo!B:B, "NOPM")</f>
        <v>0</v>
      </c>
      <c r="E140">
        <f>SUMIFS(Metodo_limpo!C:C, Metodo_limpo!D:D, A140, Metodo_limpo!B:B, "LOC")</f>
        <v>0</v>
      </c>
      <c r="F140">
        <f>(C140-MIN(C$2:C$169))/(MAX(C$2:C$169)-MIN(C$2:C$169))</f>
        <v>2.7027027027027029E-2</v>
      </c>
      <c r="G140">
        <f>(D140-MIN(D$2:D$169))/(MAX(D$2:D$169)-MIN(D$2:D$169))</f>
        <v>0</v>
      </c>
      <c r="H140">
        <f>(E140-MIN(E$2:E$169))/(MAX(E$2:E$169)-MIN(E$2:E$169))</f>
        <v>0</v>
      </c>
      <c r="I140" s="9">
        <f>F140+G140+H140</f>
        <v>2.7027027027027029E-2</v>
      </c>
    </row>
    <row r="141" spans="1:9" x14ac:dyDescent="0.25">
      <c r="A141">
        <v>71</v>
      </c>
      <c r="B141" t="str">
        <f>INDEX(Metodo_limpo!A:A, MATCH(A141, Metodo_limpo!D:D, 0))</f>
        <v>randomEnemyFire()</v>
      </c>
      <c r="C141">
        <f>SUMIFS(Metodo_limpo!C:C, Metodo_limpo!D:D, A141, Metodo_limpo!B:B, "CC")</f>
        <v>1</v>
      </c>
      <c r="D141">
        <f>SUMIFS(Metodo_limpo!C:C, Metodo_limpo!D:D, A141, Metodo_limpo!B:B, "NOPM")</f>
        <v>0</v>
      </c>
      <c r="E141">
        <f>SUMIFS(Metodo_limpo!C:C, Metodo_limpo!D:D, A141, Metodo_limpo!B:B, "LOC")</f>
        <v>0</v>
      </c>
      <c r="F141">
        <f>(C141-MIN(C$2:C$169))/(MAX(C$2:C$169)-MIN(C$2:C$169))</f>
        <v>2.7027027027027029E-2</v>
      </c>
      <c r="G141">
        <f>(D141-MIN(D$2:D$169))/(MAX(D$2:D$169)-MIN(D$2:D$169))</f>
        <v>0</v>
      </c>
      <c r="H141">
        <f>(E141-MIN(E$2:E$169))/(MAX(E$2:E$169)-MIN(E$2:E$169))</f>
        <v>0</v>
      </c>
      <c r="I141" s="9">
        <f>F141+G141+H141</f>
        <v>2.7027027027027029E-2</v>
      </c>
    </row>
    <row r="142" spans="1:9" x14ac:dyDescent="0.25">
      <c r="A142">
        <v>72</v>
      </c>
      <c r="B142" t="str">
        <f>INDEX(Metodo_limpo!A:A, MATCH(A142, Metodo_limpo!D:D, 0))</f>
        <v>readEnemyFire(Scanner)</v>
      </c>
      <c r="C142">
        <f>SUMIFS(Metodo_limpo!C:C, Metodo_limpo!D:D, A142, Metodo_limpo!B:B, "CC")</f>
        <v>1</v>
      </c>
      <c r="D142">
        <f>SUMIFS(Metodo_limpo!C:C, Metodo_limpo!D:D, A142, Metodo_limpo!B:B, "NOPM")</f>
        <v>0</v>
      </c>
      <c r="E142">
        <f>SUMIFS(Metodo_limpo!C:C, Metodo_limpo!D:D, A142, Metodo_limpo!B:B, "LOC")</f>
        <v>0</v>
      </c>
      <c r="F142">
        <f>(C142-MIN(C$2:C$169))/(MAX(C$2:C$169)-MIN(C$2:C$169))</f>
        <v>2.7027027027027029E-2</v>
      </c>
      <c r="G142">
        <f>(D142-MIN(D$2:D$169))/(MAX(D$2:D$169)-MIN(D$2:D$169))</f>
        <v>0</v>
      </c>
      <c r="H142">
        <f>(E142-MIN(E$2:E$169))/(MAX(E$2:E$169)-MIN(E$2:E$169))</f>
        <v>0</v>
      </c>
      <c r="I142" s="9">
        <f>F142+G142+H142</f>
        <v>2.7027027027027029E-2</v>
      </c>
    </row>
    <row r="143" spans="1:9" x14ac:dyDescent="0.25">
      <c r="A143">
        <v>73</v>
      </c>
      <c r="B143" t="str">
        <f>INDEX(Metodo_limpo!A:A, MATCH(A143, Metodo_limpo!D:D, 0))</f>
        <v>getNumber()</v>
      </c>
      <c r="C143">
        <f>SUMIFS(Metodo_limpo!C:C, Metodo_limpo!D:D, A143, Metodo_limpo!B:B, "CC")</f>
        <v>1</v>
      </c>
      <c r="D143">
        <f>SUMIFS(Metodo_limpo!C:C, Metodo_limpo!D:D, A143, Metodo_limpo!B:B, "NOPM")</f>
        <v>0</v>
      </c>
      <c r="E143">
        <f>SUMIFS(Metodo_limpo!C:C, Metodo_limpo!D:D, A143, Metodo_limpo!B:B, "LOC")</f>
        <v>0</v>
      </c>
      <c r="F143">
        <f>(C143-MIN(C$2:C$169))/(MAX(C$2:C$169)-MIN(C$2:C$169))</f>
        <v>2.7027027027027029E-2</v>
      </c>
      <c r="G143">
        <f>(D143-MIN(D$2:D$169))/(MAX(D$2:D$169)-MIN(D$2:D$169))</f>
        <v>0</v>
      </c>
      <c r="H143">
        <f>(E143-MIN(E$2:E$169))/(MAX(E$2:E$169)-MIN(E$2:E$169))</f>
        <v>0</v>
      </c>
      <c r="I143" s="9">
        <f>F143+G143+H143</f>
        <v>2.7027027027027029E-2</v>
      </c>
    </row>
    <row r="144" spans="1:9" x14ac:dyDescent="0.25">
      <c r="A144">
        <v>74</v>
      </c>
      <c r="B144" t="str">
        <f>INDEX(Metodo_limpo!A:A, MATCH(A144, Metodo_limpo!D:D, 0))</f>
        <v>getShotResults()</v>
      </c>
      <c r="C144">
        <f>SUMIFS(Metodo_limpo!C:C, Metodo_limpo!D:D, A144, Metodo_limpo!B:B, "CC")</f>
        <v>1</v>
      </c>
      <c r="D144">
        <f>SUMIFS(Metodo_limpo!C:C, Metodo_limpo!D:D, A144, Metodo_limpo!B:B, "NOPM")</f>
        <v>0</v>
      </c>
      <c r="E144">
        <f>SUMIFS(Metodo_limpo!C:C, Metodo_limpo!D:D, A144, Metodo_limpo!B:B, "LOC")</f>
        <v>0</v>
      </c>
      <c r="F144">
        <f>(C144-MIN(C$2:C$169))/(MAX(C$2:C$169)-MIN(C$2:C$169))</f>
        <v>2.7027027027027029E-2</v>
      </c>
      <c r="G144">
        <f>(D144-MIN(D$2:D$169))/(MAX(D$2:D$169)-MIN(D$2:D$169))</f>
        <v>0</v>
      </c>
      <c r="H144">
        <f>(E144-MIN(E$2:E$169))/(MAX(E$2:E$169)-MIN(E$2:E$169))</f>
        <v>0</v>
      </c>
      <c r="I144" s="9">
        <f>F144+G144+H144</f>
        <v>2.7027027027027029E-2</v>
      </c>
    </row>
    <row r="145" spans="1:9" x14ac:dyDescent="0.25">
      <c r="A145">
        <v>75</v>
      </c>
      <c r="B145" t="str">
        <f>INDEX(Metodo_limpo!A:A, MATCH(A145, Metodo_limpo!D:D, 0))</f>
        <v>getShots()</v>
      </c>
      <c r="C145">
        <f>SUMIFS(Metodo_limpo!C:C, Metodo_limpo!D:D, A145, Metodo_limpo!B:B, "CC")</f>
        <v>1</v>
      </c>
      <c r="D145">
        <f>SUMIFS(Metodo_limpo!C:C, Metodo_limpo!D:D, A145, Metodo_limpo!B:B, "NOPM")</f>
        <v>0</v>
      </c>
      <c r="E145">
        <f>SUMIFS(Metodo_limpo!C:C, Metodo_limpo!D:D, A145, Metodo_limpo!B:B, "LOC")</f>
        <v>0</v>
      </c>
      <c r="F145">
        <f>(C145-MIN(C$2:C$169))/(MAX(C$2:C$169)-MIN(C$2:C$169))</f>
        <v>2.7027027027027029E-2</v>
      </c>
      <c r="G145">
        <f>(D145-MIN(D$2:D$169))/(MAX(D$2:D$169)-MIN(D$2:D$169))</f>
        <v>0</v>
      </c>
      <c r="H145">
        <f>(E145-MIN(E$2:E$169))/(MAX(E$2:E$169)-MIN(E$2:E$169))</f>
        <v>0</v>
      </c>
      <c r="I145" s="9">
        <f>F145+G145+H145</f>
        <v>2.7027027027027029E-2</v>
      </c>
    </row>
    <row r="146" spans="1:9" x14ac:dyDescent="0.25">
      <c r="A146">
        <v>78</v>
      </c>
      <c r="B146" t="str">
        <f>INDEX(Metodo_limpo!A:A, MATCH(A146, Metodo_limpo!D:D, 0))</f>
        <v>adjacentPositions()</v>
      </c>
      <c r="C146">
        <f>SUMIFS(Metodo_limpo!C:C, Metodo_limpo!D:D, A146, Metodo_limpo!B:B, "CC")</f>
        <v>1</v>
      </c>
      <c r="D146">
        <f>SUMIFS(Metodo_limpo!C:C, Metodo_limpo!D:D, A146, Metodo_limpo!B:B, "NOPM")</f>
        <v>0</v>
      </c>
      <c r="E146">
        <f>SUMIFS(Metodo_limpo!C:C, Metodo_limpo!D:D, A146, Metodo_limpo!B:B, "LOC")</f>
        <v>0</v>
      </c>
      <c r="F146">
        <f>(C146-MIN(C$2:C$169))/(MAX(C$2:C$169)-MIN(C$2:C$169))</f>
        <v>2.7027027027027029E-2</v>
      </c>
      <c r="G146">
        <f>(D146-MIN(D$2:D$169))/(MAX(D$2:D$169)-MIN(D$2:D$169))</f>
        <v>0</v>
      </c>
      <c r="H146">
        <f>(E146-MIN(E$2:E$169))/(MAX(E$2:E$169)-MIN(E$2:E$169))</f>
        <v>0</v>
      </c>
      <c r="I146" s="9">
        <f>F146+G146+H146</f>
        <v>2.7027027027027029E-2</v>
      </c>
    </row>
    <row r="147" spans="1:9" x14ac:dyDescent="0.25">
      <c r="A147">
        <v>80</v>
      </c>
      <c r="B147" t="str">
        <f>INDEX(Metodo_limpo!A:A, MATCH(A147, Metodo_limpo!D:D, 0))</f>
        <v>getClassicColumn()</v>
      </c>
      <c r="C147">
        <f>SUMIFS(Metodo_limpo!C:C, Metodo_limpo!D:D, A147, Metodo_limpo!B:B, "CC")</f>
        <v>1</v>
      </c>
      <c r="D147">
        <f>SUMIFS(Metodo_limpo!C:C, Metodo_limpo!D:D, A147, Metodo_limpo!B:B, "NOPM")</f>
        <v>0</v>
      </c>
      <c r="E147">
        <f>SUMIFS(Metodo_limpo!C:C, Metodo_limpo!D:D, A147, Metodo_limpo!B:B, "LOC")</f>
        <v>0</v>
      </c>
      <c r="F147">
        <f>(C147-MIN(C$2:C$169))/(MAX(C$2:C$169)-MIN(C$2:C$169))</f>
        <v>2.7027027027027029E-2</v>
      </c>
      <c r="G147">
        <f>(D147-MIN(D$2:D$169))/(MAX(D$2:D$169)-MIN(D$2:D$169))</f>
        <v>0</v>
      </c>
      <c r="H147">
        <f>(E147-MIN(E$2:E$169))/(MAX(E$2:E$169)-MIN(E$2:E$169))</f>
        <v>0</v>
      </c>
      <c r="I147" s="9">
        <f>F147+G147+H147</f>
        <v>2.7027027027027029E-2</v>
      </c>
    </row>
    <row r="148" spans="1:9" x14ac:dyDescent="0.25">
      <c r="A148">
        <v>81</v>
      </c>
      <c r="B148" t="str">
        <f>INDEX(Metodo_limpo!A:A, MATCH(A148, Metodo_limpo!D:D, 0))</f>
        <v>getClassicRow()</v>
      </c>
      <c r="C148">
        <f>SUMIFS(Metodo_limpo!C:C, Metodo_limpo!D:D, A148, Metodo_limpo!B:B, "CC")</f>
        <v>1</v>
      </c>
      <c r="D148">
        <f>SUMIFS(Metodo_limpo!C:C, Metodo_limpo!D:D, A148, Metodo_limpo!B:B, "NOPM")</f>
        <v>0</v>
      </c>
      <c r="E148">
        <f>SUMIFS(Metodo_limpo!C:C, Metodo_limpo!D:D, A148, Metodo_limpo!B:B, "LOC")</f>
        <v>0</v>
      </c>
      <c r="F148">
        <f>(C148-MIN(C$2:C$169))/(MAX(C$2:C$169)-MIN(C$2:C$169))</f>
        <v>2.7027027027027029E-2</v>
      </c>
      <c r="G148">
        <f>(D148-MIN(D$2:D$169))/(MAX(D$2:D$169)-MIN(D$2:D$169))</f>
        <v>0</v>
      </c>
      <c r="H148">
        <f>(E148-MIN(E$2:E$169))/(MAX(E$2:E$169)-MIN(E$2:E$169))</f>
        <v>0</v>
      </c>
      <c r="I148" s="9">
        <f>F148+G148+H148</f>
        <v>2.7027027027027029E-2</v>
      </c>
    </row>
    <row r="149" spans="1:9" x14ac:dyDescent="0.25">
      <c r="A149">
        <v>82</v>
      </c>
      <c r="B149" t="str">
        <f>INDEX(Metodo_limpo!A:A, MATCH(A149, Metodo_limpo!D:D, 0))</f>
        <v>getColumn()</v>
      </c>
      <c r="C149">
        <f>SUMIFS(Metodo_limpo!C:C, Metodo_limpo!D:D, A149, Metodo_limpo!B:B, "CC")</f>
        <v>1</v>
      </c>
      <c r="D149">
        <f>SUMIFS(Metodo_limpo!C:C, Metodo_limpo!D:D, A149, Metodo_limpo!B:B, "NOPM")</f>
        <v>0</v>
      </c>
      <c r="E149">
        <f>SUMIFS(Metodo_limpo!C:C, Metodo_limpo!D:D, A149, Metodo_limpo!B:B, "LOC")</f>
        <v>0</v>
      </c>
      <c r="F149">
        <f>(C149-MIN(C$2:C$169))/(MAX(C$2:C$169)-MIN(C$2:C$169))</f>
        <v>2.7027027027027029E-2</v>
      </c>
      <c r="G149">
        <f>(D149-MIN(D$2:D$169))/(MAX(D$2:D$169)-MIN(D$2:D$169))</f>
        <v>0</v>
      </c>
      <c r="H149">
        <f>(E149-MIN(E$2:E$169))/(MAX(E$2:E$169)-MIN(E$2:E$169))</f>
        <v>0</v>
      </c>
      <c r="I149" s="9">
        <f>F149+G149+H149</f>
        <v>2.7027027027027029E-2</v>
      </c>
    </row>
    <row r="150" spans="1:9" x14ac:dyDescent="0.25">
      <c r="A150">
        <v>83</v>
      </c>
      <c r="B150" t="str">
        <f>INDEX(Metodo_limpo!A:A, MATCH(A150, Metodo_limpo!D:D, 0))</f>
        <v>getRow()</v>
      </c>
      <c r="C150">
        <f>SUMIFS(Metodo_limpo!C:C, Metodo_limpo!D:D, A150, Metodo_limpo!B:B, "CC")</f>
        <v>1</v>
      </c>
      <c r="D150">
        <f>SUMIFS(Metodo_limpo!C:C, Metodo_limpo!D:D, A150, Metodo_limpo!B:B, "NOPM")</f>
        <v>0</v>
      </c>
      <c r="E150">
        <f>SUMIFS(Metodo_limpo!C:C, Metodo_limpo!D:D, A150, Metodo_limpo!B:B, "LOC")</f>
        <v>0</v>
      </c>
      <c r="F150">
        <f>(C150-MIN(C$2:C$169))/(MAX(C$2:C$169)-MIN(C$2:C$169))</f>
        <v>2.7027027027027029E-2</v>
      </c>
      <c r="G150">
        <f>(D150-MIN(D$2:D$169))/(MAX(D$2:D$169)-MIN(D$2:D$169))</f>
        <v>0</v>
      </c>
      <c r="H150">
        <f>(E150-MIN(E$2:E$169))/(MAX(E$2:E$169)-MIN(E$2:E$169))</f>
        <v>0</v>
      </c>
      <c r="I150" s="9">
        <f>F150+G150+H150</f>
        <v>2.7027027027027029E-2</v>
      </c>
    </row>
    <row r="151" spans="1:9" x14ac:dyDescent="0.25">
      <c r="A151">
        <v>85</v>
      </c>
      <c r="B151" t="str">
        <f>INDEX(Metodo_limpo!A:A, MATCH(A151, Metodo_limpo!D:D, 0))</f>
        <v>isHit()</v>
      </c>
      <c r="C151">
        <f>SUMIFS(Metodo_limpo!C:C, Metodo_limpo!D:D, A151, Metodo_limpo!B:B, "CC")</f>
        <v>1</v>
      </c>
      <c r="D151">
        <f>SUMIFS(Metodo_limpo!C:C, Metodo_limpo!D:D, A151, Metodo_limpo!B:B, "NOPM")</f>
        <v>0</v>
      </c>
      <c r="E151">
        <f>SUMIFS(Metodo_limpo!C:C, Metodo_limpo!D:D, A151, Metodo_limpo!B:B, "LOC")</f>
        <v>0</v>
      </c>
      <c r="F151">
        <f>(C151-MIN(C$2:C$169))/(MAX(C$2:C$169)-MIN(C$2:C$169))</f>
        <v>2.7027027027027029E-2</v>
      </c>
      <c r="G151">
        <f>(D151-MIN(D$2:D$169))/(MAX(D$2:D$169)-MIN(D$2:D$169))</f>
        <v>0</v>
      </c>
      <c r="H151">
        <f>(E151-MIN(E$2:E$169))/(MAX(E$2:E$169)-MIN(E$2:E$169))</f>
        <v>0</v>
      </c>
      <c r="I151" s="9">
        <f>F151+G151+H151</f>
        <v>2.7027027027027029E-2</v>
      </c>
    </row>
    <row r="152" spans="1:9" x14ac:dyDescent="0.25">
      <c r="A152">
        <v>86</v>
      </c>
      <c r="B152" t="str">
        <f>INDEX(Metodo_limpo!A:A, MATCH(A152, Metodo_limpo!D:D, 0))</f>
        <v>isInside()</v>
      </c>
      <c r="C152">
        <f>SUMIFS(Metodo_limpo!C:C, Metodo_limpo!D:D, A152, Metodo_limpo!B:B, "CC")</f>
        <v>1</v>
      </c>
      <c r="D152">
        <f>SUMIFS(Metodo_limpo!C:C, Metodo_limpo!D:D, A152, Metodo_limpo!B:B, "NOPM")</f>
        <v>0</v>
      </c>
      <c r="E152">
        <f>SUMIFS(Metodo_limpo!C:C, Metodo_limpo!D:D, A152, Metodo_limpo!B:B, "LOC")</f>
        <v>0</v>
      </c>
      <c r="F152">
        <f>(C152-MIN(C$2:C$169))/(MAX(C$2:C$169)-MIN(C$2:C$169))</f>
        <v>2.7027027027027029E-2</v>
      </c>
      <c r="G152">
        <f>(D152-MIN(D$2:D$169))/(MAX(D$2:D$169)-MIN(D$2:D$169))</f>
        <v>0</v>
      </c>
      <c r="H152">
        <f>(E152-MIN(E$2:E$169))/(MAX(E$2:E$169)-MIN(E$2:E$169))</f>
        <v>0</v>
      </c>
      <c r="I152" s="9">
        <f>F152+G152+H152</f>
        <v>2.7027027027027029E-2</v>
      </c>
    </row>
    <row r="153" spans="1:9" x14ac:dyDescent="0.25">
      <c r="A153">
        <v>87</v>
      </c>
      <c r="B153" t="str">
        <f>INDEX(Metodo_limpo!A:A, MATCH(A153, Metodo_limpo!D:D, 0))</f>
        <v>isOccupied()</v>
      </c>
      <c r="C153">
        <f>SUMIFS(Metodo_limpo!C:C, Metodo_limpo!D:D, A153, Metodo_limpo!B:B, "CC")</f>
        <v>1</v>
      </c>
      <c r="D153">
        <f>SUMIFS(Metodo_limpo!C:C, Metodo_limpo!D:D, A153, Metodo_limpo!B:B, "NOPM")</f>
        <v>0</v>
      </c>
      <c r="E153">
        <f>SUMIFS(Metodo_limpo!C:C, Metodo_limpo!D:D, A153, Metodo_limpo!B:B, "LOC")</f>
        <v>0</v>
      </c>
      <c r="F153">
        <f>(C153-MIN(C$2:C$169))/(MAX(C$2:C$169)-MIN(C$2:C$169))</f>
        <v>2.7027027027027029E-2</v>
      </c>
      <c r="G153">
        <f>(D153-MIN(D$2:D$169))/(MAX(D$2:D$169)-MIN(D$2:D$169))</f>
        <v>0</v>
      </c>
      <c r="H153">
        <f>(E153-MIN(E$2:E$169))/(MAX(E$2:E$169)-MIN(E$2:E$169))</f>
        <v>0</v>
      </c>
      <c r="I153" s="9">
        <f>F153+G153+H153</f>
        <v>2.7027027027027029E-2</v>
      </c>
    </row>
    <row r="154" spans="1:9" x14ac:dyDescent="0.25">
      <c r="A154">
        <v>88</v>
      </c>
      <c r="B154" t="str">
        <f>INDEX(Metodo_limpo!A:A, MATCH(A154, Metodo_limpo!D:D, 0))</f>
        <v>occupy()</v>
      </c>
      <c r="C154">
        <f>SUMIFS(Metodo_limpo!C:C, Metodo_limpo!D:D, A154, Metodo_limpo!B:B, "CC")</f>
        <v>1</v>
      </c>
      <c r="D154">
        <f>SUMIFS(Metodo_limpo!C:C, Metodo_limpo!D:D, A154, Metodo_limpo!B:B, "NOPM")</f>
        <v>0</v>
      </c>
      <c r="E154">
        <f>SUMIFS(Metodo_limpo!C:C, Metodo_limpo!D:D, A154, Metodo_limpo!B:B, "LOC")</f>
        <v>0</v>
      </c>
      <c r="F154">
        <f>(C154-MIN(C$2:C$169))/(MAX(C$2:C$169)-MIN(C$2:C$169))</f>
        <v>2.7027027027027029E-2</v>
      </c>
      <c r="G154">
        <f>(D154-MIN(D$2:D$169))/(MAX(D$2:D$169)-MIN(D$2:D$169))</f>
        <v>0</v>
      </c>
      <c r="H154">
        <f>(E154-MIN(E$2:E$169))/(MAX(E$2:E$169)-MIN(E$2:E$169))</f>
        <v>0</v>
      </c>
      <c r="I154" s="9">
        <f>F154+G154+H154</f>
        <v>2.7027027027027029E-2</v>
      </c>
    </row>
    <row r="155" spans="1:9" x14ac:dyDescent="0.25">
      <c r="A155">
        <v>89</v>
      </c>
      <c r="B155" t="str">
        <f>INDEX(Metodo_limpo!A:A, MATCH(A155, Metodo_limpo!D:D, 0))</f>
        <v>shoot()</v>
      </c>
      <c r="C155">
        <f>SUMIFS(Metodo_limpo!C:C, Metodo_limpo!D:D, A155, Metodo_limpo!B:B, "CC")</f>
        <v>1</v>
      </c>
      <c r="D155">
        <f>SUMIFS(Metodo_limpo!C:C, Metodo_limpo!D:D, A155, Metodo_limpo!B:B, "NOPM")</f>
        <v>0</v>
      </c>
      <c r="E155">
        <f>SUMIFS(Metodo_limpo!C:C, Metodo_limpo!D:D, A155, Metodo_limpo!B:B, "LOC")</f>
        <v>0</v>
      </c>
      <c r="F155">
        <f>(C155-MIN(C$2:C$169))/(MAX(C$2:C$169)-MIN(C$2:C$169))</f>
        <v>2.7027027027027029E-2</v>
      </c>
      <c r="G155">
        <f>(D155-MIN(D$2:D$169))/(MAX(D$2:D$169)-MIN(D$2:D$169))</f>
        <v>0</v>
      </c>
      <c r="H155">
        <f>(E155-MIN(E$2:E$169))/(MAX(E$2:E$169)-MIN(E$2:E$169))</f>
        <v>0</v>
      </c>
      <c r="I155" s="9">
        <f>F155+G155+H155</f>
        <v>2.7027027027027029E-2</v>
      </c>
    </row>
    <row r="156" spans="1:9" x14ac:dyDescent="0.25">
      <c r="A156">
        <v>90</v>
      </c>
      <c r="B156" t="str">
        <f>INDEX(Metodo_limpo!A:A, MATCH(A156, Metodo_limpo!D:D, 0))</f>
        <v>getAdjacentPositions()</v>
      </c>
      <c r="C156">
        <f>SUMIFS(Metodo_limpo!C:C, Metodo_limpo!D:D, A156, Metodo_limpo!B:B, "CC")</f>
        <v>1</v>
      </c>
      <c r="D156">
        <f>SUMIFS(Metodo_limpo!C:C, Metodo_limpo!D:D, A156, Metodo_limpo!B:B, "NOPM")</f>
        <v>0</v>
      </c>
      <c r="E156">
        <f>SUMIFS(Metodo_limpo!C:C, Metodo_limpo!D:D, A156, Metodo_limpo!B:B, "LOC")</f>
        <v>0</v>
      </c>
      <c r="F156">
        <f>(C156-MIN(C$2:C$169))/(MAX(C$2:C$169)-MIN(C$2:C$169))</f>
        <v>2.7027027027027029E-2</v>
      </c>
      <c r="G156">
        <f>(D156-MIN(D$2:D$169))/(MAX(D$2:D$169)-MIN(D$2:D$169))</f>
        <v>0</v>
      </c>
      <c r="H156">
        <f>(E156-MIN(E$2:E$169))/(MAX(E$2:E$169)-MIN(E$2:E$169))</f>
        <v>0</v>
      </c>
      <c r="I156" s="9">
        <f>F156+G156+H156</f>
        <v>2.7027027027027029E-2</v>
      </c>
    </row>
    <row r="157" spans="1:9" x14ac:dyDescent="0.25">
      <c r="A157">
        <v>91</v>
      </c>
      <c r="B157" t="str">
        <f>INDEX(Metodo_limpo!A:A, MATCH(A157, Metodo_limpo!D:D, 0))</f>
        <v>getBearing()</v>
      </c>
      <c r="C157">
        <f>SUMIFS(Metodo_limpo!C:C, Metodo_limpo!D:D, A157, Metodo_limpo!B:B, "CC")</f>
        <v>1</v>
      </c>
      <c r="D157">
        <f>SUMIFS(Metodo_limpo!C:C, Metodo_limpo!D:D, A157, Metodo_limpo!B:B, "NOPM")</f>
        <v>0</v>
      </c>
      <c r="E157">
        <f>SUMIFS(Metodo_limpo!C:C, Metodo_limpo!D:D, A157, Metodo_limpo!B:B, "LOC")</f>
        <v>0</v>
      </c>
      <c r="F157">
        <f>(C157-MIN(C$2:C$169))/(MAX(C$2:C$169)-MIN(C$2:C$169))</f>
        <v>2.7027027027027029E-2</v>
      </c>
      <c r="G157">
        <f>(D157-MIN(D$2:D$169))/(MAX(D$2:D$169)-MIN(D$2:D$169))</f>
        <v>0</v>
      </c>
      <c r="H157">
        <f>(E157-MIN(E$2:E$169))/(MAX(E$2:E$169)-MIN(E$2:E$169))</f>
        <v>0</v>
      </c>
      <c r="I157" s="9">
        <f>F157+G157+H157</f>
        <v>2.7027027027027029E-2</v>
      </c>
    </row>
    <row r="158" spans="1:9" x14ac:dyDescent="0.25">
      <c r="A158">
        <v>92</v>
      </c>
      <c r="B158" t="str">
        <f>INDEX(Metodo_limpo!A:A, MATCH(A158, Metodo_limpo!D:D, 0))</f>
        <v>getBottomMostPos()</v>
      </c>
      <c r="C158">
        <f>SUMIFS(Metodo_limpo!C:C, Metodo_limpo!D:D, A158, Metodo_limpo!B:B, "CC")</f>
        <v>1</v>
      </c>
      <c r="D158">
        <f>SUMIFS(Metodo_limpo!C:C, Metodo_limpo!D:D, A158, Metodo_limpo!B:B, "NOPM")</f>
        <v>0</v>
      </c>
      <c r="E158">
        <f>SUMIFS(Metodo_limpo!C:C, Metodo_limpo!D:D, A158, Metodo_limpo!B:B, "LOC")</f>
        <v>0</v>
      </c>
      <c r="F158">
        <f>(C158-MIN(C$2:C$169))/(MAX(C$2:C$169)-MIN(C$2:C$169))</f>
        <v>2.7027027027027029E-2</v>
      </c>
      <c r="G158">
        <f>(D158-MIN(D$2:D$169))/(MAX(D$2:D$169)-MIN(D$2:D$169))</f>
        <v>0</v>
      </c>
      <c r="H158">
        <f>(E158-MIN(E$2:E$169))/(MAX(E$2:E$169)-MIN(E$2:E$169))</f>
        <v>0</v>
      </c>
      <c r="I158" s="9">
        <f>F158+G158+H158</f>
        <v>2.7027027027027029E-2</v>
      </c>
    </row>
    <row r="159" spans="1:9" x14ac:dyDescent="0.25">
      <c r="A159">
        <v>93</v>
      </c>
      <c r="B159" t="str">
        <f>INDEX(Metodo_limpo!A:A, MATCH(A159, Metodo_limpo!D:D, 0))</f>
        <v>getCategory()</v>
      </c>
      <c r="C159">
        <f>SUMIFS(Metodo_limpo!C:C, Metodo_limpo!D:D, A159, Metodo_limpo!B:B, "CC")</f>
        <v>1</v>
      </c>
      <c r="D159">
        <f>SUMIFS(Metodo_limpo!C:C, Metodo_limpo!D:D, A159, Metodo_limpo!B:B, "NOPM")</f>
        <v>0</v>
      </c>
      <c r="E159">
        <f>SUMIFS(Metodo_limpo!C:C, Metodo_limpo!D:D, A159, Metodo_limpo!B:B, "LOC")</f>
        <v>0</v>
      </c>
      <c r="F159">
        <f>(C159-MIN(C$2:C$169))/(MAX(C$2:C$169)-MIN(C$2:C$169))</f>
        <v>2.7027027027027029E-2</v>
      </c>
      <c r="G159">
        <f>(D159-MIN(D$2:D$169))/(MAX(D$2:D$169)-MIN(D$2:D$169))</f>
        <v>0</v>
      </c>
      <c r="H159">
        <f>(E159-MIN(E$2:E$169))/(MAX(E$2:E$169)-MIN(E$2:E$169))</f>
        <v>0</v>
      </c>
      <c r="I159" s="9">
        <f>F159+G159+H159</f>
        <v>2.7027027027027029E-2</v>
      </c>
    </row>
    <row r="160" spans="1:9" x14ac:dyDescent="0.25">
      <c r="A160">
        <v>94</v>
      </c>
      <c r="B160" t="str">
        <f>INDEX(Metodo_limpo!A:A, MATCH(A160, Metodo_limpo!D:D, 0))</f>
        <v>getLeftMostPos()</v>
      </c>
      <c r="C160">
        <f>SUMIFS(Metodo_limpo!C:C, Metodo_limpo!D:D, A160, Metodo_limpo!B:B, "CC")</f>
        <v>1</v>
      </c>
      <c r="D160">
        <f>SUMIFS(Metodo_limpo!C:C, Metodo_limpo!D:D, A160, Metodo_limpo!B:B, "NOPM")</f>
        <v>0</v>
      </c>
      <c r="E160">
        <f>SUMIFS(Metodo_limpo!C:C, Metodo_limpo!D:D, A160, Metodo_limpo!B:B, "LOC")</f>
        <v>0</v>
      </c>
      <c r="F160">
        <f>(C160-MIN(C$2:C$169))/(MAX(C$2:C$169)-MIN(C$2:C$169))</f>
        <v>2.7027027027027029E-2</v>
      </c>
      <c r="G160">
        <f>(D160-MIN(D$2:D$169))/(MAX(D$2:D$169)-MIN(D$2:D$169))</f>
        <v>0</v>
      </c>
      <c r="H160">
        <f>(E160-MIN(E$2:E$169))/(MAX(E$2:E$169)-MIN(E$2:E$169))</f>
        <v>0</v>
      </c>
      <c r="I160" s="9">
        <f>F160+G160+H160</f>
        <v>2.7027027027027029E-2</v>
      </c>
    </row>
    <row r="161" spans="1:9" x14ac:dyDescent="0.25">
      <c r="A161">
        <v>95</v>
      </c>
      <c r="B161" t="str">
        <f>INDEX(Metodo_limpo!A:A, MATCH(A161, Metodo_limpo!D:D, 0))</f>
        <v>getPosition()</v>
      </c>
      <c r="C161">
        <f>SUMIFS(Metodo_limpo!C:C, Metodo_limpo!D:D, A161, Metodo_limpo!B:B, "CC")</f>
        <v>1</v>
      </c>
      <c r="D161">
        <f>SUMIFS(Metodo_limpo!C:C, Metodo_limpo!D:D, A161, Metodo_limpo!B:B, "NOPM")</f>
        <v>0</v>
      </c>
      <c r="E161">
        <f>SUMIFS(Metodo_limpo!C:C, Metodo_limpo!D:D, A161, Metodo_limpo!B:B, "LOC")</f>
        <v>0</v>
      </c>
      <c r="F161">
        <f>(C161-MIN(C$2:C$169))/(MAX(C$2:C$169)-MIN(C$2:C$169))</f>
        <v>2.7027027027027029E-2</v>
      </c>
      <c r="G161">
        <f>(D161-MIN(D$2:D$169))/(MAX(D$2:D$169)-MIN(D$2:D$169))</f>
        <v>0</v>
      </c>
      <c r="H161">
        <f>(E161-MIN(E$2:E$169))/(MAX(E$2:E$169)-MIN(E$2:E$169))</f>
        <v>0</v>
      </c>
      <c r="I161" s="9">
        <f>F161+G161+H161</f>
        <v>2.7027027027027029E-2</v>
      </c>
    </row>
    <row r="162" spans="1:9" x14ac:dyDescent="0.25">
      <c r="A162">
        <v>96</v>
      </c>
      <c r="B162" t="str">
        <f>INDEX(Metodo_limpo!A:A, MATCH(A162, Metodo_limpo!D:D, 0))</f>
        <v>getPositions()</v>
      </c>
      <c r="C162">
        <f>SUMIFS(Metodo_limpo!C:C, Metodo_limpo!D:D, A162, Metodo_limpo!B:B, "CC")</f>
        <v>1</v>
      </c>
      <c r="D162">
        <f>SUMIFS(Metodo_limpo!C:C, Metodo_limpo!D:D, A162, Metodo_limpo!B:B, "NOPM")</f>
        <v>0</v>
      </c>
      <c r="E162">
        <f>SUMIFS(Metodo_limpo!C:C, Metodo_limpo!D:D, A162, Metodo_limpo!B:B, "LOC")</f>
        <v>0</v>
      </c>
      <c r="F162">
        <f>(C162-MIN(C$2:C$169))/(MAX(C$2:C$169)-MIN(C$2:C$169))</f>
        <v>2.7027027027027029E-2</v>
      </c>
      <c r="G162">
        <f>(D162-MIN(D$2:D$169))/(MAX(D$2:D$169)-MIN(D$2:D$169))</f>
        <v>0</v>
      </c>
      <c r="H162">
        <f>(E162-MIN(E$2:E$169))/(MAX(E$2:E$169)-MIN(E$2:E$169))</f>
        <v>0</v>
      </c>
      <c r="I162" s="9">
        <f>F162+G162+H162</f>
        <v>2.7027027027027029E-2</v>
      </c>
    </row>
    <row r="163" spans="1:9" x14ac:dyDescent="0.25">
      <c r="A163">
        <v>97</v>
      </c>
      <c r="B163" t="str">
        <f>INDEX(Metodo_limpo!A:A, MATCH(A163, Metodo_limpo!D:D, 0))</f>
        <v>getRightMostPos()</v>
      </c>
      <c r="C163">
        <f>SUMIFS(Metodo_limpo!C:C, Metodo_limpo!D:D, A163, Metodo_limpo!B:B, "CC")</f>
        <v>1</v>
      </c>
      <c r="D163">
        <f>SUMIFS(Metodo_limpo!C:C, Metodo_limpo!D:D, A163, Metodo_limpo!B:B, "NOPM")</f>
        <v>0</v>
      </c>
      <c r="E163">
        <f>SUMIFS(Metodo_limpo!C:C, Metodo_limpo!D:D, A163, Metodo_limpo!B:B, "LOC")</f>
        <v>0</v>
      </c>
      <c r="F163">
        <f>(C163-MIN(C$2:C$169))/(MAX(C$2:C$169)-MIN(C$2:C$169))</f>
        <v>2.7027027027027029E-2</v>
      </c>
      <c r="G163">
        <f>(D163-MIN(D$2:D$169))/(MAX(D$2:D$169)-MIN(D$2:D$169))</f>
        <v>0</v>
      </c>
      <c r="H163">
        <f>(E163-MIN(E$2:E$169))/(MAX(E$2:E$169)-MIN(E$2:E$169))</f>
        <v>0</v>
      </c>
      <c r="I163" s="9">
        <f>F163+G163+H163</f>
        <v>2.7027027027027029E-2</v>
      </c>
    </row>
    <row r="164" spans="1:9" x14ac:dyDescent="0.25">
      <c r="A164">
        <v>98</v>
      </c>
      <c r="B164" t="str">
        <f>INDEX(Metodo_limpo!A:A, MATCH(A164, Metodo_limpo!D:D, 0))</f>
        <v>getSize()</v>
      </c>
      <c r="C164">
        <f>SUMIFS(Metodo_limpo!C:C, Metodo_limpo!D:D, A164, Metodo_limpo!B:B, "CC")</f>
        <v>1</v>
      </c>
      <c r="D164">
        <f>SUMIFS(Metodo_limpo!C:C, Metodo_limpo!D:D, A164, Metodo_limpo!B:B, "NOPM")</f>
        <v>0</v>
      </c>
      <c r="E164">
        <f>SUMIFS(Metodo_limpo!C:C, Metodo_limpo!D:D, A164, Metodo_limpo!B:B, "LOC")</f>
        <v>0</v>
      </c>
      <c r="F164">
        <f>(C164-MIN(C$2:C$169))/(MAX(C$2:C$169)-MIN(C$2:C$169))</f>
        <v>2.7027027027027029E-2</v>
      </c>
      <c r="G164">
        <f>(D164-MIN(D$2:D$169))/(MAX(D$2:D$169)-MIN(D$2:D$169))</f>
        <v>0</v>
      </c>
      <c r="H164">
        <f>(E164-MIN(E$2:E$169))/(MAX(E$2:E$169)-MIN(E$2:E$169))</f>
        <v>0</v>
      </c>
      <c r="I164" s="9">
        <f>F164+G164+H164</f>
        <v>2.7027027027027029E-2</v>
      </c>
    </row>
    <row r="165" spans="1:9" x14ac:dyDescent="0.25">
      <c r="A165">
        <v>99</v>
      </c>
      <c r="B165" t="str">
        <f>INDEX(Metodo_limpo!A:A, MATCH(A165, Metodo_limpo!D:D, 0))</f>
        <v>getTopMostPos()</v>
      </c>
      <c r="C165">
        <f>SUMIFS(Metodo_limpo!C:C, Metodo_limpo!D:D, A165, Metodo_limpo!B:B, "CC")</f>
        <v>1</v>
      </c>
      <c r="D165">
        <f>SUMIFS(Metodo_limpo!C:C, Metodo_limpo!D:D, A165, Metodo_limpo!B:B, "NOPM")</f>
        <v>0</v>
      </c>
      <c r="E165">
        <f>SUMIFS(Metodo_limpo!C:C, Metodo_limpo!D:D, A165, Metodo_limpo!B:B, "LOC")</f>
        <v>0</v>
      </c>
      <c r="F165">
        <f>(C165-MIN(C$2:C$169))/(MAX(C$2:C$169)-MIN(C$2:C$169))</f>
        <v>2.7027027027027029E-2</v>
      </c>
      <c r="G165">
        <f>(D165-MIN(D$2:D$169))/(MAX(D$2:D$169)-MIN(D$2:D$169))</f>
        <v>0</v>
      </c>
      <c r="H165">
        <f>(E165-MIN(E$2:E$169))/(MAX(E$2:E$169)-MIN(E$2:E$169))</f>
        <v>0</v>
      </c>
      <c r="I165" s="9">
        <f>F165+G165+H165</f>
        <v>2.7027027027027029E-2</v>
      </c>
    </row>
    <row r="166" spans="1:9" x14ac:dyDescent="0.25">
      <c r="A166">
        <v>100</v>
      </c>
      <c r="B166" t="str">
        <f>INDEX(Metodo_limpo!A:A, MATCH(A166, Metodo_limpo!D:D, 0))</f>
        <v>isInsideBoard()</v>
      </c>
      <c r="C166">
        <f>SUMIFS(Metodo_limpo!C:C, Metodo_limpo!D:D, A166, Metodo_limpo!B:B, "CC")</f>
        <v>1</v>
      </c>
      <c r="D166">
        <f>SUMIFS(Metodo_limpo!C:C, Metodo_limpo!D:D, A166, Metodo_limpo!B:B, "NOPM")</f>
        <v>0</v>
      </c>
      <c r="E166">
        <f>SUMIFS(Metodo_limpo!C:C, Metodo_limpo!D:D, A166, Metodo_limpo!B:B, "LOC")</f>
        <v>0</v>
      </c>
      <c r="F166">
        <f>(C166-MIN(C$2:C$169))/(MAX(C$2:C$169)-MIN(C$2:C$169))</f>
        <v>2.7027027027027029E-2</v>
      </c>
      <c r="G166">
        <f>(D166-MIN(D$2:D$169))/(MAX(D$2:D$169)-MIN(D$2:D$169))</f>
        <v>0</v>
      </c>
      <c r="H166">
        <f>(E166-MIN(E$2:E$169))/(MAX(E$2:E$169)-MIN(E$2:E$169))</f>
        <v>0</v>
      </c>
      <c r="I166" s="9">
        <f>F166+G166+H166</f>
        <v>2.7027027027027029E-2</v>
      </c>
    </row>
    <row r="167" spans="1:9" x14ac:dyDescent="0.25">
      <c r="A167">
        <v>103</v>
      </c>
      <c r="B167" t="str">
        <f>INDEX(Metodo_limpo!A:A, MATCH(A167, Metodo_limpo!D:D, 0))</f>
        <v>sink()</v>
      </c>
      <c r="C167">
        <f>SUMIFS(Metodo_limpo!C:C, Metodo_limpo!D:D, A167, Metodo_limpo!B:B, "CC")</f>
        <v>1</v>
      </c>
      <c r="D167">
        <f>SUMIFS(Metodo_limpo!C:C, Metodo_limpo!D:D, A167, Metodo_limpo!B:B, "NOPM")</f>
        <v>0</v>
      </c>
      <c r="E167">
        <f>SUMIFS(Metodo_limpo!C:C, Metodo_limpo!D:D, A167, Metodo_limpo!B:B, "LOC")</f>
        <v>0</v>
      </c>
      <c r="F167">
        <f>(C167-MIN(C$2:C$169))/(MAX(C$2:C$169)-MIN(C$2:C$169))</f>
        <v>2.7027027027027029E-2</v>
      </c>
      <c r="G167">
        <f>(D167-MIN(D$2:D$169))/(MAX(D$2:D$169)-MIN(D$2:D$169))</f>
        <v>0</v>
      </c>
      <c r="H167">
        <f>(E167-MIN(E$2:E$169))/(MAX(E$2:E$169)-MIN(E$2:E$169))</f>
        <v>0</v>
      </c>
      <c r="I167" s="9">
        <f>F167+G167+H167</f>
        <v>2.7027027027027029E-2</v>
      </c>
    </row>
    <row r="168" spans="1:9" x14ac:dyDescent="0.25">
      <c r="A168">
        <v>104</v>
      </c>
      <c r="B168" t="str">
        <f>INDEX(Metodo_limpo!A:A, MATCH(A168, Metodo_limpo!D:D, 0))</f>
        <v>stillFloating()</v>
      </c>
      <c r="C168">
        <f>SUMIFS(Metodo_limpo!C:C, Metodo_limpo!D:D, A168, Metodo_limpo!B:B, "CC")</f>
        <v>1</v>
      </c>
      <c r="D168">
        <f>SUMIFS(Metodo_limpo!C:C, Metodo_limpo!D:D, A168, Metodo_limpo!B:B, "NOPM")</f>
        <v>0</v>
      </c>
      <c r="E168">
        <f>SUMIFS(Metodo_limpo!C:C, Metodo_limpo!D:D, A168, Metodo_limpo!B:B, "LOC")</f>
        <v>0</v>
      </c>
      <c r="F168">
        <f>(C168-MIN(C$2:C$169))/(MAX(C$2:C$169)-MIN(C$2:C$169))</f>
        <v>2.7027027027027029E-2</v>
      </c>
      <c r="G168">
        <f>(D168-MIN(D$2:D$169))/(MAX(D$2:D$169)-MIN(D$2:D$169))</f>
        <v>0</v>
      </c>
      <c r="H168">
        <f>(E168-MIN(E$2:E$169))/(MAX(E$2:E$169)-MIN(E$2:E$169))</f>
        <v>0</v>
      </c>
      <c r="I168" s="9">
        <f>F168+G168+H168</f>
        <v>2.7027027027027029E-2</v>
      </c>
    </row>
    <row r="169" spans="1:9" x14ac:dyDescent="0.25">
      <c r="A169">
        <v>126</v>
      </c>
      <c r="B169" t="str">
        <f>INDEX(Metodo_limpo!A:A, MATCH(A169, Metodo_limpo!D:D, 0))</f>
        <v>isInsideBoard()</v>
      </c>
      <c r="C169">
        <f>SUMIFS(Metodo_limpo!C:C, Metodo_limpo!D:D, A169, Metodo_limpo!B:B, "CC")</f>
        <v>0</v>
      </c>
      <c r="D169">
        <f>SUMIFS(Metodo_limpo!C:C, Metodo_limpo!D:D, A169, Metodo_limpo!B:B, "NOPM")</f>
        <v>0</v>
      </c>
      <c r="E169">
        <f>SUMIFS(Metodo_limpo!C:C, Metodo_limpo!D:D, A169, Metodo_limpo!B:B, "LOC")</f>
        <v>0</v>
      </c>
      <c r="F169">
        <f>(C169-MIN(C$2:C$169))/(MAX(C$2:C$169)-MIN(C$2:C$169))</f>
        <v>0</v>
      </c>
      <c r="G169">
        <f>(D169-MIN(D$2:D$169))/(MAX(D$2:D$169)-MIN(D$2:D$169))</f>
        <v>0</v>
      </c>
      <c r="H169">
        <f>(E169-MIN(E$2:E$169))/(MAX(E$2:E$169)-MIN(E$2:E$169))</f>
        <v>0</v>
      </c>
      <c r="I169" s="9">
        <f>F169+G169+H169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4A88EAF934E445A8A3A0F1DFBAEEBB" ma:contentTypeVersion="9" ma:contentTypeDescription="Criar um novo documento." ma:contentTypeScope="" ma:versionID="d0ce8c19b39447e895607797f8e9192b">
  <xsd:schema xmlns:xsd="http://www.w3.org/2001/XMLSchema" xmlns:xs="http://www.w3.org/2001/XMLSchema" xmlns:p="http://schemas.microsoft.com/office/2006/metadata/properties" xmlns:ns3="a540bf0a-39f5-4f8f-ab88-cb4d6e265ff6" targetNamespace="http://schemas.microsoft.com/office/2006/metadata/properties" ma:root="true" ma:fieldsID="dc035f415881ea8844a90ffebfa2a5ed" ns3:_="">
    <xsd:import namespace="a540bf0a-39f5-4f8f-ab88-cb4d6e265f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0bf0a-39f5-4f8f-ab88-cb4d6e265f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40bf0a-39f5-4f8f-ab88-cb4d6e265ff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20FE99B-1220-4AB7-AC7F-7FCF9FD922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40bf0a-39f5-4f8f-ab88-cb4d6e265f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A43B01-AC45-49EA-BBA8-6C236D0D0F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01513-07BA-4EB4-BEA7-7088F236F580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a540bf0a-39f5-4f8f-ab88-cb4d6e265ff6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A5DAE1F-91F7-4021-90BC-633AA17C1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Metodo_limpo</vt:lpstr>
      <vt:lpstr>Metricas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Alexandre Leonardo Gonçalves</cp:lastModifiedBy>
  <dcterms:created xsi:type="dcterms:W3CDTF">2026-10-22T17:39:00Z</dcterms:created>
  <dcterms:modified xsi:type="dcterms:W3CDTF">2026-10-22T22:21:36Z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0x010100524A88EAF934E445A8A3A0F1DFBAEEBB</vt:lpwstr>
  </property>
</Properties>
</file>